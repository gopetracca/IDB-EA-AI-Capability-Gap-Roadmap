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Capability catalog" sheetId="2" state="visible" r:id="rId2"/>
    <sheet name="2. Realization catalog" sheetId="3" state="visible" r:id="rId3"/>
    <sheet name="3. Enablement evidence" sheetId="4" state="visible" r:id="rId4"/>
    <sheet name="4. Scales" sheetId="5" state="visible" r:id="rId5"/>
    <sheet name="5. Gap &amp; roadmap" sheetId="6" state="visible" r:id="rId6"/>
    <sheet name="6. Criteria (L3)" sheetId="7" state="visible" r:id="rId7"/>
    <sheet name="7. Reference catalog" sheetId="8" state="visible" r:id="rId8"/>
    <sheet name="8. Matrix A" sheetId="9" state="visible" r:id="rId9"/>
    <sheet name="9. Typed edges" sheetId="10" state="visible" r:id="rId10"/>
    <sheet name="10. Obligations register" sheetId="11" state="visible" r:id="rId11"/>
    <sheet name="11. Rubric template" sheetId="12" state="visible" r:id="rId12"/>
    <sheet name="12. Enterprise assets" sheetId="13" state="visible" r:id="rId13"/>
  </sheets>
  <definedNames>
    <definedName name="_xlnm._FilterDatabase" localSheetId="1" hidden="1">'1. Capability catalog'!$A$1:$P$53</definedName>
    <definedName name="_xlnm._FilterDatabase" localSheetId="2" hidden="1">'2. Realization catalog'!$A$1:$O$85</definedName>
    <definedName name="_xlnm._FilterDatabase" localSheetId="3" hidden="1">'3. Enablement evidence'!$A$1:$J$105</definedName>
    <definedName name="_xlnm._FilterDatabase" localSheetId="5" hidden="1">'5. Gap &amp; roadmap'!$A$1:$L$53</definedName>
    <definedName name="_xlnm._FilterDatabase" localSheetId="6" hidden="1">'6. Criteria (L3)'!$A$1:$K$311</definedName>
    <definedName name="_xlnm._FilterDatabase" localSheetId="7" hidden="1">'7. Reference catalog'!$A$1:$O$144</definedName>
    <definedName name="_xlnm._FilterDatabase" localSheetId="8" hidden="1">'8. Matrix A'!$A$1:$P$53</definedName>
    <definedName name="_xlnm._FilterDatabase" localSheetId="9" hidden="1">'9. Typed edges'!$A$1:$I$215</definedName>
    <definedName name="_xlnm._FilterDatabase" localSheetId="10" hidden="1">'10. Obligations register'!$A$1:$G$19</definedName>
    <definedName name="_xlnm._FilterDatabase" localSheetId="12" hidden="1">'12. Enterprise assets'!$A$1:$G$21</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1B4A63"/>
      <sz val="15"/>
    </font>
    <font>
      <name val="Arial"/>
      <color rgb="0055666F"/>
      <sz val="9"/>
    </font>
    <font>
      <name val="Arial"/>
      <b val="1"/>
      <color rgb="001B4A63"/>
      <sz val="11"/>
    </font>
    <font>
      <name val="Arial"/>
      <b val="1"/>
      <color rgb="000E1A21"/>
      <sz val="10"/>
    </font>
    <font>
      <name val="Arial"/>
      <color rgb="000E1A21"/>
      <sz val="10"/>
    </font>
    <font>
      <name val="Arial"/>
      <b val="1"/>
      <color rgb="008E3226"/>
      <sz val="10"/>
    </font>
    <font>
      <name val="Arial"/>
      <b val="1"/>
      <color rgb="000000FF"/>
      <sz val="10"/>
    </font>
    <font>
      <name val="Arial"/>
      <color rgb="00008000"/>
      <sz val="10"/>
    </font>
    <font>
      <name val="Arial"/>
      <b val="1"/>
      <color rgb="00FFFFFF"/>
      <sz val="10"/>
    </font>
    <font>
      <name val="Arial"/>
      <b val="1"/>
      <color rgb="001B4A63"/>
      <sz val="10"/>
    </font>
    <font>
      <name val="Arial"/>
      <color rgb="000000EE"/>
      <sz val="9"/>
      <u val="single"/>
    </font>
    <font>
      <name val="Arial"/>
      <b val="1"/>
      <color rgb="009E5A21"/>
      <sz val="9"/>
    </font>
    <font>
      <name val="Arial"/>
      <color rgb="001B4A63"/>
      <sz val="9"/>
    </font>
    <font>
      <name val="Arial"/>
      <i val="1"/>
      <color rgb="007E8E97"/>
      <sz val="10"/>
    </font>
    <font>
      <name val="Arial"/>
      <b val="1"/>
      <color rgb="001B4A63"/>
      <sz val="9"/>
    </font>
    <font>
      <name val="Arial"/>
      <b val="1"/>
      <color rgb="001B4A63"/>
      <sz val="12"/>
    </font>
    <font>
      <name val="Arial"/>
      <b val="1"/>
      <color rgb="00FFFFFF"/>
      <sz val="11"/>
    </font>
    <font>
      <name val="Arial"/>
      <b val="1"/>
      <color rgb="002A2200"/>
      <sz val="11"/>
    </font>
    <font>
      <name val="Arial"/>
      <b val="1"/>
      <color rgb="003F6F32"/>
      <sz val="9"/>
    </font>
    <font>
      <name val="Arial"/>
      <b val="1"/>
      <color rgb="000E1A21"/>
      <sz val="9"/>
    </font>
    <font>
      <name val="Arial"/>
      <color rgb="001B4A63"/>
      <sz val="10"/>
    </font>
    <font>
      <name val="Arial"/>
      <b val="1"/>
      <color rgb="009E5A21"/>
      <sz val="10"/>
    </font>
    <font>
      <name val="Arial"/>
      <b val="1"/>
      <color rgb="00FFFFFF"/>
      <sz val="9"/>
    </font>
    <font>
      <name val="Arial"/>
      <b val="1"/>
      <color rgb="002A2200"/>
      <sz val="9"/>
    </font>
  </fonts>
  <fills count="13">
    <fill>
      <patternFill/>
    </fill>
    <fill>
      <patternFill patternType="gray125"/>
    </fill>
    <fill>
      <patternFill patternType="solid">
        <fgColor rgb="00F4DCD8"/>
      </patternFill>
    </fill>
    <fill>
      <patternFill patternType="solid">
        <fgColor rgb="00FFF6CC"/>
      </patternFill>
    </fill>
    <fill>
      <patternFill patternType="solid">
        <fgColor rgb="001B4A63"/>
      </patternFill>
    </fill>
    <fill>
      <patternFill patternType="solid">
        <fgColor rgb="00EDF2F5"/>
      </patternFill>
    </fill>
    <fill>
      <patternFill patternType="solid">
        <fgColor rgb="008E3226"/>
      </patternFill>
    </fill>
    <fill>
      <patternFill patternType="solid">
        <fgColor rgb="009E5A21"/>
      </patternFill>
    </fill>
    <fill>
      <patternFill patternType="solid">
        <fgColor rgb="00C9AE4A"/>
      </patternFill>
    </fill>
    <fill>
      <patternFill patternType="solid">
        <fgColor rgb="003F6F32"/>
      </patternFill>
    </fill>
    <fill>
      <patternFill patternType="solid">
        <fgColor rgb="0025583F"/>
      </patternFill>
    </fill>
    <fill>
      <patternFill patternType="solid">
        <fgColor rgb="00DEE9EF"/>
      </patternFill>
    </fill>
    <fill>
      <patternFill patternType="solid">
        <fgColor rgb="00C3CCD3"/>
      </patternFill>
    </fill>
  </fills>
  <borders count="2">
    <border>
      <left/>
      <right/>
      <top/>
      <bottom/>
      <diagonal/>
    </border>
    <border>
      <left style="thin">
        <color rgb="00CFD8DE"/>
      </left>
      <right style="thin">
        <color rgb="00CFD8DE"/>
      </right>
      <top style="thin">
        <color rgb="00CFD8DE"/>
      </top>
      <bottom style="thin">
        <color rgb="00CFD8DE"/>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5" fillId="2" borderId="0" applyAlignment="1" pivotButton="0" quotePrefix="0" xfId="0">
      <alignment vertical="top" wrapText="1"/>
    </xf>
    <xf numFmtId="0" fontId="7" fillId="3" borderId="0" applyAlignment="1" pivotButton="0" quotePrefix="0" xfId="0">
      <alignment vertical="top"/>
    </xf>
    <xf numFmtId="0" fontId="8" fillId="0" borderId="0" applyAlignment="1" pivotButton="0" quotePrefix="0" xfId="0">
      <alignment vertical="top"/>
    </xf>
    <xf numFmtId="0" fontId="9" fillId="4" borderId="1" applyAlignment="1" pivotButton="0" quotePrefix="0" xfId="0">
      <alignment vertical="center" wrapText="1"/>
    </xf>
    <xf numFmtId="0" fontId="5" fillId="0" borderId="1" applyAlignment="1" pivotButton="0" quotePrefix="0" xfId="0">
      <alignment vertical="top"/>
    </xf>
    <xf numFmtId="0" fontId="10" fillId="0" borderId="1" applyAlignment="1" pivotButton="0" quotePrefix="0" xfId="0">
      <alignment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center"/>
    </xf>
    <xf numFmtId="0" fontId="11" fillId="0" borderId="1" applyAlignment="1" pivotButton="0" quotePrefix="0" xfId="0">
      <alignment horizontal="center" vertical="center"/>
    </xf>
    <xf numFmtId="0" fontId="7" fillId="3" borderId="1" applyAlignment="1" applyProtection="1" pivotButton="0" quotePrefix="0" xfId="0">
      <alignment horizontal="center" vertical="center"/>
      <protection locked="0" hidden="0"/>
    </xf>
    <xf numFmtId="0" fontId="8" fillId="0" borderId="1" applyAlignment="1" pivotButton="0" quotePrefix="0" xfId="0">
      <alignment horizontal="center" vertical="center"/>
    </xf>
    <xf numFmtId="0" fontId="5" fillId="3" borderId="1" applyAlignment="1" applyProtection="1" pivotButton="0" quotePrefix="0" xfId="0">
      <alignment vertical="top" wrapText="1"/>
      <protection locked="0" hidden="0"/>
    </xf>
    <xf numFmtId="0" fontId="12" fillId="0" borderId="1" applyAlignment="1" pivotButton="0" quotePrefix="0" xfId="0">
      <alignment horizontal="center" vertical="center"/>
    </xf>
    <xf numFmtId="0" fontId="2" fillId="5" borderId="0" applyAlignment="1" pivotButton="0" quotePrefix="0" xfId="0">
      <alignment vertical="top" wrapText="1"/>
    </xf>
    <xf numFmtId="0" fontId="5" fillId="3" borderId="1" applyAlignment="1" applyProtection="1" pivotButton="0" quotePrefix="0" xfId="0">
      <alignment vertical="top"/>
      <protection locked="0" hidden="0"/>
    </xf>
    <xf numFmtId="0" fontId="5" fillId="3" borderId="1" applyAlignment="1" applyProtection="1" pivotButton="0" quotePrefix="0" xfId="0">
      <alignment horizontal="center" vertical="center"/>
      <protection locked="0" hidden="0"/>
    </xf>
    <xf numFmtId="0" fontId="13" fillId="0" borderId="1" applyAlignment="1" pivotButton="0" quotePrefix="0" xfId="0">
      <alignment vertical="top" wrapText="1"/>
    </xf>
    <xf numFmtId="0" fontId="14" fillId="0" borderId="1" applyAlignment="1" pivotButton="0" quotePrefix="0" xfId="0">
      <alignment vertical="top"/>
    </xf>
    <xf numFmtId="0" fontId="14" fillId="3" borderId="1" applyAlignment="1" applyProtection="1" pivotButton="0" quotePrefix="0" xfId="0">
      <alignment vertical="top" wrapText="1"/>
      <protection locked="0" hidden="0"/>
    </xf>
    <xf numFmtId="0" fontId="15" fillId="0" borderId="1" applyAlignment="1" pivotButton="0" quotePrefix="0" xfId="0">
      <alignment horizontal="center" vertical="center"/>
    </xf>
    <xf numFmtId="0" fontId="16" fillId="0" borderId="0" pivotButton="0" quotePrefix="0" xfId="0"/>
    <xf numFmtId="0" fontId="17" fillId="6" borderId="1" applyAlignment="1" pivotButton="0" quotePrefix="0" xfId="0">
      <alignment horizontal="center" vertical="center"/>
    </xf>
    <xf numFmtId="0" fontId="17" fillId="7" borderId="1" applyAlignment="1" pivotButton="0" quotePrefix="0" xfId="0">
      <alignment horizontal="center" vertical="center"/>
    </xf>
    <xf numFmtId="0" fontId="18" fillId="8" borderId="1" applyAlignment="1" pivotButton="0" quotePrefix="0" xfId="0">
      <alignment horizontal="center" vertical="center"/>
    </xf>
    <xf numFmtId="0" fontId="17" fillId="9" borderId="1" applyAlignment="1" pivotButton="0" quotePrefix="0" xfId="0">
      <alignment horizontal="center" vertical="center"/>
    </xf>
    <xf numFmtId="0" fontId="17" fillId="10" borderId="1" applyAlignment="1" pivotButton="0" quotePrefix="0" xfId="0">
      <alignment horizontal="center" vertical="center"/>
    </xf>
    <xf numFmtId="0" fontId="3" fillId="11" borderId="1" applyAlignment="1" pivotButton="0" quotePrefix="0" xfId="0">
      <alignment horizontal="center" vertical="center"/>
    </xf>
    <xf numFmtId="0" fontId="17" fillId="12" borderId="1" applyAlignment="1" pivotButton="0" quotePrefix="0" xfId="0">
      <alignment horizontal="center" vertical="center"/>
    </xf>
    <xf numFmtId="0" fontId="0" fillId="0" borderId="1" applyAlignment="1" pivotButton="0" quotePrefix="0" xfId="0">
      <alignment vertical="top" wrapText="1"/>
    </xf>
    <xf numFmtId="0" fontId="8" fillId="0" borderId="1" applyAlignment="1" pivotButton="0" quotePrefix="0" xfId="0">
      <alignment vertical="top" wrapText="1"/>
    </xf>
    <xf numFmtId="0" fontId="4" fillId="11" borderId="1" applyAlignment="1" pivotButton="0" quotePrefix="0" xfId="0">
      <alignment vertical="top"/>
    </xf>
    <xf numFmtId="0" fontId="10" fillId="11" borderId="1" applyAlignment="1" pivotButton="0" quotePrefix="0" xfId="0">
      <alignment vertical="top"/>
    </xf>
    <xf numFmtId="0" fontId="4" fillId="11" borderId="1" applyAlignment="1" pivotButton="0" quotePrefix="0" xfId="0">
      <alignment vertical="top" wrapText="1"/>
    </xf>
    <xf numFmtId="0" fontId="19" fillId="0" borderId="1" applyAlignment="1" pivotButton="0" quotePrefix="0" xfId="0">
      <alignment horizontal="center" vertical="center"/>
    </xf>
    <xf numFmtId="0" fontId="2" fillId="0" borderId="1" applyAlignment="1" pivotButton="0" quotePrefix="0" xfId="0">
      <alignment horizontal="center" vertical="center"/>
    </xf>
    <xf numFmtId="0" fontId="20" fillId="0" borderId="1" applyAlignment="1" pivotButton="0" quotePrefix="0" xfId="0">
      <alignment horizontal="center" vertical="center"/>
    </xf>
    <xf numFmtId="0" fontId="4" fillId="0" borderId="1" applyAlignment="1" pivotButton="0" quotePrefix="0" xfId="0">
      <alignment horizontal="center" vertical="center"/>
    </xf>
    <xf numFmtId="0" fontId="21" fillId="0" borderId="1" applyAlignment="1" pivotButton="0" quotePrefix="0" xfId="0">
      <alignment vertical="top"/>
    </xf>
    <xf numFmtId="0" fontId="15" fillId="0" borderId="1" applyAlignment="1" pivotButton="0" quotePrefix="0" xfId="0">
      <alignment vertical="top"/>
    </xf>
    <xf numFmtId="0" fontId="22" fillId="0" borderId="1" applyAlignment="1" pivotButton="0" quotePrefix="0" xfId="0">
      <alignment vertical="top" wrapText="1"/>
    </xf>
    <xf numFmtId="0" fontId="6" fillId="0" borderId="1" applyAlignment="1" pivotButton="0" quotePrefix="0" xfId="0">
      <alignment vertical="top" wrapText="1"/>
    </xf>
    <xf numFmtId="0" fontId="7" fillId="3" borderId="1" applyAlignment="1" applyProtection="1" pivotButton="0" quotePrefix="0" xfId="0">
      <alignment vertical="top" wrapText="1"/>
      <protection locked="0" hidden="0"/>
    </xf>
    <xf numFmtId="0" fontId="23" fillId="9" borderId="1" applyAlignment="1" pivotButton="0" quotePrefix="0" xfId="0">
      <alignment horizontal="center" vertical="center"/>
    </xf>
    <xf numFmtId="0" fontId="11" fillId="0" borderId="1" applyAlignment="1" pivotButton="0" quotePrefix="0" xfId="0">
      <alignment vertical="top" wrapText="1"/>
    </xf>
    <xf numFmtId="0" fontId="13" fillId="0" borderId="1" applyAlignment="1" pivotButton="0" quotePrefix="0" xfId="0">
      <alignment vertical="top"/>
    </xf>
    <xf numFmtId="0" fontId="24" fillId="8" borderId="1" applyAlignment="1" pivotButton="0" quotePrefix="0" xfId="0">
      <alignment horizontal="center" vertical="center"/>
    </xf>
    <xf numFmtId="0" fontId="23" fillId="7" borderId="1" applyAlignment="1" pivotButton="0" quotePrefix="0" xfId="0">
      <alignment horizontal="center" vertical="center"/>
    </xf>
  </cellXfs>
  <cellStyles count="1">
    <cellStyle name="Normal" xfId="0" builtinId="0" hidden="0"/>
  </cellStyles>
  <dxfs count="7">
    <dxf>
      <font>
        <name val="Arial"/>
        <b val="1"/>
        <color rgb="00FFFFFF"/>
        <sz val="10"/>
      </font>
      <fill>
        <patternFill patternType="solid">
          <fgColor rgb="008E3226"/>
        </patternFill>
      </fill>
    </dxf>
    <dxf>
      <font>
        <name val="Arial"/>
        <b val="1"/>
        <color rgb="00FFFFFF"/>
        <sz val="10"/>
      </font>
      <fill>
        <patternFill patternType="solid">
          <fgColor rgb="009E5A21"/>
        </patternFill>
      </fill>
    </dxf>
    <dxf>
      <font>
        <name val="Arial"/>
        <b val="1"/>
        <color rgb="002A2200"/>
        <sz val="10"/>
      </font>
      <fill>
        <patternFill patternType="solid">
          <fgColor rgb="00C9AE4A"/>
        </patternFill>
      </fill>
    </dxf>
    <dxf>
      <font>
        <name val="Arial"/>
        <b val="1"/>
        <color rgb="00FFFFFF"/>
        <sz val="10"/>
      </font>
      <fill>
        <patternFill patternType="solid">
          <fgColor rgb="003F6F32"/>
        </patternFill>
      </fill>
    </dxf>
    <dxf>
      <font>
        <name val="Arial"/>
        <b val="1"/>
        <color rgb="00FFFFFF"/>
        <sz val="10"/>
      </font>
      <fill>
        <patternFill patternType="solid">
          <fgColor rgb="0025583F"/>
        </patternFill>
      </fill>
    </dxf>
    <dxf>
      <font>
        <name val="Arial"/>
        <b val="1"/>
        <color rgb="000E1A21"/>
        <sz val="10"/>
      </font>
      <fill>
        <patternFill patternType="solid">
          <fgColor rgb="00C3CCD3"/>
        </patternFill>
      </fill>
    </dxf>
    <dxf>
      <font>
        <name val="Arial"/>
        <b val="1"/>
        <color rgb="008E3226"/>
        <sz val="10"/>
      </font>
      <fill>
        <patternFill patternType="solid">
          <fgColor rgb="00F4DC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ezws.iadb.org/getdocument.aspx?docnum=EZIDB0000557-1067528196-22" TargetMode="External" Id="rId1" /><Relationship Type="http://schemas.openxmlformats.org/officeDocument/2006/relationships/hyperlink" Target="https://ezws.iadb.org/getdocument.aspx?docnum=EZIDB0000557-1067528196-18" TargetMode="External" Id="rId2" /><Relationship Type="http://schemas.openxmlformats.org/officeDocument/2006/relationships/hyperlink" Target="https://ezws.iadb.org/getdocument.aspx?docnum=EZIDB0000557-1067528196-957" TargetMode="External" Id="rId3" /><Relationship Type="http://schemas.openxmlformats.org/officeDocument/2006/relationships/hyperlink" Target="https://ezws.iadb.org/getdocument.aspx?docnum=EZIDB0000557-1067528196-726" TargetMode="External" Id="rId4" /><Relationship Type="http://schemas.openxmlformats.org/officeDocument/2006/relationships/hyperlink" Target="https://ezws.iadb.org/getdocument.aspx?docnum=EZIDB0000557-1067528196-105" TargetMode="External" Id="rId5" /><Relationship Type="http://schemas.openxmlformats.org/officeDocument/2006/relationships/hyperlink" Target="https://ezws.iadb.org/getdocument.aspx?docnum=EZIDB0000557-1067528196-110" TargetMode="External" Id="rId6" /><Relationship Type="http://schemas.openxmlformats.org/officeDocument/2006/relationships/hyperlink" Target="https://iadb.leanix.net/IADBProduction/diagrams/dataflow/e1b8ef3c-f669-45ec-8f0e-aeee58780f8a" TargetMode="External" Id="rId7" /><Relationship Type="http://schemas.openxmlformats.org/officeDocument/2006/relationships/hyperlink" Target="https://iadb.leanix.net/IADBProduction/diagrams/freedraw/27c7c109-7da7-4c2f-b248-eeab47f07238" TargetMode="External" Id="rId8" /><Relationship Type="http://schemas.openxmlformats.org/officeDocument/2006/relationships/hyperlink" Target="https://iadb.leanix.net/IADBProduction/diagrams/freedraw/be67338a-33a5-49cb-95ed-13360102ff0e" TargetMode="External" Id="rId9" /><Relationship Type="http://schemas.openxmlformats.org/officeDocument/2006/relationships/hyperlink" Target="https://iadb.leanix.net/IADBProduction/diagrams/dataflow/6379d8b3-20c7-421e-a555-8ba35e9e2b6e" TargetMode="External" Id="rId10" /><Relationship Type="http://schemas.openxmlformats.org/officeDocument/2006/relationships/hyperlink" Target="https://github.com/dx-developer-platform/terraform.az-iac-core-modules/pull/16" TargetMode="External" Id="rId11" /><Relationship Type="http://schemas.openxmlformats.org/officeDocument/2006/relationships/hyperlink" Target="https://github.com/dx-developer-platform/terraform.az-iac-core-modules/pull/17" TargetMode="External" Id="rId12" /><Relationship Type="http://schemas.openxmlformats.org/officeDocument/2006/relationships/hyperlink" Target="https://github.com/dx-developer-platform/terraform.az-iac-core-modules/pull/15" TargetMode="External" Id="rId13" /><Relationship Type="http://schemas.openxmlformats.org/officeDocument/2006/relationships/hyperlink" Target="https://github.com/dx-developer-platform/terraform.az-iac-core-modules/pull/18" TargetMode="External" Id="rId14" /><Relationship Type="http://schemas.openxmlformats.org/officeDocument/2006/relationships/hyperlink" Target="https://github.com/dx-developer-platform/terraform.az-iac-core-modules/pull/19" TargetMode="External" Id="rId15" /><Relationship Type="http://schemas.openxmlformats.org/officeDocument/2006/relationships/hyperlink" Target="https://github.com/dx-developer-platform/terraform.az-iac-core-modules/pull/20" TargetMode="External" Id="rId16" /></Relationships>
</file>

<file path=xl/worksheets/sheet1.xml><?xml version="1.0" encoding="utf-8"?>
<worksheet xmlns="http://schemas.openxmlformats.org/spreadsheetml/2006/main">
  <sheetPr>
    <outlinePr summaryBelow="1" summaryRight="1"/>
    <pageSetUpPr/>
  </sheetPr>
  <dimension ref="B1:C26"/>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1" ht="22" customHeight="1">
      <c r="B1" s="1" t="inlineStr">
        <is>
          <t>Enterprise AI Capability Model</t>
        </is>
      </c>
    </row>
    <row r="2">
      <c r="B2" s="2" t="inlineStr">
        <is>
          <t>Realization &amp; Readiness · v0.5 · 52 capabilities · 258 criteria · 143 catalog entries</t>
        </is>
      </c>
    </row>
    <row r="4" ht="20" customHeight="1">
      <c r="B4" s="3" t="inlineStr">
        <is>
          <t>The one rule that keeps this model honest</t>
        </is>
      </c>
    </row>
    <row r="5" ht="37.8" customHeight="1">
      <c r="B5" s="4" t="inlineStr">
        <is>
          <t>Two scales, never merged</t>
        </is>
      </c>
      <c r="C5" s="5" t="inlineStr">
        <is>
          <t>A CAPABILITY carries MATURITY: is the institution able to do this, to what standard, with what evidence? A REALIZATION carries READINESS: has the enterprise packaged this well enough to consume? They measure different things and are never combined into a single number.</t>
        </is>
      </c>
    </row>
    <row r="6" ht="37.8" customHeight="1">
      <c r="B6" s="4" t="inlineStr">
        <is>
          <t>The gap is the finding</t>
        </is>
      </c>
      <c r="C6" s="5" t="inlineStr">
        <is>
          <t>A capability can be readiness 4 and maturity 2 - the product is well packaged and the institution still cannot do the thing to the standard it needs. That combination is common, and it is invisible to any model carrying only one number.</t>
        </is>
      </c>
    </row>
    <row r="7" ht="37.8" customHeight="1">
      <c r="B7" s="6" t="inlineStr">
        <is>
          <t>Never do this</t>
        </is>
      </c>
      <c r="C7" s="7" t="inlineStr">
        <is>
          <t>Never write a readiness level into the capability catalog. 'Semantic retrieval: readiness 4 via Azure AI Search' is a true statement about SUPPLY that silently substitutes for the maturity question. Both numbers or neither.</t>
        </is>
      </c>
    </row>
    <row r="9" ht="20" customHeight="1">
      <c r="B9" s="3" t="inlineStr">
        <is>
          <t>Three catalogs</t>
        </is>
      </c>
    </row>
    <row r="10" ht="14" customHeight="1">
      <c r="B10" s="4" t="inlineStr">
        <is>
          <t>1 · Capability</t>
        </is>
      </c>
      <c r="C10" s="5" t="inlineStr">
        <is>
          <t>One row per L2 capability. Maturity, owner, target. No products, nothing below L2, no readiness.</t>
        </is>
      </c>
    </row>
    <row r="11" ht="25.2" customHeight="1">
      <c r="B11" s="4" t="inlineStr">
        <is>
          <t>2 · Realization</t>
        </is>
      </c>
      <c r="C11" s="5" t="inlineStr">
        <is>
          <t>One row per capability x pattern x technology. Readiness, consumption model, status, preferred. This is where the architecture goes.</t>
        </is>
      </c>
    </row>
    <row r="12" ht="25.2" customHeight="1">
      <c r="B12" s="4" t="inlineStr">
        <is>
          <t>3 · Enablement</t>
        </is>
      </c>
      <c r="C12" s="5" t="inlineStr">
        <is>
          <t>One row per realization x control. Evidence ticks. Replaces argument about whether a capability is 'had' with a list of things that either exist or do not.</t>
        </is>
      </c>
    </row>
    <row r="14" ht="20" customHeight="1">
      <c r="B14" s="3" t="inlineStr">
        <is>
          <t>Grain - the mistake to avoid</t>
        </is>
      </c>
    </row>
    <row r="15" ht="37.8" customHeight="1">
      <c r="B15" s="4" t="inlineStr">
        <is>
          <t>Sheet 1 rows are L2</t>
        </is>
      </c>
      <c r="C15" s="5" t="inlineStr">
        <is>
          <t>Semantic retrieval, lexical retrieval and retrieval ranking are CATALOG entries (S3.2, S3.1, S3.4), not capabilities: they share an owner and fail the one-owner test. Put them in sheet 1 and the catalog grows from 50 rows to several hundred.</t>
        </is>
      </c>
    </row>
    <row r="17" ht="20" customHeight="1">
      <c r="B17" s="3" t="inlineStr">
        <is>
          <t>Cell conventions</t>
        </is>
      </c>
    </row>
    <row r="18" ht="14" customHeight="1">
      <c r="B18" s="8" t="inlineStr">
        <is>
          <t>Yellow fill, blue bold</t>
        </is>
      </c>
      <c r="C18" s="5" t="inlineStr">
        <is>
          <t>Your input. The only cells to edit.</t>
        </is>
      </c>
    </row>
    <row r="19" ht="14" customHeight="1">
      <c r="B19" s="4" t="inlineStr">
        <is>
          <t>Black</t>
        </is>
      </c>
      <c r="C19" s="5" t="inlineStr">
        <is>
          <t>Fixed reference content. Changing it breaks the link to the published model.</t>
        </is>
      </c>
    </row>
    <row r="20" ht="14" customHeight="1">
      <c r="B20" s="9" t="inlineStr">
        <is>
          <t>Green</t>
        </is>
      </c>
      <c r="C20" s="5" t="inlineStr">
        <is>
          <t>Formula, linked from another sheet.</t>
        </is>
      </c>
    </row>
    <row r="22" ht="20" customHeight="1">
      <c r="B22" s="3" t="inlineStr">
        <is>
          <t>What is not done yet</t>
        </is>
      </c>
    </row>
    <row r="23" ht="25.2" customHeight="1">
      <c r="B23" s="4" t="inlineStr">
        <is>
          <t>Rubrics</t>
        </is>
      </c>
      <c r="C23" s="5" t="inlineStr">
        <is>
          <t>One worked rubric exists (sheet 11). Until a capability has one, its maturity rating is provisional and must be labelled so.</t>
        </is>
      </c>
    </row>
    <row r="24" ht="25.2" customHeight="1">
      <c r="B24" s="4" t="inlineStr">
        <is>
          <t>Control mapping</t>
        </is>
      </c>
      <c r="C24" s="5" t="inlineStr">
        <is>
          <t>ISO/IEC 42001 Annex A and NIST AI RMF outcomes are not mapped onto capabilities. Carve D7 out of any approval request until they are.</t>
        </is>
      </c>
    </row>
    <row r="25" ht="25.2" customHeight="1">
      <c r="B25" s="4" t="inlineStr">
        <is>
          <t>Anchors</t>
        </is>
      </c>
      <c r="C25" s="5" t="inlineStr">
        <is>
          <t>New / Specialization / Lens are hypotheses with a confidence, unverified until the institution's existing capability map is crosswalked.</t>
        </is>
      </c>
    </row>
    <row r="26" ht="25.2" customHeight="1">
      <c r="B26" s="4" t="inlineStr">
        <is>
          <t>Legal applicability</t>
        </is>
      </c>
      <c r="C26" s="5" t="inlineStr">
        <is>
          <t>Statutory references sit in sheet 10, all marked candidate. Nothing here asserts that any regulation binds the institution.</t>
        </is>
      </c>
    </row>
  </sheetData>
  <mergeCells count="7">
    <mergeCell ref="B2:C2"/>
    <mergeCell ref="B22:C22"/>
    <mergeCell ref="B14:C14"/>
    <mergeCell ref="B17:C17"/>
    <mergeCell ref="B9:C9"/>
    <mergeCell ref="B1:C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4" customWidth="1" min="3" max="3"/>
    <col width="50" customWidth="1" min="4" max="4"/>
    <col width="26" customWidth="1" min="5" max="5"/>
    <col width="15" customWidth="1" min="6" max="6"/>
    <col width="8" customWidth="1" min="7" max="7"/>
    <col width="8" customWidth="1" min="8" max="8"/>
    <col width="9" customWidth="1" min="9" max="9"/>
    <col width="17" customWidth="1" min="10" max="10"/>
    <col width="13" customWidth="1" min="11" max="11"/>
    <col width="14" customWidth="1" min="12" max="12"/>
    <col width="12" customWidth="1" min="13" max="13"/>
    <col width="50" customWidth="1" min="14" max="14"/>
    <col width="26" customWidth="1" min="15" max="15"/>
    <col width="32" customWidth="1" min="16" max="16"/>
  </cols>
  <sheetData>
    <row r="1" ht="32" customHeight="1">
      <c r="A1" s="10" t="inlineStr">
        <is>
          <t>Domain</t>
        </is>
      </c>
      <c r="B1" s="10" t="inlineStr">
        <is>
          <t>ID</t>
        </is>
      </c>
      <c r="C1" s="10" t="inlineStr">
        <is>
          <t>Capability</t>
        </is>
      </c>
      <c r="D1" s="10" t="inlineStr">
        <is>
          <t>Definition</t>
        </is>
      </c>
      <c r="E1" s="10" t="inlineStr">
        <is>
          <t>Accountable owner</t>
        </is>
      </c>
      <c r="F1" s="10" t="inlineStr">
        <is>
          <t>Anchor</t>
        </is>
      </c>
      <c r="G1" s="10" t="inlineStr">
        <is>
          <t>Conf.</t>
        </is>
      </c>
      <c r="H1" s="10" t="inlineStr">
        <is>
          <t>Agentic</t>
        </is>
      </c>
      <c r="I1" s="10" t="inlineStr">
        <is>
          <t>Criteria</t>
        </is>
      </c>
      <c r="J1" s="10" t="inlineStr">
        <is>
          <t>Criterion IDs</t>
        </is>
      </c>
      <c r="K1" s="10" t="inlineStr">
        <is>
          <t>MATURITY now</t>
        </is>
      </c>
      <c r="L1" s="10" t="inlineStr">
        <is>
          <t>MATURITY target</t>
        </is>
      </c>
      <c r="M1" s="10" t="inlineStr">
        <is>
          <t>Best readiness</t>
        </is>
      </c>
      <c r="N1" s="10" t="inlineStr">
        <is>
          <t>Gap: why maturity trails</t>
        </is>
      </c>
      <c r="O1" s="10" t="inlineStr">
        <is>
          <t>Evidence ref</t>
        </is>
      </c>
      <c r="P1" s="10" t="inlineStr">
        <is>
          <t>Notes</t>
        </is>
      </c>
    </row>
    <row r="2" ht="30" customHeight="1">
      <c r="A2" s="11" t="inlineStr">
        <is>
          <t>D1</t>
        </is>
      </c>
      <c r="B2" s="12" t="inlineStr">
        <is>
          <t>1.1</t>
        </is>
      </c>
      <c r="C2" s="13" t="inlineStr">
        <is>
          <t>AI Vision &amp; Strategy Definition</t>
        </is>
      </c>
      <c r="D2" s="14" t="inlineStr">
        <is>
          <t>Able to establish and maintain a stated institutional position on AI and keep it current.</t>
        </is>
      </c>
      <c r="E2" s="15" t="inlineStr">
        <is>
          <t>Chief AI Officer</t>
        </is>
      </c>
      <c r="F2" s="16" t="inlineStr">
        <is>
          <t>New</t>
        </is>
      </c>
      <c r="G2" s="16" t="inlineStr">
        <is>
          <t>medium</t>
        </is>
      </c>
      <c r="H2" s="16" t="inlineStr"/>
      <c r="I2" s="16" t="n">
        <v>5</v>
      </c>
      <c r="J2" s="17" t="inlineStr">
        <is>
          <t>1.1.1 - 1.1.5</t>
        </is>
      </c>
      <c r="K2" s="18" t="n"/>
      <c r="L2" s="18" t="n"/>
      <c r="M2" s="19">
        <f>IF(COUNTIF('2. Realization catalog'!$B$2:$B$500,$B2)=0,"",SUMPRODUCT(MAX(('2. Realization catalog'!$B$2:$B$500=$B2)*('2. Realization catalog'!$H$2:$H$500))))</f>
        <v/>
      </c>
      <c r="N2" s="20" t="n"/>
      <c r="O2" s="20" t="n"/>
      <c r="P2" s="20" t="n"/>
    </row>
    <row r="3" ht="30" customHeight="1">
      <c r="A3" s="11" t="inlineStr">
        <is>
          <t>D1</t>
        </is>
      </c>
      <c r="B3" s="12" t="inlineStr">
        <is>
          <t>1.2</t>
        </is>
      </c>
      <c r="C3" s="13" t="inlineStr">
        <is>
          <t>AI Portfolio &amp; Investment Management</t>
        </is>
      </c>
      <c r="D3" s="14" t="inlineStr">
        <is>
          <t>Able to decide which AI work is funded, in what order, and when it stops.</t>
        </is>
      </c>
      <c r="E3" s="15" t="inlineStr">
        <is>
          <t>Enterprise Portfolio Owner</t>
        </is>
      </c>
      <c r="F3" s="21" t="inlineStr">
        <is>
          <t>Lens - keep existing node</t>
        </is>
      </c>
      <c r="G3" s="16" t="inlineStr">
        <is>
          <t>high</t>
        </is>
      </c>
      <c r="H3" s="16" t="inlineStr"/>
      <c r="I3" s="16" t="n">
        <v>5</v>
      </c>
      <c r="J3" s="17" t="inlineStr">
        <is>
          <t>1.2.1 - 1.2.5</t>
        </is>
      </c>
      <c r="K3" s="18" t="n"/>
      <c r="L3" s="18" t="n"/>
      <c r="M3" s="19">
        <f>IF(COUNTIF('2. Realization catalog'!$B$2:$B$500,$B3)=0,"",SUMPRODUCT(MAX(('2. Realization catalog'!$B$2:$B$500=$B3)*('2. Realization catalog'!$H$2:$H$500))))</f>
        <v/>
      </c>
      <c r="N3" s="20" t="n"/>
      <c r="O3" s="20" t="n"/>
      <c r="P3" s="20" t="n"/>
    </row>
    <row r="4" ht="30" customHeight="1">
      <c r="A4" s="11" t="inlineStr">
        <is>
          <t>D1</t>
        </is>
      </c>
      <c r="B4" s="12" t="inlineStr">
        <is>
          <t>1.3</t>
        </is>
      </c>
      <c r="C4" s="13" t="inlineStr">
        <is>
          <t>Value Realization &amp; Performance Reporting</t>
        </is>
      </c>
      <c r="D4" s="14" t="inlineStr">
        <is>
          <t>Able to prove what AI actually delivered, to the standard a governing body accepts.</t>
        </is>
      </c>
      <c r="E4" s="15" t="inlineStr">
        <is>
          <t>Strategy Performance Owner</t>
        </is>
      </c>
      <c r="F4" s="21" t="inlineStr">
        <is>
          <t>Lens - keep existing node</t>
        </is>
      </c>
      <c r="G4" s="16" t="inlineStr">
        <is>
          <t>high</t>
        </is>
      </c>
      <c r="H4" s="16" t="inlineStr"/>
      <c r="I4" s="16" t="n">
        <v>5</v>
      </c>
      <c r="J4" s="17" t="inlineStr">
        <is>
          <t>1.3.1 - 1.3.5</t>
        </is>
      </c>
      <c r="K4" s="18" t="n"/>
      <c r="L4" s="18" t="n"/>
      <c r="M4" s="19">
        <f>IF(COUNTIF('2. Realization catalog'!$B$2:$B$500,$B4)=0,"",SUMPRODUCT(MAX(('2. Realization catalog'!$B$2:$B$500=$B4)*('2. Realization catalog'!$H$2:$H$500))))</f>
        <v/>
      </c>
      <c r="N4" s="20" t="n"/>
      <c r="O4" s="20" t="n"/>
      <c r="P4" s="20" t="n"/>
    </row>
    <row r="5" ht="30" customHeight="1">
      <c r="A5" s="11" t="inlineStr">
        <is>
          <t>D1</t>
        </is>
      </c>
      <c r="B5" s="12" t="inlineStr">
        <is>
          <t>1.4</t>
        </is>
      </c>
      <c r="C5" s="13" t="inlineStr">
        <is>
          <t>AI Sourcing &amp; Partner Strategy</t>
        </is>
      </c>
      <c r="D5" s="14" t="inlineStr">
        <is>
          <t>Able to decide what is built, bought or partnered, and to stay able to change that decision.</t>
        </is>
      </c>
      <c r="E5" s="15" t="inlineStr">
        <is>
          <t>Chief Procurement Officer</t>
        </is>
      </c>
      <c r="F5" s="16" t="inlineStr">
        <is>
          <t>Specialization</t>
        </is>
      </c>
      <c r="G5" s="16" t="inlineStr">
        <is>
          <t>medium</t>
        </is>
      </c>
      <c r="H5" s="16" t="inlineStr"/>
      <c r="I5" s="16" t="n">
        <v>5</v>
      </c>
      <c r="J5" s="17" t="inlineStr">
        <is>
          <t>1.4.1 - 1.4.5</t>
        </is>
      </c>
      <c r="K5" s="18" t="n"/>
      <c r="L5" s="18" t="n"/>
      <c r="M5" s="19">
        <f>IF(COUNTIF('2. Realization catalog'!$B$2:$B$500,$B5)=0,"",SUMPRODUCT(MAX(('2. Realization catalog'!$B$2:$B$500=$B5)*('2. Realization catalog'!$H$2:$H$500))))</f>
        <v/>
      </c>
      <c r="N5" s="20" t="n"/>
      <c r="O5" s="20" t="n"/>
      <c r="P5" s="20" t="n"/>
    </row>
    <row r="6" ht="30" customHeight="1">
      <c r="A6" s="11" t="inlineStr">
        <is>
          <t>D1</t>
        </is>
      </c>
      <c r="B6" s="12" t="inlineStr">
        <is>
          <t>1.5</t>
        </is>
      </c>
      <c r="C6" s="13" t="inlineStr">
        <is>
          <t>AI Ecosystem &amp; Alliance Management</t>
        </is>
      </c>
      <c r="D6" s="14" t="inlineStr">
        <is>
          <t>Able to hold external AI relationships that are not supplier contracts, and to stay operable when the ecosystem around them changes.</t>
        </is>
      </c>
      <c r="E6" s="15" t="inlineStr">
        <is>
          <t>Chief AI Officer</t>
        </is>
      </c>
      <c r="F6" s="16" t="inlineStr">
        <is>
          <t>New</t>
        </is>
      </c>
      <c r="G6" s="21" t="inlineStr">
        <is>
          <t>low</t>
        </is>
      </c>
      <c r="H6" s="16" t="inlineStr"/>
      <c r="I6" s="16" t="n">
        <v>6</v>
      </c>
      <c r="J6" s="17" t="inlineStr">
        <is>
          <t>1.5.1 - 1.5.6</t>
        </is>
      </c>
      <c r="K6" s="18" t="n"/>
      <c r="L6" s="18" t="n"/>
      <c r="M6" s="19">
        <f>IF(COUNTIF('2. Realization catalog'!$B$2:$B$500,$B6)=0,"",SUMPRODUCT(MAX(('2. Realization catalog'!$B$2:$B$500=$B6)*('2. Realization catalog'!$H$2:$H$500))))</f>
        <v/>
      </c>
      <c r="N6" s="20" t="n"/>
      <c r="O6" s="20" t="n"/>
      <c r="P6" s="20" t="n"/>
    </row>
    <row r="7" ht="30" customHeight="1">
      <c r="A7" s="11" t="inlineStr">
        <is>
          <t>D2</t>
        </is>
      </c>
      <c r="B7" s="12" t="inlineStr">
        <is>
          <t>2.1</t>
        </is>
      </c>
      <c r="C7" s="13" t="inlineStr">
        <is>
          <t>Use Case Discovery &amp; Intake</t>
        </is>
      </c>
      <c r="D7" s="14" t="inlineStr">
        <is>
          <t>Able to surface candidate AI work and admit it through one controlled front door.</t>
        </is>
      </c>
      <c r="E7" s="15" t="inlineStr">
        <is>
          <t>Demand Management Owner</t>
        </is>
      </c>
      <c r="F7" s="21" t="inlineStr">
        <is>
          <t>Lens - keep existing node</t>
        </is>
      </c>
      <c r="G7" s="16" t="inlineStr">
        <is>
          <t>high</t>
        </is>
      </c>
      <c r="H7" s="16" t="inlineStr"/>
      <c r="I7" s="16" t="n">
        <v>4</v>
      </c>
      <c r="J7" s="17" t="inlineStr">
        <is>
          <t>2.1.1 - 2.1.4</t>
        </is>
      </c>
      <c r="K7" s="18" t="n"/>
      <c r="L7" s="18" t="n"/>
      <c r="M7" s="19">
        <f>IF(COUNTIF('2. Realization catalog'!$B$2:$B$500,$B7)=0,"",SUMPRODUCT(MAX(('2. Realization catalog'!$B$2:$B$500=$B7)*('2. Realization catalog'!$H$2:$H$500))))</f>
        <v/>
      </c>
      <c r="N7" s="20" t="n"/>
      <c r="O7" s="20" t="n"/>
      <c r="P7" s="20" t="n"/>
    </row>
    <row r="8" ht="30" customHeight="1">
      <c r="A8" s="11" t="inlineStr">
        <is>
          <t>D2</t>
        </is>
      </c>
      <c r="B8" s="12" t="inlineStr">
        <is>
          <t>2.2</t>
        </is>
      </c>
      <c r="C8" s="13" t="inlineStr">
        <is>
          <t>AI Use-Case Feasibility &amp; Qualification</t>
        </is>
      </c>
      <c r="D8" s="14" t="inlineStr">
        <is>
          <t>Able to judge, before build, whether a use case is technically and operationally deliverable and worth doing.</t>
        </is>
      </c>
      <c r="E8" s="15" t="inlineStr">
        <is>
          <t>AI Product Owner</t>
        </is>
      </c>
      <c r="F8" s="16" t="inlineStr">
        <is>
          <t>New</t>
        </is>
      </c>
      <c r="G8" s="16" t="inlineStr">
        <is>
          <t>medium</t>
        </is>
      </c>
      <c r="H8" s="16" t="inlineStr"/>
      <c r="I8" s="16" t="n">
        <v>4</v>
      </c>
      <c r="J8" s="17" t="inlineStr">
        <is>
          <t>2.2.1 - 2.2.4</t>
        </is>
      </c>
      <c r="K8" s="18" t="n"/>
      <c r="L8" s="18" t="n"/>
      <c r="M8" s="19">
        <f>IF(COUNTIF('2. Realization catalog'!$B$2:$B$500,$B8)=0,"",SUMPRODUCT(MAX(('2. Realization catalog'!$B$2:$B$500=$B8)*('2. Realization catalog'!$H$2:$H$500))))</f>
        <v/>
      </c>
      <c r="N8" s="20" t="n"/>
      <c r="O8" s="20" t="n"/>
      <c r="P8" s="20" t="n"/>
    </row>
    <row r="9" ht="30" customHeight="1">
      <c r="A9" s="11" t="inlineStr">
        <is>
          <t>D2</t>
        </is>
      </c>
      <c r="B9" s="12" t="inlineStr">
        <is>
          <t>2.3</t>
        </is>
      </c>
      <c r="C9" s="13" t="inlineStr">
        <is>
          <t>AI Product Management</t>
        </is>
      </c>
      <c r="D9" s="14" t="inlineStr">
        <is>
          <t>Able to own an AI capability as a product across its life, not as a project that ends.</t>
        </is>
      </c>
      <c r="E9" s="15" t="inlineStr">
        <is>
          <t>AI Product Owner</t>
        </is>
      </c>
      <c r="F9" s="16" t="inlineStr">
        <is>
          <t>Specialization</t>
        </is>
      </c>
      <c r="G9" s="16" t="inlineStr">
        <is>
          <t>medium</t>
        </is>
      </c>
      <c r="H9" s="16" t="inlineStr"/>
      <c r="I9" s="16" t="n">
        <v>5</v>
      </c>
      <c r="J9" s="17" t="inlineStr">
        <is>
          <t>2.3.1 - 2.3.5</t>
        </is>
      </c>
      <c r="K9" s="18" t="n"/>
      <c r="L9" s="18" t="n"/>
      <c r="M9" s="19">
        <f>IF(COUNTIF('2. Realization catalog'!$B$2:$B$500,$B9)=0,"",SUMPRODUCT(MAX(('2. Realization catalog'!$B$2:$B$500=$B9)*('2. Realization catalog'!$H$2:$H$500))))</f>
        <v/>
      </c>
      <c r="N9" s="20" t="n"/>
      <c r="O9" s="20" t="n"/>
      <c r="P9" s="20" t="n"/>
    </row>
    <row r="10" ht="30" customHeight="1">
      <c r="A10" s="11" t="inlineStr">
        <is>
          <t>D2</t>
        </is>
      </c>
      <c r="B10" s="12" t="inlineStr">
        <is>
          <t>2.4</t>
        </is>
      </c>
      <c r="C10" s="13" t="inlineStr">
        <is>
          <t>Business Process &amp; Service Redesign</t>
        </is>
      </c>
      <c r="D10" s="14" t="inlineStr">
        <is>
          <t>Able to change how work is actually done, not merely to add a model to an unchanged process.</t>
        </is>
      </c>
      <c r="E10" s="15" t="inlineStr">
        <is>
          <t>Business Process Owner</t>
        </is>
      </c>
      <c r="F10" s="16" t="inlineStr">
        <is>
          <t>Specialization</t>
        </is>
      </c>
      <c r="G10" s="16" t="inlineStr">
        <is>
          <t>medium</t>
        </is>
      </c>
      <c r="H10" s="16" t="inlineStr"/>
      <c r="I10" s="16" t="n">
        <v>6</v>
      </c>
      <c r="J10" s="17" t="inlineStr">
        <is>
          <t>2.4.1 - 2.4.6</t>
        </is>
      </c>
      <c r="K10" s="18" t="n"/>
      <c r="L10" s="18" t="n"/>
      <c r="M10" s="19">
        <f>IF(COUNTIF('2. Realization catalog'!$B$2:$B$500,$B10)=0,"",SUMPRODUCT(MAX(('2. Realization catalog'!$B$2:$B$500=$B10)*('2. Realization catalog'!$H$2:$H$500))))</f>
        <v/>
      </c>
      <c r="N10" s="20" t="n"/>
      <c r="O10" s="20" t="n"/>
      <c r="P10" s="20" t="n"/>
    </row>
    <row r="11" ht="30" customHeight="1">
      <c r="A11" s="11" t="inlineStr">
        <is>
          <t>D2</t>
        </is>
      </c>
      <c r="B11" s="12" t="inlineStr">
        <is>
          <t>2.5</t>
        </is>
      </c>
      <c r="C11" s="13" t="inlineStr">
        <is>
          <t>Human-AI Interaction &amp; Oversight Design</t>
        </is>
      </c>
      <c r="D11" s="14" t="inlineStr">
        <is>
          <t>Able to design the human's role in the system, rather than assert oversight in policy alone.</t>
        </is>
      </c>
      <c r="E11" s="15" t="inlineStr">
        <is>
          <t>Product Design Owner</t>
        </is>
      </c>
      <c r="F11" s="16" t="inlineStr">
        <is>
          <t>New</t>
        </is>
      </c>
      <c r="G11" s="21" t="inlineStr">
        <is>
          <t>low</t>
        </is>
      </c>
      <c r="H11" s="16" t="inlineStr">
        <is>
          <t>Yes</t>
        </is>
      </c>
      <c r="I11" s="16" t="n">
        <v>6</v>
      </c>
      <c r="J11" s="17" t="inlineStr">
        <is>
          <t>2.5.1 - 2.5.6</t>
        </is>
      </c>
      <c r="K11" s="18" t="n"/>
      <c r="L11" s="18" t="n"/>
      <c r="M11" s="19">
        <f>IF(COUNTIF('2. Realization catalog'!$B$2:$B$500,$B11)=0,"",SUMPRODUCT(MAX(('2. Realization catalog'!$B$2:$B$500=$B11)*('2. Realization catalog'!$H$2:$H$500))))</f>
        <v/>
      </c>
      <c r="N11" s="20" t="n"/>
      <c r="O11" s="20" t="n"/>
      <c r="P11" s="20" t="n"/>
    </row>
    <row r="12" ht="30" customHeight="1">
      <c r="A12" s="11" t="inlineStr">
        <is>
          <t>D2</t>
        </is>
      </c>
      <c r="B12" s="12" t="inlineStr">
        <is>
          <t>2.6</t>
        </is>
      </c>
      <c r="C12" s="13" t="inlineStr">
        <is>
          <t>AI Innovation &amp; Incubation</t>
        </is>
      </c>
      <c r="D12" s="14" t="inlineStr">
        <is>
          <t>Able to turn an untested AI idea into evidence, and evidence into either a funded product or a cheap, recorded stop.</t>
        </is>
      </c>
      <c r="E12" s="15" t="inlineStr">
        <is>
          <t>AI CoE Owner</t>
        </is>
      </c>
      <c r="F12" s="16" t="inlineStr">
        <is>
          <t>New</t>
        </is>
      </c>
      <c r="G12" s="21" t="inlineStr">
        <is>
          <t>low</t>
        </is>
      </c>
      <c r="H12" s="16" t="inlineStr"/>
      <c r="I12" s="16" t="n">
        <v>5</v>
      </c>
      <c r="J12" s="17" t="inlineStr">
        <is>
          <t>2.6.1 - 2.6.5</t>
        </is>
      </c>
      <c r="K12" s="18" t="n"/>
      <c r="L12" s="18" t="n"/>
      <c r="M12" s="19">
        <f>IF(COUNTIF('2. Realization catalog'!$B$2:$B$500,$B12)=0,"",SUMPRODUCT(MAX(('2. Realization catalog'!$B$2:$B$500=$B12)*('2. Realization catalog'!$H$2:$H$500))))</f>
        <v/>
      </c>
      <c r="N12" s="20" t="n"/>
      <c r="O12" s="20" t="n"/>
      <c r="P12" s="20" t="n"/>
    </row>
    <row r="13" ht="30" customHeight="1">
      <c r="A13" s="11" t="inlineStr">
        <is>
          <t>D3</t>
        </is>
      </c>
      <c r="B13" s="12" t="inlineStr">
        <is>
          <t>3.1</t>
        </is>
      </c>
      <c r="C13" s="13" t="inlineStr">
        <is>
          <t>Data Governance &amp; Stewardship for AI</t>
        </is>
      </c>
      <c r="D13" s="14" t="inlineStr">
        <is>
          <t>Able to say who owns each data asset, who may use it, and under what conditions.</t>
        </is>
      </c>
      <c r="E13" s="15" t="inlineStr">
        <is>
          <t>Chief Data Officer</t>
        </is>
      </c>
      <c r="F13" s="16" t="inlineStr">
        <is>
          <t>Specialization</t>
        </is>
      </c>
      <c r="G13" s="16" t="inlineStr">
        <is>
          <t>high</t>
        </is>
      </c>
      <c r="H13" s="16" t="inlineStr"/>
      <c r="I13" s="16" t="n">
        <v>5</v>
      </c>
      <c r="J13" s="17" t="inlineStr">
        <is>
          <t>3.1.1 - 3.1.5</t>
        </is>
      </c>
      <c r="K13" s="18" t="n"/>
      <c r="L13" s="18" t="n"/>
      <c r="M13" s="19">
        <f>IF(COUNTIF('2. Realization catalog'!$B$2:$B$500,$B13)=0,"",SUMPRODUCT(MAX(('2. Realization catalog'!$B$2:$B$500=$B13)*('2. Realization catalog'!$H$2:$H$500))))</f>
        <v/>
      </c>
      <c r="N13" s="20" t="n"/>
      <c r="O13" s="20" t="n"/>
      <c r="P13" s="20" t="n"/>
    </row>
    <row r="14" ht="30" customHeight="1">
      <c r="A14" s="11" t="inlineStr">
        <is>
          <t>D3</t>
        </is>
      </c>
      <c r="B14" s="12" t="inlineStr">
        <is>
          <t>3.2</t>
        </is>
      </c>
      <c r="C14" s="13" t="inlineStr">
        <is>
          <t>Data Sourcing, Licensing &amp; Provenance</t>
        </is>
      </c>
      <c r="D14" s="14" t="inlineStr">
        <is>
          <t>Able to demonstrate lawful, documented origin for every dataset an AI system uses.</t>
        </is>
      </c>
      <c r="E14" s="15" t="inlineStr">
        <is>
          <t>Chief Data Officer</t>
        </is>
      </c>
      <c r="F14" s="16" t="inlineStr">
        <is>
          <t>Specialization</t>
        </is>
      </c>
      <c r="G14" s="16" t="inlineStr">
        <is>
          <t>high</t>
        </is>
      </c>
      <c r="H14" s="16" t="inlineStr"/>
      <c r="I14" s="16" t="n">
        <v>5</v>
      </c>
      <c r="J14" s="17" t="inlineStr">
        <is>
          <t>3.2.1 - 3.2.5</t>
        </is>
      </c>
      <c r="K14" s="18" t="n"/>
      <c r="L14" s="18" t="n"/>
      <c r="M14" s="19">
        <f>IF(COUNTIF('2. Realization catalog'!$B$2:$B$500,$B14)=0,"",SUMPRODUCT(MAX(('2. Realization catalog'!$B$2:$B$500=$B14)*('2. Realization catalog'!$H$2:$H$500))))</f>
        <v/>
      </c>
      <c r="N14" s="20" t="n"/>
      <c r="O14" s="20" t="n"/>
      <c r="P14" s="20" t="n"/>
    </row>
    <row r="15" ht="30" customHeight="1">
      <c r="A15" s="11" t="inlineStr">
        <is>
          <t>D3</t>
        </is>
      </c>
      <c r="B15" s="12" t="inlineStr">
        <is>
          <t>3.3</t>
        </is>
      </c>
      <c r="C15" s="13" t="inlineStr">
        <is>
          <t>Data Quality &amp; Preparation for AI</t>
        </is>
      </c>
      <c r="D15" s="14" t="inlineStr">
        <is>
          <t>Able to make data fit for the specific AI purpose and to prove it was fit.</t>
        </is>
      </c>
      <c r="E15" s="15" t="inlineStr">
        <is>
          <t>Data Product Owner</t>
        </is>
      </c>
      <c r="F15" s="16" t="inlineStr">
        <is>
          <t>Specialization</t>
        </is>
      </c>
      <c r="G15" s="16" t="inlineStr">
        <is>
          <t>medium</t>
        </is>
      </c>
      <c r="H15" s="16" t="inlineStr"/>
      <c r="I15" s="16" t="n">
        <v>5</v>
      </c>
      <c r="J15" s="17" t="inlineStr">
        <is>
          <t>3.3.1 - 3.3.5</t>
        </is>
      </c>
      <c r="K15" s="18" t="n"/>
      <c r="L15" s="18" t="n"/>
      <c r="M15" s="19">
        <f>IF(COUNTIF('2. Realization catalog'!$B$2:$B$500,$B15)=0,"",SUMPRODUCT(MAX(('2. Realization catalog'!$B$2:$B$500=$B15)*('2. Realization catalog'!$H$2:$H$500))))</f>
        <v/>
      </c>
      <c r="N15" s="20" t="n"/>
      <c r="O15" s="20" t="n"/>
      <c r="P15" s="20" t="n"/>
    </row>
    <row r="16" ht="30" customHeight="1">
      <c r="A16" s="11" t="inlineStr">
        <is>
          <t>D3</t>
        </is>
      </c>
      <c r="B16" s="12" t="inlineStr">
        <is>
          <t>3.4</t>
        </is>
      </c>
      <c r="C16" s="13" t="inlineStr">
        <is>
          <t>Metadata, Lineage &amp; Cataloging for AI</t>
        </is>
      </c>
      <c r="D16" s="14" t="inlineStr">
        <is>
          <t>Able to find data, understand what it means, and trace where it went.</t>
        </is>
      </c>
      <c r="E16" s="15" t="inlineStr">
        <is>
          <t>Data Governance Owner</t>
        </is>
      </c>
      <c r="F16" s="16" t="inlineStr">
        <is>
          <t>Specialization</t>
        </is>
      </c>
      <c r="G16" s="16" t="inlineStr">
        <is>
          <t>high</t>
        </is>
      </c>
      <c r="H16" s="16" t="inlineStr"/>
      <c r="I16" s="16" t="n">
        <v>4</v>
      </c>
      <c r="J16" s="17" t="inlineStr">
        <is>
          <t>3.4.1 - 3.4.4</t>
        </is>
      </c>
      <c r="K16" s="18" t="n"/>
      <c r="L16" s="18" t="n"/>
      <c r="M16" s="19">
        <f>IF(COUNTIF('2. Realization catalog'!$B$2:$B$500,$B16)=0,"",SUMPRODUCT(MAX(('2. Realization catalog'!$B$2:$B$500=$B16)*('2. Realization catalog'!$H$2:$H$500))))</f>
        <v/>
      </c>
      <c r="N16" s="20" t="n"/>
      <c r="O16" s="20" t="n"/>
      <c r="P16" s="20" t="n"/>
    </row>
    <row r="17" ht="30" customHeight="1">
      <c r="A17" s="11" t="inlineStr">
        <is>
          <t>D3</t>
        </is>
      </c>
      <c r="B17" s="12" t="inlineStr">
        <is>
          <t>3.5</t>
        </is>
      </c>
      <c r="C17" s="13" t="inlineStr">
        <is>
          <t>Knowledge Corpus &amp; Content Management</t>
        </is>
      </c>
      <c r="D17" s="14" t="inlineStr">
        <is>
          <t>Able to curate the document and content estate that grounded AI depends on.</t>
        </is>
      </c>
      <c r="E17" s="15" t="inlineStr">
        <is>
          <t>Knowledge Management Owner</t>
        </is>
      </c>
      <c r="F17" s="16" t="inlineStr">
        <is>
          <t>New</t>
        </is>
      </c>
      <c r="G17" s="16" t="inlineStr">
        <is>
          <t>medium</t>
        </is>
      </c>
      <c r="H17" s="16" t="inlineStr"/>
      <c r="I17" s="16" t="n">
        <v>5</v>
      </c>
      <c r="J17" s="17" t="inlineStr">
        <is>
          <t>3.5.1 - 3.5.5</t>
        </is>
      </c>
      <c r="K17" s="18" t="n"/>
      <c r="L17" s="18" t="n"/>
      <c r="M17" s="19">
        <f>IF(COUNTIF('2. Realization catalog'!$B$2:$B$500,$B17)=0,"",SUMPRODUCT(MAX(('2. Realization catalog'!$B$2:$B$500=$B17)*('2. Realization catalog'!$H$2:$H$500))))</f>
        <v/>
      </c>
      <c r="N17" s="20" t="n"/>
      <c r="O17" s="20" t="n"/>
      <c r="P17" s="20" t="n"/>
    </row>
    <row r="18" ht="30" customHeight="1">
      <c r="A18" s="11" t="inlineStr">
        <is>
          <t>D3</t>
        </is>
      </c>
      <c r="B18" s="12" t="inlineStr">
        <is>
          <t>3.6</t>
        </is>
      </c>
      <c r="C18" s="13" t="inlineStr">
        <is>
          <t>Knowledge Access &amp; Retrieval</t>
        </is>
      </c>
      <c r="D18" s="14" t="inlineStr">
        <is>
          <t>Able to return the right knowledge to the right requester, with its provenance intact.</t>
        </is>
      </c>
      <c r="E18" s="15" t="inlineStr">
        <is>
          <t>Knowledge Platform Owner</t>
        </is>
      </c>
      <c r="F18" s="16" t="inlineStr">
        <is>
          <t>New</t>
        </is>
      </c>
      <c r="G18" s="21" t="inlineStr">
        <is>
          <t>low</t>
        </is>
      </c>
      <c r="H18" s="16" t="inlineStr"/>
      <c r="I18" s="16" t="n">
        <v>5</v>
      </c>
      <c r="J18" s="17" t="inlineStr">
        <is>
          <t>3.6.1 - 3.6.5</t>
        </is>
      </c>
      <c r="K18" s="18" t="n"/>
      <c r="L18" s="18" t="n"/>
      <c r="M18" s="19">
        <f>IF(COUNTIF('2. Realization catalog'!$B$2:$B$500,$B18)=0,"",SUMPRODUCT(MAX(('2. Realization catalog'!$B$2:$B$500=$B18)*('2. Realization catalog'!$H$2:$H$500))))</f>
        <v/>
      </c>
      <c r="N18" s="20" t="n"/>
      <c r="O18" s="20" t="n"/>
      <c r="P18" s="20" t="n"/>
    </row>
    <row r="19" ht="30" customHeight="1">
      <c r="A19" s="11" t="inlineStr">
        <is>
          <t>D3</t>
        </is>
      </c>
      <c r="B19" s="12" t="inlineStr">
        <is>
          <t>3.7</t>
        </is>
      </c>
      <c r="C19" s="13" t="inlineStr">
        <is>
          <t>Derived Representation Management</t>
        </is>
      </c>
      <c r="D19" s="14" t="inlineStr">
        <is>
          <t>Able to manage derived representations of data as governed assets in their own right.</t>
        </is>
      </c>
      <c r="E19" s="15" t="inlineStr">
        <is>
          <t>Data/ML Platform Owner</t>
        </is>
      </c>
      <c r="F19" s="16" t="inlineStr">
        <is>
          <t>New</t>
        </is>
      </c>
      <c r="G19" s="21" t="inlineStr">
        <is>
          <t>low</t>
        </is>
      </c>
      <c r="H19" s="16" t="inlineStr"/>
      <c r="I19" s="16" t="n">
        <v>4</v>
      </c>
      <c r="J19" s="17" t="inlineStr">
        <is>
          <t>3.7.1 - 3.7.4</t>
        </is>
      </c>
      <c r="K19" s="18" t="n"/>
      <c r="L19" s="18" t="n"/>
      <c r="M19" s="19">
        <f>IF(COUNTIF('2. Realization catalog'!$B$2:$B$500,$B19)=0,"",SUMPRODUCT(MAX(('2. Realization catalog'!$B$2:$B$500=$B19)*('2. Realization catalog'!$H$2:$H$500))))</f>
        <v/>
      </c>
      <c r="N19" s="20" t="n"/>
      <c r="O19" s="20" t="n"/>
      <c r="P19" s="20" t="n"/>
    </row>
    <row r="20" ht="30" customHeight="1">
      <c r="A20" s="11" t="inlineStr">
        <is>
          <t>D4</t>
        </is>
      </c>
      <c r="B20" s="12" t="inlineStr">
        <is>
          <t>4.1</t>
        </is>
      </c>
      <c r="C20" s="13" t="inlineStr">
        <is>
          <t>AI Architecture Management &amp; Solution Governance</t>
        </is>
      </c>
      <c r="D20" s="14" t="inlineStr">
        <is>
          <t>Able to set, steward and enforce the architecture that AI solutions are built to.</t>
        </is>
      </c>
      <c r="E20" s="15" t="inlineStr">
        <is>
          <t>Chief Enterprise Architect</t>
        </is>
      </c>
      <c r="F20" s="21" t="inlineStr">
        <is>
          <t>Lens - keep existing node</t>
        </is>
      </c>
      <c r="G20" s="16" t="inlineStr">
        <is>
          <t>medium</t>
        </is>
      </c>
      <c r="H20" s="16" t="inlineStr"/>
      <c r="I20" s="16" t="n">
        <v>7</v>
      </c>
      <c r="J20" s="17" t="inlineStr">
        <is>
          <t>4.1.1 - 4.1.7</t>
        </is>
      </c>
      <c r="K20" s="18" t="n"/>
      <c r="L20" s="18" t="n"/>
      <c r="M20" s="19">
        <f>IF(COUNTIF('2. Realization catalog'!$B$2:$B$500,$B20)=0,"",SUMPRODUCT(MAX(('2. Realization catalog'!$B$2:$B$500=$B20)*('2. Realization catalog'!$H$2:$H$500))))</f>
        <v/>
      </c>
      <c r="N20" s="20" t="n"/>
      <c r="O20" s="20" t="n"/>
      <c r="P20" s="20" t="n"/>
    </row>
    <row r="21" ht="30" customHeight="1">
      <c r="A21" s="11" t="inlineStr">
        <is>
          <t>D4</t>
        </is>
      </c>
      <c r="B21" s="12" t="inlineStr">
        <is>
          <t>4.2</t>
        </is>
      </c>
      <c r="C21" s="13" t="inlineStr">
        <is>
          <t>Model Selection, Customization &amp; Tuning</t>
        </is>
      </c>
      <c r="D21" s="14" t="inlineStr">
        <is>
          <t>Able to choose and adapt models on evidence, and to record what was done.</t>
        </is>
      </c>
      <c r="E21" s="15" t="inlineStr">
        <is>
          <t>AI Engineering Owner</t>
        </is>
      </c>
      <c r="F21" s="16" t="inlineStr">
        <is>
          <t>New</t>
        </is>
      </c>
      <c r="G21" s="16" t="inlineStr">
        <is>
          <t>medium</t>
        </is>
      </c>
      <c r="H21" s="16" t="inlineStr"/>
      <c r="I21" s="16" t="n">
        <v>5</v>
      </c>
      <c r="J21" s="17" t="inlineStr">
        <is>
          <t>4.2.1 - 4.2.5</t>
        </is>
      </c>
      <c r="K21" s="18" t="n"/>
      <c r="L21" s="18" t="n"/>
      <c r="M21" s="19">
        <f>IF(COUNTIF('2. Realization catalog'!$B$2:$B$500,$B21)=0,"",SUMPRODUCT(MAX(('2. Realization catalog'!$B$2:$B$500=$B21)*('2. Realization catalog'!$H$2:$H$500))))</f>
        <v/>
      </c>
      <c r="N21" s="20" t="n"/>
      <c r="O21" s="20" t="n"/>
      <c r="P21" s="20" t="n"/>
    </row>
    <row r="22" ht="30" customHeight="1">
      <c r="A22" s="11" t="inlineStr">
        <is>
          <t>D4</t>
        </is>
      </c>
      <c r="B22" s="12" t="inlineStr">
        <is>
          <t>4.3</t>
        </is>
      </c>
      <c r="C22" s="13" t="inlineStr">
        <is>
          <t>Prompt &amp; Context Engineering</t>
        </is>
      </c>
      <c r="D22" s="14" t="inlineStr">
        <is>
          <t>Able to treat prompts and context assembly as versioned, tested engineering artifacts.</t>
        </is>
      </c>
      <c r="E22" s="15" t="inlineStr">
        <is>
          <t>AI Engineering Owner</t>
        </is>
      </c>
      <c r="F22" s="16" t="inlineStr">
        <is>
          <t>New</t>
        </is>
      </c>
      <c r="G22" s="16" t="inlineStr">
        <is>
          <t>medium</t>
        </is>
      </c>
      <c r="H22" s="16" t="inlineStr">
        <is>
          <t>Yes</t>
        </is>
      </c>
      <c r="I22" s="16" t="n">
        <v>5</v>
      </c>
      <c r="J22" s="17" t="inlineStr">
        <is>
          <t>4.3.1 - 4.3.5</t>
        </is>
      </c>
      <c r="K22" s="18" t="n"/>
      <c r="L22" s="18" t="n"/>
      <c r="M22" s="19">
        <f>IF(COUNTIF('2. Realization catalog'!$B$2:$B$500,$B22)=0,"",SUMPRODUCT(MAX(('2. Realization catalog'!$B$2:$B$500=$B22)*('2. Realization catalog'!$H$2:$H$500))))</f>
        <v/>
      </c>
      <c r="N22" s="20" t="n"/>
      <c r="O22" s="20" t="n"/>
      <c r="P22" s="20" t="n"/>
    </row>
    <row r="23" ht="30" customHeight="1">
      <c r="A23" s="11" t="inlineStr">
        <is>
          <t>D4</t>
        </is>
      </c>
      <c r="B23" s="12" t="inlineStr">
        <is>
          <t>4.4</t>
        </is>
      </c>
      <c r="C23" s="13" t="inlineStr">
        <is>
          <t>Agent &amp; Workflow Orchestration Design</t>
        </is>
      </c>
      <c r="D23" s="14" t="inlineStr">
        <is>
          <t>Able to design what an agent may pursue, how it plans, and where it must stop.</t>
        </is>
      </c>
      <c r="E23" s="15" t="inlineStr">
        <is>
          <t>AI Engineering Owner</t>
        </is>
      </c>
      <c r="F23" s="16" t="inlineStr">
        <is>
          <t>New</t>
        </is>
      </c>
      <c r="G23" s="21" t="inlineStr">
        <is>
          <t>low</t>
        </is>
      </c>
      <c r="H23" s="16" t="inlineStr">
        <is>
          <t>Yes</t>
        </is>
      </c>
      <c r="I23" s="16" t="n">
        <v>6</v>
      </c>
      <c r="J23" s="17" t="inlineStr">
        <is>
          <t>4.4.1 - 4.4.6</t>
        </is>
      </c>
      <c r="K23" s="18" t="n"/>
      <c r="L23" s="18" t="n"/>
      <c r="M23" s="19">
        <f>IF(COUNTIF('2. Realization catalog'!$B$2:$B$500,$B23)=0,"",SUMPRODUCT(MAX(('2. Realization catalog'!$B$2:$B$500=$B23)*('2. Realization catalog'!$H$2:$H$500))))</f>
        <v/>
      </c>
      <c r="N23" s="20" t="n"/>
      <c r="O23" s="20" t="n"/>
      <c r="P23" s="20" t="n"/>
    </row>
    <row r="24" ht="30" customHeight="1">
      <c r="A24" s="11" t="inlineStr">
        <is>
          <t>D4</t>
        </is>
      </c>
      <c r="B24" s="12" t="inlineStr">
        <is>
          <t>4.5</t>
        </is>
      </c>
      <c r="C24" s="13" t="inlineStr">
        <is>
          <t>Integration &amp; Tool Enablement</t>
        </is>
      </c>
      <c r="D24" s="14" t="inlineStr">
        <is>
          <t>Able to give AI systems safe, governed reach into institutional systems.</t>
        </is>
      </c>
      <c r="E24" s="15" t="inlineStr">
        <is>
          <t>Integration Architecture Owner</t>
        </is>
      </c>
      <c r="F24" s="16" t="inlineStr">
        <is>
          <t>New</t>
        </is>
      </c>
      <c r="G24" s="16" t="inlineStr">
        <is>
          <t>medium</t>
        </is>
      </c>
      <c r="H24" s="16" t="inlineStr">
        <is>
          <t>Yes</t>
        </is>
      </c>
      <c r="I24" s="16" t="n">
        <v>5</v>
      </c>
      <c r="J24" s="17" t="inlineStr">
        <is>
          <t>4.5.1 - 4.5.5</t>
        </is>
      </c>
      <c r="K24" s="18" t="n"/>
      <c r="L24" s="18" t="n"/>
      <c r="M24" s="19">
        <f>IF(COUNTIF('2. Realization catalog'!$B$2:$B$500,$B24)=0,"",SUMPRODUCT(MAX(('2. Realization catalog'!$B$2:$B$500=$B24)*('2. Realization catalog'!$H$2:$H$500))))</f>
        <v/>
      </c>
      <c r="N24" s="20" t="n"/>
      <c r="O24" s="20" t="n"/>
      <c r="P24" s="20" t="n"/>
    </row>
    <row r="25" ht="30" customHeight="1">
      <c r="A25" s="11" t="inlineStr">
        <is>
          <t>D4</t>
        </is>
      </c>
      <c r="B25" s="12" t="inlineStr">
        <is>
          <t>4.6</t>
        </is>
      </c>
      <c r="C25" s="13" t="inlineStr">
        <is>
          <t>AI Evaluation &amp; Testing</t>
        </is>
      </c>
      <c r="D25" s="14" t="inlineStr">
        <is>
          <t>Able to state, before release, what the system does and does not do reliably.</t>
        </is>
      </c>
      <c r="E25" s="15" t="inlineStr">
        <is>
          <t>Quality Engineering Owner</t>
        </is>
      </c>
      <c r="F25" s="16" t="inlineStr">
        <is>
          <t>New</t>
        </is>
      </c>
      <c r="G25" s="16" t="inlineStr">
        <is>
          <t>medium</t>
        </is>
      </c>
      <c r="H25" s="16" t="inlineStr"/>
      <c r="I25" s="16" t="n">
        <v>5</v>
      </c>
      <c r="J25" s="17" t="inlineStr">
        <is>
          <t>4.6.1 - 4.6.5</t>
        </is>
      </c>
      <c r="K25" s="18" t="n"/>
      <c r="L25" s="18" t="n"/>
      <c r="M25" s="19">
        <f>IF(COUNTIF('2. Realization catalog'!$B$2:$B$500,$B25)=0,"",SUMPRODUCT(MAX(('2. Realization catalog'!$B$2:$B$500=$B25)*('2. Realization catalog'!$H$2:$H$500))))</f>
        <v/>
      </c>
      <c r="N25" s="20" t="n"/>
      <c r="O25" s="20" t="n"/>
      <c r="P25" s="20" t="n"/>
    </row>
    <row r="26" ht="30" customHeight="1">
      <c r="A26" s="11" t="inlineStr">
        <is>
          <t>D4</t>
        </is>
      </c>
      <c r="B26" s="12" t="inlineStr">
        <is>
          <t>4.7</t>
        </is>
      </c>
      <c r="C26" s="13" t="inlineStr">
        <is>
          <t>AI Release &amp; Change Management</t>
        </is>
      </c>
      <c r="D26" s="14" t="inlineStr">
        <is>
          <t>Able to move AI change into production under control and to reverse it.</t>
        </is>
      </c>
      <c r="E26" s="15" t="inlineStr">
        <is>
          <t>DevSecOps Owner</t>
        </is>
      </c>
      <c r="F26" s="21" t="inlineStr">
        <is>
          <t>Lens - keep existing node</t>
        </is>
      </c>
      <c r="G26" s="16" t="inlineStr">
        <is>
          <t>high</t>
        </is>
      </c>
      <c r="H26" s="16" t="inlineStr"/>
      <c r="I26" s="16" t="n">
        <v>5</v>
      </c>
      <c r="J26" s="17" t="inlineStr">
        <is>
          <t>4.7.1 - 4.7.5</t>
        </is>
      </c>
      <c r="K26" s="18" t="n"/>
      <c r="L26" s="18" t="n"/>
      <c r="M26" s="19">
        <f>IF(COUNTIF('2. Realization catalog'!$B$2:$B$500,$B26)=0,"",SUMPRODUCT(MAX(('2. Realization catalog'!$B$2:$B$500=$B26)*('2. Realization catalog'!$H$2:$H$500))))</f>
        <v/>
      </c>
      <c r="N26" s="20" t="n"/>
      <c r="O26" s="20" t="n"/>
      <c r="P26" s="20" t="n"/>
    </row>
    <row r="27" ht="30" customHeight="1">
      <c r="A27" s="11" t="inlineStr">
        <is>
          <t>D5</t>
        </is>
      </c>
      <c r="B27" s="12" t="inlineStr">
        <is>
          <t>5.1</t>
        </is>
      </c>
      <c r="C27" s="13" t="inlineStr">
        <is>
          <t>AI Platform Service Provisioning</t>
        </is>
      </c>
      <c r="D27" s="14" t="inlineStr">
        <is>
          <t>Able to offer AI platform services as a governed, supported institutional service.</t>
        </is>
      </c>
      <c r="E27" s="15" t="inlineStr">
        <is>
          <t>AI Platform Owner</t>
        </is>
      </c>
      <c r="F27" s="16" t="inlineStr">
        <is>
          <t>Specialization</t>
        </is>
      </c>
      <c r="G27" s="16" t="inlineStr">
        <is>
          <t>medium</t>
        </is>
      </c>
      <c r="H27" s="16" t="inlineStr"/>
      <c r="I27" s="16" t="n">
        <v>5</v>
      </c>
      <c r="J27" s="17" t="inlineStr">
        <is>
          <t>5.1.1 - 5.1.5</t>
        </is>
      </c>
      <c r="K27" s="18" t="n"/>
      <c r="L27" s="18" t="n"/>
      <c r="M27" s="19">
        <f>IF(COUNTIF('2. Realization catalog'!$B$2:$B$500,$B27)=0,"",SUMPRODUCT(MAX(('2. Realization catalog'!$B$2:$B$500=$B27)*('2. Realization catalog'!$H$2:$H$500))))</f>
        <v/>
      </c>
      <c r="N27" s="20" t="n"/>
      <c r="O27" s="20" t="n"/>
      <c r="P27" s="20" t="n"/>
    </row>
    <row r="28" ht="30" customHeight="1">
      <c r="A28" s="11" t="inlineStr">
        <is>
          <t>D5</t>
        </is>
      </c>
      <c r="B28" s="12" t="inlineStr">
        <is>
          <t>5.2</t>
        </is>
      </c>
      <c r="C28" s="13" t="inlineStr">
        <is>
          <t>Model Access &amp; Traffic Management</t>
        </is>
      </c>
      <c r="D28" s="14" t="inlineStr">
        <is>
          <t>Able to control which models the institution may call, through one governed path.</t>
        </is>
      </c>
      <c r="E28" s="15" t="inlineStr">
        <is>
          <t>AI Platform Owner</t>
        </is>
      </c>
      <c r="F28" s="16" t="inlineStr">
        <is>
          <t>New</t>
        </is>
      </c>
      <c r="G28" s="21" t="inlineStr">
        <is>
          <t>low</t>
        </is>
      </c>
      <c r="H28" s="16" t="inlineStr"/>
      <c r="I28" s="16" t="n">
        <v>5</v>
      </c>
      <c r="J28" s="17" t="inlineStr">
        <is>
          <t>5.2.1 - 5.2.5</t>
        </is>
      </c>
      <c r="K28" s="18" t="n"/>
      <c r="L28" s="18" t="n"/>
      <c r="M28" s="19">
        <f>IF(COUNTIF('2. Realization catalog'!$B$2:$B$500,$B28)=0,"",SUMPRODUCT(MAX(('2. Realization catalog'!$B$2:$B$500=$B28)*('2. Realization catalog'!$H$2:$H$500))))</f>
        <v/>
      </c>
      <c r="N28" s="20" t="n"/>
      <c r="O28" s="20" t="n"/>
      <c r="P28" s="20" t="n"/>
    </row>
    <row r="29" ht="30" customHeight="1">
      <c r="A29" s="11" t="inlineStr">
        <is>
          <t>D5</t>
        </is>
      </c>
      <c r="B29" s="12" t="inlineStr">
        <is>
          <t>5.3</t>
        </is>
      </c>
      <c r="C29" s="13" t="inlineStr">
        <is>
          <t>AI Environment &amp; Workspace Management</t>
        </is>
      </c>
      <c r="D29" s="14" t="inlineStr">
        <is>
          <t>Able to give teams isolated places to work without weakening controls.</t>
        </is>
      </c>
      <c r="E29" s="15" t="inlineStr">
        <is>
          <t>Cloud Platform Owner</t>
        </is>
      </c>
      <c r="F29" s="21" t="inlineStr">
        <is>
          <t>Lens - keep existing node</t>
        </is>
      </c>
      <c r="G29" s="16" t="inlineStr">
        <is>
          <t>medium</t>
        </is>
      </c>
      <c r="H29" s="16" t="inlineStr"/>
      <c r="I29" s="16" t="n">
        <v>4</v>
      </c>
      <c r="J29" s="17" t="inlineStr">
        <is>
          <t>5.3.1 - 5.3.4</t>
        </is>
      </c>
      <c r="K29" s="18" t="n"/>
      <c r="L29" s="18" t="n"/>
      <c r="M29" s="19">
        <f>IF(COUNTIF('2. Realization catalog'!$B$2:$B$500,$B29)=0,"",SUMPRODUCT(MAX(('2. Realization catalog'!$B$2:$B$500=$B29)*('2. Realization catalog'!$H$2:$H$500))))</f>
        <v/>
      </c>
      <c r="N29" s="20" t="n"/>
      <c r="O29" s="20" t="n"/>
      <c r="P29" s="20" t="n"/>
    </row>
    <row r="30" ht="30" customHeight="1">
      <c r="A30" s="11" t="inlineStr">
        <is>
          <t>D5</t>
        </is>
      </c>
      <c r="B30" s="12" t="inlineStr">
        <is>
          <t>5.4</t>
        </is>
      </c>
      <c r="C30" s="13" t="inlineStr">
        <is>
          <t>AI Compute &amp; Capacity Management</t>
        </is>
      </c>
      <c r="D30" s="14" t="inlineStr">
        <is>
          <t>Able to secure and allocate the compute that AI work requires.</t>
        </is>
      </c>
      <c r="E30" s="15" t="inlineStr">
        <is>
          <t>Infrastructure Platform Owner</t>
        </is>
      </c>
      <c r="F30" s="16" t="inlineStr">
        <is>
          <t>Specialization</t>
        </is>
      </c>
      <c r="G30" s="16" t="inlineStr">
        <is>
          <t>medium</t>
        </is>
      </c>
      <c r="H30" s="16" t="inlineStr"/>
      <c r="I30" s="16" t="n">
        <v>5</v>
      </c>
      <c r="J30" s="17" t="inlineStr">
        <is>
          <t>5.4.1 - 5.4.5</t>
        </is>
      </c>
      <c r="K30" s="18" t="n"/>
      <c r="L30" s="18" t="n"/>
      <c r="M30" s="19">
        <f>IF(COUNTIF('2. Realization catalog'!$B$2:$B$500,$B30)=0,"",SUMPRODUCT(MAX(('2. Realization catalog'!$B$2:$B$500=$B30)*('2. Realization catalog'!$H$2:$H$500))))</f>
        <v/>
      </c>
      <c r="N30" s="20" t="n"/>
      <c r="O30" s="20" t="n"/>
      <c r="P30" s="20" t="n"/>
    </row>
    <row r="31" ht="30" customHeight="1">
      <c r="A31" s="11" t="inlineStr">
        <is>
          <t>D5</t>
        </is>
      </c>
      <c r="B31" s="12" t="inlineStr">
        <is>
          <t>5.5</t>
        </is>
      </c>
      <c r="C31" s="13" t="inlineStr">
        <is>
          <t>Tool &amp; Connector Catalog Management</t>
        </is>
      </c>
      <c r="D31" s="14" t="inlineStr">
        <is>
          <t>Able to control what actions AI systems can reach, as a governed inventory.</t>
        </is>
      </c>
      <c r="E31" s="15" t="inlineStr">
        <is>
          <t>Integration Platform Owner</t>
        </is>
      </c>
      <c r="F31" s="16" t="inlineStr">
        <is>
          <t>New</t>
        </is>
      </c>
      <c r="G31" s="21" t="inlineStr">
        <is>
          <t>low</t>
        </is>
      </c>
      <c r="H31" s="16" t="inlineStr">
        <is>
          <t>Yes</t>
        </is>
      </c>
      <c r="I31" s="16" t="n">
        <v>5</v>
      </c>
      <c r="J31" s="17" t="inlineStr">
        <is>
          <t>5.5.1 - 5.5.5</t>
        </is>
      </c>
      <c r="K31" s="18" t="n"/>
      <c r="L31" s="18" t="n"/>
      <c r="M31" s="19">
        <f>IF(COUNTIF('2. Realization catalog'!$B$2:$B$500,$B31)=0,"",SUMPRODUCT(MAX(('2. Realization catalog'!$B$2:$B$500=$B31)*('2. Realization catalog'!$H$2:$H$500))))</f>
        <v/>
      </c>
      <c r="N31" s="20" t="n"/>
      <c r="O31" s="20" t="n"/>
      <c r="P31" s="20" t="n"/>
    </row>
    <row r="32" ht="30" customHeight="1">
      <c r="A32" s="11" t="inlineStr">
        <is>
          <t>D5</t>
        </is>
      </c>
      <c r="B32" s="12" t="inlineStr">
        <is>
          <t>5.6</t>
        </is>
      </c>
      <c r="C32" s="13" t="inlineStr">
        <is>
          <t>AI Developer Experience &amp; Reuse Assets</t>
        </is>
      </c>
      <c r="D32" s="14" t="inlineStr">
        <is>
          <t>Able to make the compliant path the easiest path for delivery teams.</t>
        </is>
      </c>
      <c r="E32" s="15" t="inlineStr">
        <is>
          <t>Developer Platform Owner</t>
        </is>
      </c>
      <c r="F32" s="16" t="inlineStr">
        <is>
          <t>Specialization</t>
        </is>
      </c>
      <c r="G32" s="16" t="inlineStr">
        <is>
          <t>medium</t>
        </is>
      </c>
      <c r="H32" s="16" t="inlineStr"/>
      <c r="I32" s="16" t="n">
        <v>5</v>
      </c>
      <c r="J32" s="17" t="inlineStr">
        <is>
          <t>5.6.1 - 5.6.5</t>
        </is>
      </c>
      <c r="K32" s="18" t="n"/>
      <c r="L32" s="18" t="n"/>
      <c r="M32" s="19">
        <f>IF(COUNTIF('2. Realization catalog'!$B$2:$B$500,$B32)=0,"",SUMPRODUCT(MAX(('2. Realization catalog'!$B$2:$B$500=$B32)*('2. Realization catalog'!$H$2:$H$500))))</f>
        <v/>
      </c>
      <c r="N32" s="20" t="n"/>
      <c r="O32" s="20" t="n"/>
      <c r="P32" s="20" t="n"/>
    </row>
    <row r="33" ht="30" customHeight="1">
      <c r="A33" s="11" t="inlineStr">
        <is>
          <t>D6</t>
        </is>
      </c>
      <c r="B33" s="12" t="inlineStr">
        <is>
          <t>6.1</t>
        </is>
      </c>
      <c r="C33" s="13" t="inlineStr">
        <is>
          <t>AI Deployment &amp; Serving Operations</t>
        </is>
      </c>
      <c r="D33" s="14" t="inlineStr">
        <is>
          <t>Able to place AI systems into production and keep them serving.</t>
        </is>
      </c>
      <c r="E33" s="15" t="inlineStr">
        <is>
          <t>AI Operations Owner</t>
        </is>
      </c>
      <c r="F33" s="16" t="inlineStr">
        <is>
          <t>Specialization</t>
        </is>
      </c>
      <c r="G33" s="16" t="inlineStr">
        <is>
          <t>medium</t>
        </is>
      </c>
      <c r="H33" s="16" t="inlineStr">
        <is>
          <t>Yes</t>
        </is>
      </c>
      <c r="I33" s="16" t="n">
        <v>5</v>
      </c>
      <c r="J33" s="17" t="inlineStr">
        <is>
          <t>6.1.1 - 6.1.5</t>
        </is>
      </c>
      <c r="K33" s="18" t="n"/>
      <c r="L33" s="18" t="n"/>
      <c r="M33" s="19">
        <f>IF(COUNTIF('2. Realization catalog'!$B$2:$B$500,$B33)=0,"",SUMPRODUCT(MAX(('2. Realization catalog'!$B$2:$B$500=$B33)*('2. Realization catalog'!$H$2:$H$500))))</f>
        <v/>
      </c>
      <c r="N33" s="20" t="n"/>
      <c r="O33" s="20" t="n"/>
      <c r="P33" s="20" t="n"/>
    </row>
    <row r="34" ht="30" customHeight="1">
      <c r="A34" s="11" t="inlineStr">
        <is>
          <t>D6</t>
        </is>
      </c>
      <c r="B34" s="12" t="inlineStr">
        <is>
          <t>6.2</t>
        </is>
      </c>
      <c r="C34" s="13" t="inlineStr">
        <is>
          <t>AI Monitoring &amp; Observability</t>
        </is>
      </c>
      <c r="D34" s="14" t="inlineStr">
        <is>
          <t>Able to see what an AI system did, in enough detail to explain it afterwards.</t>
        </is>
      </c>
      <c r="E34" s="15" t="inlineStr">
        <is>
          <t>AI SRE Owner</t>
        </is>
      </c>
      <c r="F34" s="16" t="inlineStr">
        <is>
          <t>Specialization</t>
        </is>
      </c>
      <c r="G34" s="16" t="inlineStr">
        <is>
          <t>medium</t>
        </is>
      </c>
      <c r="H34" s="16" t="inlineStr">
        <is>
          <t>Yes</t>
        </is>
      </c>
      <c r="I34" s="16" t="n">
        <v>5</v>
      </c>
      <c r="J34" s="17" t="inlineStr">
        <is>
          <t>6.2.1 - 6.2.5</t>
        </is>
      </c>
      <c r="K34" s="18" t="n"/>
      <c r="L34" s="18" t="n"/>
      <c r="M34" s="19">
        <f>IF(COUNTIF('2. Realization catalog'!$B$2:$B$500,$B34)=0,"",SUMPRODUCT(MAX(('2. Realization catalog'!$B$2:$B$500=$B34)*('2. Realization catalog'!$H$2:$H$500))))</f>
        <v/>
      </c>
      <c r="N34" s="20" t="n"/>
      <c r="O34" s="20" t="n"/>
      <c r="P34" s="20" t="n"/>
    </row>
    <row r="35" ht="30" customHeight="1">
      <c r="A35" s="11" t="inlineStr">
        <is>
          <t>D6</t>
        </is>
      </c>
      <c r="B35" s="12" t="inlineStr">
        <is>
          <t>6.3</t>
        </is>
      </c>
      <c r="C35" s="13" t="inlineStr">
        <is>
          <t>Continuous Evaluation, Drift &amp; Quality Management</t>
        </is>
      </c>
      <c r="D35" s="14" t="inlineStr">
        <is>
          <t>Able to know that a system still performs as it did at release.</t>
        </is>
      </c>
      <c r="E35" s="15" t="inlineStr">
        <is>
          <t>AI Product Operations Owner</t>
        </is>
      </c>
      <c r="F35" s="16" t="inlineStr">
        <is>
          <t>New</t>
        </is>
      </c>
      <c r="G35" s="16" t="inlineStr">
        <is>
          <t>medium</t>
        </is>
      </c>
      <c r="H35" s="16" t="inlineStr"/>
      <c r="I35" s="16" t="n">
        <v>5</v>
      </c>
      <c r="J35" s="17" t="inlineStr">
        <is>
          <t>6.3.1 - 6.3.5</t>
        </is>
      </c>
      <c r="K35" s="18" t="n"/>
      <c r="L35" s="18" t="n"/>
      <c r="M35" s="19">
        <f>IF(COUNTIF('2. Realization catalog'!$B$2:$B$500,$B35)=0,"",SUMPRODUCT(MAX(('2. Realization catalog'!$B$2:$B$500=$B35)*('2. Realization catalog'!$H$2:$H$500))))</f>
        <v/>
      </c>
      <c r="N35" s="20" t="n"/>
      <c r="O35" s="20" t="n"/>
      <c r="P35" s="20" t="n"/>
    </row>
    <row r="36" ht="30" customHeight="1">
      <c r="A36" s="11" t="inlineStr">
        <is>
          <t>D6</t>
        </is>
      </c>
      <c r="B36" s="12" t="inlineStr">
        <is>
          <t>6.4</t>
        </is>
      </c>
      <c r="C36" s="13" t="inlineStr">
        <is>
          <t>AI Incident &amp; Problem Management</t>
        </is>
      </c>
      <c r="D36" s="14" t="inlineStr">
        <is>
          <t>Able to stop AI harm quickly and account for it afterwards.</t>
        </is>
      </c>
      <c r="E36" s="15" t="inlineStr">
        <is>
          <t>Service Operations Owner</t>
        </is>
      </c>
      <c r="F36" s="21" t="inlineStr">
        <is>
          <t>Lens - keep existing node</t>
        </is>
      </c>
      <c r="G36" s="16" t="inlineStr">
        <is>
          <t>high</t>
        </is>
      </c>
      <c r="H36" s="16" t="inlineStr">
        <is>
          <t>Yes</t>
        </is>
      </c>
      <c r="I36" s="16" t="n">
        <v>5</v>
      </c>
      <c r="J36" s="17" t="inlineStr">
        <is>
          <t>6.4.1 - 6.4.5</t>
        </is>
      </c>
      <c r="K36" s="18" t="n"/>
      <c r="L36" s="18" t="n"/>
      <c r="M36" s="19">
        <f>IF(COUNTIF('2. Realization catalog'!$B$2:$B$500,$B36)=0,"",SUMPRODUCT(MAX(('2. Realization catalog'!$B$2:$B$500=$B36)*('2. Realization catalog'!$H$2:$H$500))))</f>
        <v/>
      </c>
      <c r="N36" s="20" t="n"/>
      <c r="O36" s="20" t="n"/>
      <c r="P36" s="20" t="n"/>
    </row>
    <row r="37" ht="30" customHeight="1">
      <c r="A37" s="11" t="inlineStr">
        <is>
          <t>D6</t>
        </is>
      </c>
      <c r="B37" s="12" t="inlineStr">
        <is>
          <t>6.5</t>
        </is>
      </c>
      <c r="C37" s="13" t="inlineStr">
        <is>
          <t>AI Cost Management</t>
        </is>
      </c>
      <c r="D37" s="14" t="inlineStr">
        <is>
          <t>Able to know what AI costs, per unit of value, and to control it.</t>
        </is>
      </c>
      <c r="E37" s="15" t="inlineStr">
        <is>
          <t>FinOps Owner</t>
        </is>
      </c>
      <c r="F37" s="21" t="inlineStr">
        <is>
          <t>Lens - keep existing node</t>
        </is>
      </c>
      <c r="G37" s="16" t="inlineStr">
        <is>
          <t>high</t>
        </is>
      </c>
      <c r="H37" s="16" t="inlineStr"/>
      <c r="I37" s="16" t="n">
        <v>4</v>
      </c>
      <c r="J37" s="17" t="inlineStr">
        <is>
          <t>6.5.1 - 6.5.4</t>
        </is>
      </c>
      <c r="K37" s="18" t="n"/>
      <c r="L37" s="18" t="n"/>
      <c r="M37" s="19">
        <f>IF(COUNTIF('2. Realization catalog'!$B$2:$B$500,$B37)=0,"",SUMPRODUCT(MAX(('2. Realization catalog'!$B$2:$B$500=$B37)*('2. Realization catalog'!$H$2:$H$500))))</f>
        <v/>
      </c>
      <c r="N37" s="20" t="n"/>
      <c r="O37" s="20" t="n"/>
      <c r="P37" s="20" t="n"/>
    </row>
    <row r="38" ht="30" customHeight="1">
      <c r="A38" s="11" t="inlineStr">
        <is>
          <t>D6</t>
        </is>
      </c>
      <c r="B38" s="12" t="inlineStr">
        <is>
          <t>6.6</t>
        </is>
      </c>
      <c r="C38" s="13" t="inlineStr">
        <is>
          <t>AI Asset Retirement &amp; Evidence Preservation</t>
        </is>
      </c>
      <c r="D38" s="14" t="inlineStr">
        <is>
          <t>Able to retire AI systems deliberately, with their evidence preserved.</t>
        </is>
      </c>
      <c r="E38" s="15" t="inlineStr">
        <is>
          <t>Asset Management Owner</t>
        </is>
      </c>
      <c r="F38" s="21" t="inlineStr">
        <is>
          <t>Lens - keep existing node</t>
        </is>
      </c>
      <c r="G38" s="16" t="inlineStr">
        <is>
          <t>high</t>
        </is>
      </c>
      <c r="H38" s="16" t="inlineStr"/>
      <c r="I38" s="16" t="n">
        <v>4</v>
      </c>
      <c r="J38" s="17" t="inlineStr">
        <is>
          <t>6.6.1 - 6.6.4</t>
        </is>
      </c>
      <c r="K38" s="18" t="n"/>
      <c r="L38" s="18" t="n"/>
      <c r="M38" s="19">
        <f>IF(COUNTIF('2. Realization catalog'!$B$2:$B$500,$B38)=0,"",SUMPRODUCT(MAX(('2. Realization catalog'!$B$2:$B$500=$B38)*('2. Realization catalog'!$H$2:$H$500))))</f>
        <v/>
      </c>
      <c r="N38" s="20" t="n"/>
      <c r="O38" s="20" t="n"/>
      <c r="P38" s="20" t="n"/>
    </row>
    <row r="39" ht="30" customHeight="1">
      <c r="A39" s="11" t="inlineStr">
        <is>
          <t>D7</t>
        </is>
      </c>
      <c r="B39" s="12" t="inlineStr">
        <is>
          <t>7.1</t>
        </is>
      </c>
      <c r="C39" s="13" t="inlineStr">
        <is>
          <t>AI Policy, Standards &amp; Management System</t>
        </is>
      </c>
      <c r="D39" s="14" t="inlineStr">
        <is>
          <t>Able to operate a functioning management system for AI, not a policy document.</t>
        </is>
      </c>
      <c r="E39" s="15" t="inlineStr">
        <is>
          <t>AI Management System Owner</t>
        </is>
      </c>
      <c r="F39" s="16" t="inlineStr">
        <is>
          <t>Specialization</t>
        </is>
      </c>
      <c r="G39" s="16" t="inlineStr">
        <is>
          <t>medium</t>
        </is>
      </c>
      <c r="H39" s="16" t="inlineStr"/>
      <c r="I39" s="16" t="n">
        <v>6</v>
      </c>
      <c r="J39" s="17" t="inlineStr">
        <is>
          <t>7.1.1 - 7.1.6</t>
        </is>
      </c>
      <c r="K39" s="18" t="n"/>
      <c r="L39" s="18" t="n"/>
      <c r="M39" s="19">
        <f>IF(COUNTIF('2. Realization catalog'!$B$2:$B$500,$B39)=0,"",SUMPRODUCT(MAX(('2. Realization catalog'!$B$2:$B$500=$B39)*('2. Realization catalog'!$H$2:$H$500))))</f>
        <v/>
      </c>
      <c r="N39" s="20" t="n"/>
      <c r="O39" s="20" t="n"/>
      <c r="P39" s="20" t="n"/>
    </row>
    <row r="40" ht="30" customHeight="1">
      <c r="A40" s="11" t="inlineStr">
        <is>
          <t>D7</t>
        </is>
      </c>
      <c r="B40" s="12" t="inlineStr">
        <is>
          <t>7.2</t>
        </is>
      </c>
      <c r="C40" s="13" t="inlineStr">
        <is>
          <t>Responsible &amp; Trustworthy AI Practice</t>
        </is>
      </c>
      <c r="D40" s="14" t="inlineStr">
        <is>
          <t>Able to make the institution's stated AI principles operative in delivered systems.</t>
        </is>
      </c>
      <c r="E40" s="15" t="inlineStr">
        <is>
          <t>Responsible AI Owner</t>
        </is>
      </c>
      <c r="F40" s="16" t="inlineStr">
        <is>
          <t>New</t>
        </is>
      </c>
      <c r="G40" s="16" t="inlineStr">
        <is>
          <t>medium</t>
        </is>
      </c>
      <c r="H40" s="16" t="inlineStr">
        <is>
          <t>Yes</t>
        </is>
      </c>
      <c r="I40" s="16" t="n">
        <v>5</v>
      </c>
      <c r="J40" s="17" t="inlineStr">
        <is>
          <t>7.2.1 - 7.2.5</t>
        </is>
      </c>
      <c r="K40" s="18" t="n"/>
      <c r="L40" s="18" t="n"/>
      <c r="M40" s="19">
        <f>IF(COUNTIF('2. Realization catalog'!$B$2:$B$500,$B40)=0,"",SUMPRODUCT(MAX(('2. Realization catalog'!$B$2:$B$500=$B40)*('2. Realization catalog'!$H$2:$H$500))))</f>
        <v/>
      </c>
      <c r="N40" s="20" t="n"/>
      <c r="O40" s="20" t="n"/>
      <c r="P40" s="20" t="n"/>
    </row>
    <row r="41" ht="30" customHeight="1">
      <c r="A41" s="11" t="inlineStr">
        <is>
          <t>D7</t>
        </is>
      </c>
      <c r="B41" s="12" t="inlineStr">
        <is>
          <t>7.3</t>
        </is>
      </c>
      <c r="C41" s="13" t="inlineStr">
        <is>
          <t>AI Risk Management</t>
        </is>
      </c>
      <c r="D41" s="14" t="inlineStr">
        <is>
          <t>Able to identify, treat and monitor AI risk within a stated appetite.</t>
        </is>
      </c>
      <c r="E41" s="15" t="inlineStr">
        <is>
          <t>Enterprise Risk Owner</t>
        </is>
      </c>
      <c r="F41" s="16" t="inlineStr">
        <is>
          <t>Specialization</t>
        </is>
      </c>
      <c r="G41" s="16" t="inlineStr">
        <is>
          <t>high</t>
        </is>
      </c>
      <c r="H41" s="16" t="inlineStr"/>
      <c r="I41" s="16" t="n">
        <v>6</v>
      </c>
      <c r="J41" s="17" t="inlineStr">
        <is>
          <t>7.3.1 - 7.3.6</t>
        </is>
      </c>
      <c r="K41" s="18" t="n"/>
      <c r="L41" s="18" t="n"/>
      <c r="M41" s="19">
        <f>IF(COUNTIF('2. Realization catalog'!$B$2:$B$500,$B41)=0,"",SUMPRODUCT(MAX(('2. Realization catalog'!$B$2:$B$500=$B41)*('2. Realization catalog'!$H$2:$H$500))))</f>
        <v/>
      </c>
      <c r="N41" s="20" t="n"/>
      <c r="O41" s="20" t="n"/>
      <c r="P41" s="20" t="n"/>
    </row>
    <row r="42" ht="30" customHeight="1">
      <c r="A42" s="11" t="inlineStr">
        <is>
          <t>D7</t>
        </is>
      </c>
      <c r="B42" s="12" t="inlineStr">
        <is>
          <t>7.4</t>
        </is>
      </c>
      <c r="C42" s="13" t="inlineStr">
        <is>
          <t>AI Security &amp; Resilience</t>
        </is>
      </c>
      <c r="D42" s="14" t="inlineStr">
        <is>
          <t>Able to defend AI systems against attack, including attacks that use the AI itself.</t>
        </is>
      </c>
      <c r="E42" s="15" t="inlineStr">
        <is>
          <t>Chief Information Security Officer</t>
        </is>
      </c>
      <c r="F42" s="16" t="inlineStr">
        <is>
          <t>New</t>
        </is>
      </c>
      <c r="G42" s="16" t="inlineStr">
        <is>
          <t>medium</t>
        </is>
      </c>
      <c r="H42" s="16" t="inlineStr">
        <is>
          <t>Yes</t>
        </is>
      </c>
      <c r="I42" s="16" t="n">
        <v>7</v>
      </c>
      <c r="J42" s="17" t="inlineStr">
        <is>
          <t>7.4.1 - 7.4.7</t>
        </is>
      </c>
      <c r="K42" s="18" t="n"/>
      <c r="L42" s="18" t="n"/>
      <c r="M42" s="19">
        <f>IF(COUNTIF('2. Realization catalog'!$B$2:$B$500,$B42)=0,"",SUMPRODUCT(MAX(('2. Realization catalog'!$B$2:$B$500=$B42)*('2. Realization catalog'!$H$2:$H$500))))</f>
        <v/>
      </c>
      <c r="N42" s="20" t="n"/>
      <c r="O42" s="20" t="n"/>
      <c r="P42" s="20" t="n"/>
    </row>
    <row r="43" ht="30" customHeight="1">
      <c r="A43" s="11" t="inlineStr">
        <is>
          <t>D7</t>
        </is>
      </c>
      <c r="B43" s="12" t="inlineStr">
        <is>
          <t>7.5</t>
        </is>
      </c>
      <c r="C43" s="13" t="inlineStr">
        <is>
          <t>Privacy &amp; Data Protection for AI</t>
        </is>
      </c>
      <c r="D43" s="14" t="inlineStr">
        <is>
          <t>Able to use personal data in AI without breaching the institution's obligations.</t>
        </is>
      </c>
      <c r="E43" s="15" t="inlineStr">
        <is>
          <t>Privacy Officer</t>
        </is>
      </c>
      <c r="F43" s="16" t="inlineStr">
        <is>
          <t>Specialization</t>
        </is>
      </c>
      <c r="G43" s="16" t="inlineStr">
        <is>
          <t>high</t>
        </is>
      </c>
      <c r="H43" s="16" t="inlineStr"/>
      <c r="I43" s="16" t="n">
        <v>5</v>
      </c>
      <c r="J43" s="17" t="inlineStr">
        <is>
          <t>7.5.1 - 7.5.5</t>
        </is>
      </c>
      <c r="K43" s="18" t="n"/>
      <c r="L43" s="18" t="n"/>
      <c r="M43" s="19">
        <f>IF(COUNTIF('2. Realization catalog'!$B$2:$B$500,$B43)=0,"",SUMPRODUCT(MAX(('2. Realization catalog'!$B$2:$B$500=$B43)*('2. Realization catalog'!$H$2:$H$500))))</f>
        <v/>
      </c>
      <c r="N43" s="20" t="n"/>
      <c r="O43" s="20" t="n"/>
      <c r="P43" s="20" t="n"/>
    </row>
    <row r="44" ht="30" customHeight="1">
      <c r="A44" s="11" t="inlineStr">
        <is>
          <t>D7</t>
        </is>
      </c>
      <c r="B44" s="12" t="inlineStr">
        <is>
          <t>7.6</t>
        </is>
      </c>
      <c r="C44" s="13" t="inlineStr">
        <is>
          <t>Legal, Regulatory &amp; Contractual Compliance for AI</t>
        </is>
      </c>
      <c r="D44" s="14" t="inlineStr">
        <is>
          <t>Able to know which obligations bind the institution and to demonstrate compliance.</t>
        </is>
      </c>
      <c r="E44" s="15" t="inlineStr">
        <is>
          <t>General Counsel</t>
        </is>
      </c>
      <c r="F44" s="16" t="inlineStr">
        <is>
          <t>Specialization</t>
        </is>
      </c>
      <c r="G44" s="16" t="inlineStr">
        <is>
          <t>medium</t>
        </is>
      </c>
      <c r="H44" s="16" t="inlineStr"/>
      <c r="I44" s="16" t="n">
        <v>6</v>
      </c>
      <c r="J44" s="17" t="inlineStr">
        <is>
          <t>7.6.1 - 7.6.6</t>
        </is>
      </c>
      <c r="K44" s="18" t="n"/>
      <c r="L44" s="18" t="n"/>
      <c r="M44" s="19">
        <f>IF(COUNTIF('2. Realization catalog'!$B$2:$B$500,$B44)=0,"",SUMPRODUCT(MAX(('2. Realization catalog'!$B$2:$B$500=$B44)*('2. Realization catalog'!$H$2:$H$500))))</f>
        <v/>
      </c>
      <c r="N44" s="20" t="n"/>
      <c r="O44" s="20" t="n"/>
      <c r="P44" s="20" t="n"/>
    </row>
    <row r="45" ht="30" customHeight="1">
      <c r="A45" s="11" t="inlineStr">
        <is>
          <t>D7</t>
        </is>
      </c>
      <c r="B45" s="12" t="inlineStr">
        <is>
          <t>7.7</t>
        </is>
      </c>
      <c r="C45" s="13" t="inlineStr">
        <is>
          <t>AI System &amp; Agent Inventory Management</t>
        </is>
      </c>
      <c r="D45" s="14" t="inlineStr">
        <is>
          <t>Able to state, at any moment, every AI system and agent in operation and who owns it.</t>
        </is>
      </c>
      <c r="E45" s="15" t="inlineStr">
        <is>
          <t>AI Governance Owner</t>
        </is>
      </c>
      <c r="F45" s="16" t="inlineStr">
        <is>
          <t>New</t>
        </is>
      </c>
      <c r="G45" s="21" t="inlineStr">
        <is>
          <t>low</t>
        </is>
      </c>
      <c r="H45" s="16" t="inlineStr">
        <is>
          <t>Yes</t>
        </is>
      </c>
      <c r="I45" s="16" t="n">
        <v>5</v>
      </c>
      <c r="J45" s="17" t="inlineStr">
        <is>
          <t>7.7.1 - 7.7.5</t>
        </is>
      </c>
      <c r="K45" s="18" t="n"/>
      <c r="L45" s="18" t="n"/>
      <c r="M45" s="19">
        <f>IF(COUNTIF('2. Realization catalog'!$B$2:$B$500,$B45)=0,"",SUMPRODUCT(MAX(('2. Realization catalog'!$B$2:$B$500=$B45)*('2. Realization catalog'!$H$2:$H$500))))</f>
        <v/>
      </c>
      <c r="N45" s="20" t="n"/>
      <c r="O45" s="20" t="n"/>
      <c r="P45" s="20" t="n"/>
    </row>
    <row r="46" ht="30" customHeight="1">
      <c r="A46" s="11" t="inlineStr">
        <is>
          <t>D7</t>
        </is>
      </c>
      <c r="B46" s="12" t="inlineStr">
        <is>
          <t>7.8</t>
        </is>
      </c>
      <c r="C46" s="13" t="inlineStr">
        <is>
          <t>AI Assurance &amp; Evidence Management</t>
        </is>
      </c>
      <c r="D46" s="14" t="inlineStr">
        <is>
          <t>Able to produce and retain evidence about AI that an independent reviewer can rely on. Independent assessment of that evidence is Internal Audit's, not this capability's.</t>
        </is>
      </c>
      <c r="E46" s="15" t="inlineStr">
        <is>
          <t>Second-Line Assurance Owner</t>
        </is>
      </c>
      <c r="F46" s="16" t="inlineStr">
        <is>
          <t>Specialization</t>
        </is>
      </c>
      <c r="G46" s="16" t="inlineStr">
        <is>
          <t>medium</t>
        </is>
      </c>
      <c r="H46" s="16" t="inlineStr"/>
      <c r="I46" s="16" t="n">
        <v>4</v>
      </c>
      <c r="J46" s="17" t="inlineStr">
        <is>
          <t>7.8.1 - 7.8.4</t>
        </is>
      </c>
      <c r="K46" s="18" t="n"/>
      <c r="L46" s="18" t="n"/>
      <c r="M46" s="19">
        <f>IF(COUNTIF('2. Realization catalog'!$B$2:$B$500,$B46)=0,"",SUMPRODUCT(MAX(('2. Realization catalog'!$B$2:$B$500=$B46)*('2. Realization catalog'!$H$2:$H$500))))</f>
        <v/>
      </c>
      <c r="N46" s="20" t="n"/>
      <c r="O46" s="20" t="n"/>
      <c r="P46" s="20" t="n"/>
    </row>
    <row r="47" ht="30" customHeight="1">
      <c r="A47" s="11" t="inlineStr">
        <is>
          <t>D7</t>
        </is>
      </c>
      <c r="B47" s="12" t="inlineStr">
        <is>
          <t>7.9</t>
        </is>
      </c>
      <c r="C47" s="13" t="inlineStr">
        <is>
          <t>AI Impact Assessment &amp; Risk Classification</t>
        </is>
      </c>
      <c r="D47" s="14" t="inlineStr">
        <is>
          <t>Able to determine, independently of the team proposing a use case, what impact it may have and what risk tier it belongs to.</t>
        </is>
      </c>
      <c r="E47" s="15" t="inlineStr">
        <is>
          <t>AI Risk &amp; Governance Owner</t>
        </is>
      </c>
      <c r="F47" s="16" t="inlineStr">
        <is>
          <t>Specialization</t>
        </is>
      </c>
      <c r="G47" s="21" t="inlineStr">
        <is>
          <t>low</t>
        </is>
      </c>
      <c r="H47" s="16" t="inlineStr">
        <is>
          <t>Yes</t>
        </is>
      </c>
      <c r="I47" s="16" t="n">
        <v>5</v>
      </c>
      <c r="J47" s="17" t="inlineStr">
        <is>
          <t>7.9.1 - 7.9.5</t>
        </is>
      </c>
      <c r="K47" s="18" t="n"/>
      <c r="L47" s="18" t="n"/>
      <c r="M47" s="19">
        <f>IF(COUNTIF('2. Realization catalog'!$B$2:$B$500,$B47)=0,"",SUMPRODUCT(MAX(('2. Realization catalog'!$B$2:$B$500=$B47)*('2. Realization catalog'!$H$2:$H$500))))</f>
        <v/>
      </c>
      <c r="N47" s="20" t="n"/>
      <c r="O47" s="20" t="n"/>
      <c r="P47" s="20" t="n"/>
    </row>
    <row r="48" ht="30" customHeight="1">
      <c r="A48" s="11" t="inlineStr">
        <is>
          <t>D8</t>
        </is>
      </c>
      <c r="B48" s="12" t="inlineStr">
        <is>
          <t>8.1</t>
        </is>
      </c>
      <c r="C48" s="13" t="inlineStr">
        <is>
          <t>AI Operating Model &amp; Decision Rights</t>
        </is>
      </c>
      <c r="D48" s="14" t="inlineStr">
        <is>
          <t>Able to say who decides what about AI, and who does the work.</t>
        </is>
      </c>
      <c r="E48" s="15" t="inlineStr">
        <is>
          <t>Chief AI Officer</t>
        </is>
      </c>
      <c r="F48" s="21" t="inlineStr">
        <is>
          <t>Lens - keep existing node</t>
        </is>
      </c>
      <c r="G48" s="16" t="inlineStr">
        <is>
          <t>high</t>
        </is>
      </c>
      <c r="H48" s="16" t="inlineStr"/>
      <c r="I48" s="16" t="n">
        <v>4</v>
      </c>
      <c r="J48" s="17" t="inlineStr">
        <is>
          <t>8.1.1 - 8.1.4</t>
        </is>
      </c>
      <c r="K48" s="18" t="n"/>
      <c r="L48" s="18" t="n"/>
      <c r="M48" s="19">
        <f>IF(COUNTIF('2. Realization catalog'!$B$2:$B$500,$B48)=0,"",SUMPRODUCT(MAX(('2. Realization catalog'!$B$2:$B$500=$B48)*('2. Realization catalog'!$H$2:$H$500))))</f>
        <v/>
      </c>
      <c r="N48" s="20" t="n"/>
      <c r="O48" s="20" t="n"/>
      <c r="P48" s="20" t="n"/>
    </row>
    <row r="49" ht="30" customHeight="1">
      <c r="A49" s="11" t="inlineStr">
        <is>
          <t>D8</t>
        </is>
      </c>
      <c r="B49" s="12" t="inlineStr">
        <is>
          <t>8.2</t>
        </is>
      </c>
      <c r="C49" s="13" t="inlineStr">
        <is>
          <t>AI Skills &amp; Specialist Capability Building</t>
        </is>
      </c>
      <c r="D49" s="14" t="inlineStr">
        <is>
          <t>Able to grow and retain the specialist skill the portfolio depends on.</t>
        </is>
      </c>
      <c r="E49" s="15" t="inlineStr">
        <is>
          <t>Chief Human Resources Officer</t>
        </is>
      </c>
      <c r="F49" s="21" t="inlineStr">
        <is>
          <t>Lens - keep existing node</t>
        </is>
      </c>
      <c r="G49" s="16" t="inlineStr">
        <is>
          <t>high</t>
        </is>
      </c>
      <c r="H49" s="16" t="inlineStr"/>
      <c r="I49" s="16" t="n">
        <v>4</v>
      </c>
      <c r="J49" s="17" t="inlineStr">
        <is>
          <t>8.2.1 - 8.2.4</t>
        </is>
      </c>
      <c r="K49" s="18" t="n"/>
      <c r="L49" s="18" t="n"/>
      <c r="M49" s="19">
        <f>IF(COUNTIF('2. Realization catalog'!$B$2:$B$500,$B49)=0,"",SUMPRODUCT(MAX(('2. Realization catalog'!$B$2:$B$500=$B49)*('2. Realization catalog'!$H$2:$H$500))))</f>
        <v/>
      </c>
      <c r="N49" s="20" t="n"/>
      <c r="O49" s="20" t="n"/>
      <c r="P49" s="20" t="n"/>
    </row>
    <row r="50" ht="30" customHeight="1">
      <c r="A50" s="11" t="inlineStr">
        <is>
          <t>D8</t>
        </is>
      </c>
      <c r="B50" s="12" t="inlineStr">
        <is>
          <t>8.3</t>
        </is>
      </c>
      <c r="C50" s="13" t="inlineStr">
        <is>
          <t>AI Literacy &amp; Awareness</t>
        </is>
      </c>
      <c r="D50" s="14" t="inlineStr">
        <is>
          <t>Able to ensure everyone who uses or is affected by AI understands enough to act safely.</t>
        </is>
      </c>
      <c r="E50" s="15" t="inlineStr">
        <is>
          <t>Learning &amp; Development Owner</t>
        </is>
      </c>
      <c r="F50" s="16" t="inlineStr">
        <is>
          <t>New</t>
        </is>
      </c>
      <c r="G50" s="16" t="inlineStr">
        <is>
          <t>medium</t>
        </is>
      </c>
      <c r="H50" s="16" t="inlineStr"/>
      <c r="I50" s="16" t="n">
        <v>4</v>
      </c>
      <c r="J50" s="17" t="inlineStr">
        <is>
          <t>8.3.1 - 8.3.4</t>
        </is>
      </c>
      <c r="K50" s="18" t="n"/>
      <c r="L50" s="18" t="n"/>
      <c r="M50" s="19">
        <f>IF(COUNTIF('2. Realization catalog'!$B$2:$B$500,$B50)=0,"",SUMPRODUCT(MAX(('2. Realization catalog'!$B$2:$B$500=$B50)*('2. Realization catalog'!$H$2:$H$500))))</f>
        <v/>
      </c>
      <c r="N50" s="20" t="n"/>
      <c r="O50" s="20" t="n"/>
      <c r="P50" s="20" t="n"/>
    </row>
    <row r="51" ht="30" customHeight="1">
      <c r="A51" s="11" t="inlineStr">
        <is>
          <t>D8</t>
        </is>
      </c>
      <c r="B51" s="12" t="inlineStr">
        <is>
          <t>8.4</t>
        </is>
      </c>
      <c r="C51" s="13" t="inlineStr">
        <is>
          <t>AI Adoption, Enablement &amp; Support</t>
        </is>
      </c>
      <c r="D51" s="14" t="inlineStr">
        <is>
          <t>Able to convert delivered AI capability into actual, sustained use.</t>
        </is>
      </c>
      <c r="E51" s="15" t="inlineStr">
        <is>
          <t>Change Enablement Owner</t>
        </is>
      </c>
      <c r="F51" s="21" t="inlineStr">
        <is>
          <t>Lens - keep existing node</t>
        </is>
      </c>
      <c r="G51" s="16" t="inlineStr">
        <is>
          <t>high</t>
        </is>
      </c>
      <c r="H51" s="16" t="inlineStr"/>
      <c r="I51" s="16" t="n">
        <v>5</v>
      </c>
      <c r="J51" s="17" t="inlineStr">
        <is>
          <t>8.4.1 - 8.4.5</t>
        </is>
      </c>
      <c r="K51" s="18" t="n"/>
      <c r="L51" s="18" t="n"/>
      <c r="M51" s="19">
        <f>IF(COUNTIF('2. Realization catalog'!$B$2:$B$500,$B51)=0,"",SUMPRODUCT(MAX(('2. Realization catalog'!$B$2:$B$500=$B51)*('2. Realization catalog'!$H$2:$H$500))))</f>
        <v/>
      </c>
      <c r="N51" s="20" t="n"/>
      <c r="O51" s="20" t="n"/>
      <c r="P51" s="20" t="n"/>
    </row>
    <row r="52" ht="30" customHeight="1">
      <c r="A52" s="11" t="inlineStr">
        <is>
          <t>D8</t>
        </is>
      </c>
      <c r="B52" s="12" t="inlineStr">
        <is>
          <t>8.5</t>
        </is>
      </c>
      <c r="C52" s="13" t="inlineStr">
        <is>
          <t>AI Change Management &amp; Workforce Transition</t>
        </is>
      </c>
      <c r="D52" s="14" t="inlineStr">
        <is>
          <t>Able to carry the workforce through the change AI causes.</t>
        </is>
      </c>
      <c r="E52" s="15" t="inlineStr">
        <is>
          <t>Chief Human Resources Officer</t>
        </is>
      </c>
      <c r="F52" s="21" t="inlineStr">
        <is>
          <t>Lens - keep existing node</t>
        </is>
      </c>
      <c r="G52" s="16" t="inlineStr">
        <is>
          <t>high</t>
        </is>
      </c>
      <c r="H52" s="16" t="inlineStr"/>
      <c r="I52" s="16" t="n">
        <v>5</v>
      </c>
      <c r="J52" s="17" t="inlineStr">
        <is>
          <t>8.5.1 - 8.5.5</t>
        </is>
      </c>
      <c r="K52" s="18" t="n"/>
      <c r="L52" s="18" t="n"/>
      <c r="M52" s="19">
        <f>IF(COUNTIF('2. Realization catalog'!$B$2:$B$500,$B52)=0,"",SUMPRODUCT(MAX(('2. Realization catalog'!$B$2:$B$500=$B52)*('2. Realization catalog'!$H$2:$H$500))))</f>
        <v/>
      </c>
      <c r="N52" s="20" t="n"/>
      <c r="O52" s="20" t="n"/>
      <c r="P52" s="20" t="n"/>
    </row>
    <row r="53" ht="30" customHeight="1">
      <c r="A53" s="11" t="inlineStr">
        <is>
          <t>D8</t>
        </is>
      </c>
      <c r="B53" s="12" t="inlineStr">
        <is>
          <t>8.6</t>
        </is>
      </c>
      <c r="C53" s="13" t="inlineStr">
        <is>
          <t>AI Community &amp; Reuse Culture</t>
        </is>
      </c>
      <c r="D53" s="14" t="inlineStr">
        <is>
          <t>Able to make institutional learning about AI compound rather than repeat.</t>
        </is>
      </c>
      <c r="E53" s="15" t="inlineStr">
        <is>
          <t>AI CoE Owner</t>
        </is>
      </c>
      <c r="F53" s="21" t="inlineStr">
        <is>
          <t>Lens - keep existing node</t>
        </is>
      </c>
      <c r="G53" s="16" t="inlineStr">
        <is>
          <t>high</t>
        </is>
      </c>
      <c r="H53" s="16" t="inlineStr"/>
      <c r="I53" s="16" t="n">
        <v>3</v>
      </c>
      <c r="J53" s="17" t="inlineStr">
        <is>
          <t>8.6.1 - 8.6.3</t>
        </is>
      </c>
      <c r="K53" s="18" t="n"/>
      <c r="L53" s="18" t="n"/>
      <c r="M53" s="19">
        <f>IF(COUNTIF('2. Realization catalog'!$B$2:$B$500,$B53)=0,"",SUMPRODUCT(MAX(('2. Realization catalog'!$B$2:$B$500=$B53)*('2. Realization catalog'!$H$2:$H$500))))</f>
        <v/>
      </c>
      <c r="N53" s="20" t="n"/>
      <c r="O53" s="20" t="n"/>
      <c r="P53" s="20" t="n"/>
    </row>
    <row r="55" ht="46" customHeight="1">
      <c r="A55" s="22" t="inlineStr">
        <is>
          <t>MATURITY only. Column J links to the criteria. Best readiness in column M is pulled from sheet 2 for comparison - it is NOT a property of the capability and must never be edited here. Where M exceeds K, column N must say why: that gap is the finding. Rows are L2, one accountable owner each; nothing below L2 belongs here.</t>
        </is>
      </c>
    </row>
  </sheetData>
  <sheetProtection selectLockedCells="0" selectUnlockedCells="0" sheet="1" objects="0" insertRows="1" insertHyperlinks="1" autoFilter="0" scenarios="0" formatColumns="1" deleteColumns="1" insertColumns="1" pivotTables="1" deleteRows="1" formatCells="1" formatRows="1" sort="0"/>
  <autoFilter ref="A1:P53"/>
  <mergeCells count="1">
    <mergeCell ref="A55:P55"/>
  </mergeCells>
  <conditionalFormatting sqref="K2:K53">
    <cfRule type="cellIs" priority="1" operator="equal" dxfId="0">
      <formula>1</formula>
    </cfRule>
    <cfRule type="cellIs" priority="2" operator="equal" dxfId="1">
      <formula>2</formula>
    </cfRule>
    <cfRule type="cellIs" priority="3" operator="equal" dxfId="2">
      <formula>3</formula>
    </cfRule>
    <cfRule type="cellIs" priority="4" operator="equal" dxfId="3">
      <formula>4</formula>
    </cfRule>
    <cfRule type="cellIs" priority="5" operator="equal" dxfId="4">
      <formula>5</formula>
    </cfRule>
  </conditionalFormatting>
  <conditionalFormatting sqref="M2:M53">
    <cfRule type="cellIs" priority="6" operator="equal" dxfId="5">
      <formula>0</formula>
    </cfRule>
    <cfRule type="cellIs" priority="7" operator="equal" dxfId="0">
      <formula>1</formula>
    </cfRule>
    <cfRule type="cellIs" priority="8" operator="equal" dxfId="1">
      <formula>2</formula>
    </cfRule>
    <cfRule type="cellIs" priority="9" operator="equal" dxfId="2">
      <formula>3</formula>
    </cfRule>
    <cfRule type="cellIs" priority="10" operator="equal" dxfId="3">
      <formula>4</formula>
    </cfRule>
    <cfRule type="cellIs" priority="11" operator="equal" dxfId="4">
      <formula>5</formula>
    </cfRule>
  </conditionalFormatting>
  <dataValidations count="1">
    <dataValidation sqref="K2:L53" showDropDown="0" showInputMessage="0" showErrorMessage="1" allowBlank="1" errorTitle="Maturity" error="1-5, or a state: 0 Absent / NE not evidenced / UC under clarification / NA not applicable. See sheet 4." type="list">
      <formula1>"1,2,3,4,5,0,NE,UC,NA"</formula1>
    </dataValidation>
  </dataValidations>
  <hyperlinks>
    <hyperlink ref="J2" location="'6. Criteria (L3)'!B2" tooltip="Jump to this capability's criteria"/>
    <hyperlink ref="J3" location="'6. Criteria (L3)'!B8" tooltip="Jump to this capability's criteria"/>
    <hyperlink ref="J4" location="'6. Criteria (L3)'!B14" tooltip="Jump to this capability's criteria"/>
    <hyperlink ref="J5" location="'6. Criteria (L3)'!B20" tooltip="Jump to this capability's criteria"/>
    <hyperlink ref="J6" location="'6. Criteria (L3)'!B26" tooltip="Jump to this capability's criteria"/>
    <hyperlink ref="J7" location="'6. Criteria (L3)'!B33" tooltip="Jump to this capability's criteria"/>
    <hyperlink ref="J8" location="'6. Criteria (L3)'!B38" tooltip="Jump to this capability's criteria"/>
    <hyperlink ref="J9" location="'6. Criteria (L3)'!B43" tooltip="Jump to this capability's criteria"/>
    <hyperlink ref="J10" location="'6. Criteria (L3)'!B49" tooltip="Jump to this capability's criteria"/>
    <hyperlink ref="J11" location="'6. Criteria (L3)'!B56" tooltip="Jump to this capability's criteria"/>
    <hyperlink ref="J12" location="'6. Criteria (L3)'!B63" tooltip="Jump to this capability's criteria"/>
    <hyperlink ref="J13" location="'6. Criteria (L3)'!B69" tooltip="Jump to this capability's criteria"/>
    <hyperlink ref="J14" location="'6. Criteria (L3)'!B75" tooltip="Jump to this capability's criteria"/>
    <hyperlink ref="J15" location="'6. Criteria (L3)'!B81" tooltip="Jump to this capability's criteria"/>
    <hyperlink ref="J16" location="'6. Criteria (L3)'!B87" tooltip="Jump to this capability's criteria"/>
    <hyperlink ref="J17" location="'6. Criteria (L3)'!B92" tooltip="Jump to this capability's criteria"/>
    <hyperlink ref="J18" location="'6. Criteria (L3)'!B98" tooltip="Jump to this capability's criteria"/>
    <hyperlink ref="J19" location="'6. Criteria (L3)'!B104" tooltip="Jump to this capability's criteria"/>
    <hyperlink ref="J20" location="'6. Criteria (L3)'!B109" tooltip="Jump to this capability's criteria"/>
    <hyperlink ref="J21" location="'6. Criteria (L3)'!B117" tooltip="Jump to this capability's criteria"/>
    <hyperlink ref="J22" location="'6. Criteria (L3)'!B123" tooltip="Jump to this capability's criteria"/>
    <hyperlink ref="J23" location="'6. Criteria (L3)'!B129" tooltip="Jump to this capability's criteria"/>
    <hyperlink ref="J24" location="'6. Criteria (L3)'!B136" tooltip="Jump to this capability's criteria"/>
    <hyperlink ref="J25" location="'6. Criteria (L3)'!B142" tooltip="Jump to this capability's criteria"/>
    <hyperlink ref="J26" location="'6. Criteria (L3)'!B148" tooltip="Jump to this capability's criteria"/>
    <hyperlink ref="J27" location="'6. Criteria (L3)'!B154" tooltip="Jump to this capability's criteria"/>
    <hyperlink ref="J28" location="'6. Criteria (L3)'!B160" tooltip="Jump to this capability's criteria"/>
    <hyperlink ref="J29" location="'6. Criteria (L3)'!B166" tooltip="Jump to this capability's criteria"/>
    <hyperlink ref="J30" location="'6. Criteria (L3)'!B171" tooltip="Jump to this capability's criteria"/>
    <hyperlink ref="J31" location="'6. Criteria (L3)'!B177" tooltip="Jump to this capability's criteria"/>
    <hyperlink ref="J32" location="'6. Criteria (L3)'!B183" tooltip="Jump to this capability's criteria"/>
    <hyperlink ref="J33" location="'6. Criteria (L3)'!B189" tooltip="Jump to this capability's criteria"/>
    <hyperlink ref="J34" location="'6. Criteria (L3)'!B195" tooltip="Jump to this capability's criteria"/>
    <hyperlink ref="J35" location="'6. Criteria (L3)'!B201" tooltip="Jump to this capability's criteria"/>
    <hyperlink ref="J36" location="'6. Criteria (L3)'!B207" tooltip="Jump to this capability's criteria"/>
    <hyperlink ref="J37" location="'6. Criteria (L3)'!B213" tooltip="Jump to this capability's criteria"/>
    <hyperlink ref="J38" location="'6. Criteria (L3)'!B218" tooltip="Jump to this capability's criteria"/>
    <hyperlink ref="J39" location="'6. Criteria (L3)'!B223" tooltip="Jump to this capability's criteria"/>
    <hyperlink ref="J40" location="'6. Criteria (L3)'!B230" tooltip="Jump to this capability's criteria"/>
    <hyperlink ref="J41" location="'6. Criteria (L3)'!B236" tooltip="Jump to this capability's criteria"/>
    <hyperlink ref="J42" location="'6. Criteria (L3)'!B243" tooltip="Jump to this capability's criteria"/>
    <hyperlink ref="J43" location="'6. Criteria (L3)'!B251" tooltip="Jump to this capability's criteria"/>
    <hyperlink ref="J44" location="'6. Criteria (L3)'!B257" tooltip="Jump to this capability's criteria"/>
    <hyperlink ref="J45" location="'6. Criteria (L3)'!B264" tooltip="Jump to this capability's criteria"/>
    <hyperlink ref="J46" location="'6. Criteria (L3)'!B270" tooltip="Jump to this capability's criteria"/>
    <hyperlink ref="J47" location="'6. Criteria (L3)'!B275" tooltip="Jump to this capability's criteria"/>
    <hyperlink ref="J48" location="'6. Criteria (L3)'!B281" tooltip="Jump to this capability's criteria"/>
    <hyperlink ref="J49" location="'6. Criteria (L3)'!B286" tooltip="Jump to this capability's criteria"/>
    <hyperlink ref="J50" location="'6. Criteria (L3)'!B291" tooltip="Jump to this capability's criteria"/>
    <hyperlink ref="J51" location="'6. Criteria (L3)'!B296" tooltip="Jump to this capability's criteria"/>
    <hyperlink ref="J52" location="'6. Criteria (L3)'!B302" tooltip="Jump to this capability's criteria"/>
    <hyperlink ref="J53" location="'6. Criteria (L3)'!B308" tooltip="Jump to this capability's criteria"/>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36" customWidth="1" min="4" max="4"/>
    <col width="24" customWidth="1" min="5" max="5"/>
    <col width="34" customWidth="1" min="6" max="6"/>
    <col width="26" customWidth="1" min="7" max="7"/>
    <col width="11" customWidth="1" min="8" max="8"/>
    <col width="13" customWidth="1" min="9" max="9"/>
    <col width="20" customWidth="1" min="10" max="10"/>
    <col width="12" customWidth="1" min="11" max="11"/>
    <col width="10" customWidth="1" min="12" max="12"/>
    <col width="30" customWidth="1" min="13" max="13"/>
    <col width="40" customWidth="1" min="14" max="14"/>
    <col width="54" customWidth="1" min="15" max="15"/>
  </cols>
  <sheetData>
    <row r="1" ht="32" customHeight="1">
      <c r="A1" s="10" t="inlineStr">
        <is>
          <t>Realization ID</t>
        </is>
      </c>
      <c r="B1" s="10" t="inlineStr">
        <is>
          <t>Capability</t>
        </is>
      </c>
      <c r="C1" s="10" t="inlineStr">
        <is>
          <t>Also realizes</t>
        </is>
      </c>
      <c r="D1" s="10" t="inlineStr">
        <is>
          <t>Pattern (PAT / ABB)</t>
        </is>
      </c>
      <c r="E1" s="10" t="inlineStr">
        <is>
          <t>Technology (SBB)</t>
        </is>
      </c>
      <c r="F1" s="10" t="inlineStr">
        <is>
          <t>Supporting building blocks</t>
        </is>
      </c>
      <c r="G1" s="10" t="inlineStr">
        <is>
          <t>Operated by</t>
        </is>
      </c>
      <c r="H1" s="10" t="inlineStr">
        <is>
          <t>READINESS</t>
        </is>
      </c>
      <c r="I1" s="10" t="inlineStr">
        <is>
          <t>Evidence-implied</t>
        </is>
      </c>
      <c r="J1" s="10" t="inlineStr">
        <is>
          <t>Consumption model</t>
        </is>
      </c>
      <c r="K1" s="10" t="inlineStr">
        <is>
          <t>Status</t>
        </is>
      </c>
      <c r="L1" s="10" t="inlineStr">
        <is>
          <t>Preferred</t>
        </is>
      </c>
      <c r="M1" s="10" t="inlineStr">
        <is>
          <t>Enterprise assets</t>
        </is>
      </c>
      <c r="N1" s="10" t="inlineStr">
        <is>
          <t>Does not provide</t>
        </is>
      </c>
      <c r="O1" s="10" t="inlineStr">
        <is>
          <t>Note</t>
        </is>
      </c>
    </row>
    <row r="2" ht="46" customHeight="1">
      <c r="A2" s="12" t="inlineStr">
        <is>
          <t>REAL-001</t>
        </is>
      </c>
      <c r="B2" s="11" t="inlineStr">
        <is>
          <t>5.1</t>
        </is>
      </c>
      <c r="C2" s="23" t="inlineStr">
        <is>
          <t>5.3, 5.4</t>
        </is>
      </c>
      <c r="D2" s="20" t="inlineStr">
        <is>
          <t>Microsoft Foundry Reference Architecture (RA-02)</t>
        </is>
      </c>
      <c r="E2" s="20" t="inlineStr">
        <is>
          <t>Microsoft Foundry</t>
        </is>
      </c>
      <c r="F2" s="20" t="inlineStr">
        <is>
          <t>IAC-04 Foundry Account; IAC-05 Foundry Project</t>
        </is>
      </c>
      <c r="G2" s="20" t="inlineStr">
        <is>
          <t>Consumer - each team deploys and runs its own instance</t>
        </is>
      </c>
      <c r="H2" s="18" t="n">
        <v>4</v>
      </c>
      <c r="I2" s="19">
        <f>IF(COUNTIFS('3. Enablement evidence'!$A$2:$A$400,$A2,'3. Enablement evidence'!$D$2:$D$400,"Generic")=0,"",IF(COUNTIFS('3. Enablement evidence'!$A$2:$A$400,$A2,'3. Enablement evidence'!$D$2:$D$400,"Generic",'3. Enablement evidence'!$G$2:$G$400,"Yes")+COUNTIFS('3. Enablement evidence'!$A$2:$A$400,$A2,'3. Enablement evidence'!$D$2:$D$400,"Generic",'3. Enablement evidence'!$G$2:$G$400,"No")+COUNTIFS('3. Enablement evidence'!$A$2:$A$400,$A2,'3. Enablement evidence'!$D$2:$D$400,"Generic",'3. Enablement evidence'!$G$2:$G$400,"Partial")=0,"no evidence",IF(COUNTIFS('3. Enablement evidence'!$A$2:$A$400,$A2,'3. Enablement evidence'!$D$2:$D$400,"Generic",'3. Enablement evidence'!$G$2:$G$400,"Yes")+COUNTIFS('3. Enablement evidence'!$A$2:$A$400,$A2,'3. Enablement evidence'!$D$2:$D$400,"Generic",'3. Enablement evidence'!$G$2:$G$400,"No")+COUNTIFS('3. Enablement evidence'!$A$2:$A$400,$A2,'3. Enablement evidence'!$D$2:$D$400,"Generic",'3. Enablement evidence'!$G$2:$G$400,"Partial")&lt;COUNTIFS('3. Enablement evidence'!$A$2:$A$400,$A2,'3. Enablement evidence'!$D$2:$D$400,"Generic"),"incomplete "&amp;COUNTIFS('3. Enablement evidence'!$A$2:$A$400,$A2,'3. Enablement evidence'!$D$2:$D$400,"Generic",'3. Enablement evidence'!$G$2:$G$400,"Yes")&amp;"/"&amp;COUNTIFS('3. Enablement evidence'!$A$2:$A$400,$A2,'3. Enablement evidence'!$D$2:$D$400,"Generic"),IF(COUNTIFS('3. Enablement evidence'!$A$2:$A$400,$A2,'3. Enablement evidence'!$D$2:$D$400,"Generic",'3. Enablement evidence'!$G$2:$G$400,"Yes")&gt;=8,4,IF(AND(COUNTIFS('3. Enablement evidence'!$A$2:$A$400,$A2,'3. Enablement evidence'!$C$2:$C$400,"Published standard",'3. Enablement evidence'!$G$2:$G$400,"Yes")=1,COUNTIFS('3. Enablement evidence'!$A$2:$A$400,$A2,'3. Enablement evidence'!$C$2:$C$400,"Architecture pattern document",'3. Enablement evidence'!$G$2:$G$400,"Yes")+COUNTIFS('3. Enablement evidence'!$A$2:$A$400,$A2,'3. Enablement evidence'!$C$2:$C$400,"Reference architecture",'3. Enablement evidence'!$G$2:$G$400,"Yes")&gt;=1),3,IF(COUNTIFS('3. Enablement evidence'!$A$2:$A$400,$A2,'3. Enablement evidence'!$D$2:$D$400,"Generic",'3. Enablement evidence'!$G$2:$G$400,"Yes")&gt;=1,2,1))))))</f>
        <v/>
      </c>
      <c r="J2" s="20" t="inlineStr">
        <is>
          <t>Building blocks</t>
        </is>
      </c>
      <c r="K2" s="23" t="inlineStr">
        <is>
          <t>Approved</t>
        </is>
      </c>
      <c r="L2" s="24" t="inlineStr">
        <is>
          <t>Y</t>
        </is>
      </c>
      <c r="M2" s="25" t="inlineStr">
        <is>
          <t>STD-03, RA-02, IAC-04, IAC-05</t>
        </is>
      </c>
      <c r="N2" s="20" t="inlineStr"/>
      <c r="O2" s="14" t="inlineStr">
        <is>
          <t>Standard published, reference architecture published, both Terraform modules published in JFrog. This is the strongest realization in the estate.</t>
        </is>
      </c>
    </row>
    <row r="3" ht="46" customHeight="1">
      <c r="A3" s="12" t="inlineStr">
        <is>
          <t>REAL-002</t>
        </is>
      </c>
      <c r="B3" s="11" t="inlineStr">
        <is>
          <t>5.1</t>
        </is>
      </c>
      <c r="C3" s="23" t="inlineStr">
        <is>
          <t>5.6, 4.4</t>
        </is>
      </c>
      <c r="D3" s="20" t="inlineStr">
        <is>
          <t>Foundry Agents Reference Architecture (RA-05, PRE-RELEASE)</t>
        </is>
      </c>
      <c r="E3" s="20" t="inlineStr">
        <is>
          <t>Microsoft Foundry</t>
        </is>
      </c>
      <c r="F3" s="20" t="inlineStr">
        <is>
          <t>IAC-04; IAC-05; IAC-02 Container Apps; STD-06 AI Agent Decision Tree</t>
        </is>
      </c>
      <c r="G3" s="20" t="inlineStr">
        <is>
          <t>Consumer - each team deploys and runs its own instance</t>
        </is>
      </c>
      <c r="H3" s="18" t="n">
        <v>3</v>
      </c>
      <c r="I3" s="19">
        <f>IF(COUNTIFS('3. Enablement evidence'!$A$2:$A$400,$A3,'3. Enablement evidence'!$D$2:$D$400,"Generic")=0,"",IF(COUNTIFS('3. Enablement evidence'!$A$2:$A$400,$A3,'3. Enablement evidence'!$D$2:$D$400,"Generic",'3. Enablement evidence'!$G$2:$G$400,"Yes")+COUNTIFS('3. Enablement evidence'!$A$2:$A$400,$A3,'3. Enablement evidence'!$D$2:$D$400,"Generic",'3. Enablement evidence'!$G$2:$G$400,"No")+COUNTIFS('3. Enablement evidence'!$A$2:$A$400,$A3,'3. Enablement evidence'!$D$2:$D$400,"Generic",'3. Enablement evidence'!$G$2:$G$400,"Partial")=0,"no evidence",IF(COUNTIFS('3. Enablement evidence'!$A$2:$A$400,$A3,'3. Enablement evidence'!$D$2:$D$400,"Generic",'3. Enablement evidence'!$G$2:$G$400,"Yes")+COUNTIFS('3. Enablement evidence'!$A$2:$A$400,$A3,'3. Enablement evidence'!$D$2:$D$400,"Generic",'3. Enablement evidence'!$G$2:$G$400,"No")+COUNTIFS('3. Enablement evidence'!$A$2:$A$400,$A3,'3. Enablement evidence'!$D$2:$D$400,"Generic",'3. Enablement evidence'!$G$2:$G$400,"Partial")&lt;COUNTIFS('3. Enablement evidence'!$A$2:$A$400,$A3,'3. Enablement evidence'!$D$2:$D$400,"Generic"),"incomplete "&amp;COUNTIFS('3. Enablement evidence'!$A$2:$A$400,$A3,'3. Enablement evidence'!$D$2:$D$400,"Generic",'3. Enablement evidence'!$G$2:$G$400,"Yes")&amp;"/"&amp;COUNTIFS('3. Enablement evidence'!$A$2:$A$400,$A3,'3. Enablement evidence'!$D$2:$D$400,"Generic"),IF(COUNTIFS('3. Enablement evidence'!$A$2:$A$400,$A3,'3. Enablement evidence'!$D$2:$D$400,"Generic",'3. Enablement evidence'!$G$2:$G$400,"Yes")&gt;=8,4,IF(AND(COUNTIFS('3. Enablement evidence'!$A$2:$A$400,$A3,'3. Enablement evidence'!$C$2:$C$400,"Published standard",'3. Enablement evidence'!$G$2:$G$400,"Yes")=1,COUNTIFS('3. Enablement evidence'!$A$2:$A$400,$A3,'3. Enablement evidence'!$C$2:$C$400,"Architecture pattern document",'3. Enablement evidence'!$G$2:$G$400,"Yes")+COUNTIFS('3. Enablement evidence'!$A$2:$A$400,$A3,'3. Enablement evidence'!$C$2:$C$400,"Reference architecture",'3. Enablement evidence'!$G$2:$G$400,"Yes")&gt;=1),3,IF(COUNTIFS('3. Enablement evidence'!$A$2:$A$400,$A3,'3. Enablement evidence'!$D$2:$D$400,"Generic",'3. Enablement evidence'!$G$2:$G$400,"Yes")&gt;=1,2,1))))))</f>
        <v/>
      </c>
      <c r="J3" s="20" t="inlineStr">
        <is>
          <t>Building blocks</t>
        </is>
      </c>
      <c r="K3" s="23" t="inlineStr">
        <is>
          <t>Approved</t>
        </is>
      </c>
      <c r="L3" s="24" t="inlineStr">
        <is>
          <t>Y</t>
        </is>
      </c>
      <c r="M3" s="25" t="inlineStr">
        <is>
          <t>STD-03, STD-07, RA-02, RA-05, IAC-04, IAC-05, IAC-02, STD-06</t>
        </is>
      </c>
      <c r="N3" s="20" t="inlineStr">
        <is>
          <t>The agent itself: business rules, grounding data, evaluation criteria, human oversight design. Those remain with the delivery team.</t>
        </is>
      </c>
      <c r="O3" s="14" t="inlineStr">
        <is>
          <t>READINESS 3, NOT 4 - and only because the documentation trails the engineering. The Terraform modules are published and in use; the Foundry Agents Standard (STD-07) and its Reference Architecture (RA-05) are both PRE-RELEASE. Releasing those two documents is the whole distance to 4. Confirm this reading.</t>
        </is>
      </c>
    </row>
    <row r="4" ht="46" customHeight="1">
      <c r="A4" s="12" t="inlineStr">
        <is>
          <t>REAL-003</t>
        </is>
      </c>
      <c r="B4" s="11" t="inlineStr">
        <is>
          <t>4.5</t>
        </is>
      </c>
      <c r="C4" s="23" t="inlineStr">
        <is>
          <t>5.5</t>
        </is>
      </c>
      <c r="D4" s="20" t="inlineStr">
        <is>
          <t>Custom MCP Server Reference Architecture (RA-01)</t>
        </is>
      </c>
      <c r="E4" s="20" t="inlineStr">
        <is>
          <t>C# / .NET on Azure Container Apps</t>
        </is>
      </c>
      <c r="F4" s="20" t="inlineStr">
        <is>
          <t>TPL-01 template v1 (in use); TPL-02 template v2 (built, not distributed); IAC-02 published; IAC-01 and IAC-03 in review</t>
        </is>
      </c>
      <c r="G4" s="20" t="inlineStr">
        <is>
          <t>Consumer - each team deploys and runs its own server</t>
        </is>
      </c>
      <c r="H4" s="18" t="n">
        <v>4</v>
      </c>
      <c r="I4" s="19">
        <f>IF(COUNTIFS('3. Enablement evidence'!$A$2:$A$400,$A4,'3. Enablement evidence'!$D$2:$D$400,"Generic")=0,"",IF(COUNTIFS('3. Enablement evidence'!$A$2:$A$400,$A4,'3. Enablement evidence'!$D$2:$D$400,"Generic",'3. Enablement evidence'!$G$2:$G$400,"Yes")+COUNTIFS('3. Enablement evidence'!$A$2:$A$400,$A4,'3. Enablement evidence'!$D$2:$D$400,"Generic",'3. Enablement evidence'!$G$2:$G$400,"No")+COUNTIFS('3. Enablement evidence'!$A$2:$A$400,$A4,'3. Enablement evidence'!$D$2:$D$400,"Generic",'3. Enablement evidence'!$G$2:$G$400,"Partial")=0,"no evidence",IF(COUNTIFS('3. Enablement evidence'!$A$2:$A$400,$A4,'3. Enablement evidence'!$D$2:$D$400,"Generic",'3. Enablement evidence'!$G$2:$G$400,"Yes")+COUNTIFS('3. Enablement evidence'!$A$2:$A$400,$A4,'3. Enablement evidence'!$D$2:$D$400,"Generic",'3. Enablement evidence'!$G$2:$G$400,"No")+COUNTIFS('3. Enablement evidence'!$A$2:$A$400,$A4,'3. Enablement evidence'!$D$2:$D$400,"Generic",'3. Enablement evidence'!$G$2:$G$400,"Partial")&lt;COUNTIFS('3. Enablement evidence'!$A$2:$A$400,$A4,'3. Enablement evidence'!$D$2:$D$400,"Generic"),"incomplete "&amp;COUNTIFS('3. Enablement evidence'!$A$2:$A$400,$A4,'3. Enablement evidence'!$D$2:$D$400,"Generic",'3. Enablement evidence'!$G$2:$G$400,"Yes")&amp;"/"&amp;COUNTIFS('3. Enablement evidence'!$A$2:$A$400,$A4,'3. Enablement evidence'!$D$2:$D$400,"Generic"),IF(COUNTIFS('3. Enablement evidence'!$A$2:$A$400,$A4,'3. Enablement evidence'!$D$2:$D$400,"Generic",'3. Enablement evidence'!$G$2:$G$400,"Yes")&gt;=8,4,IF(AND(COUNTIFS('3. Enablement evidence'!$A$2:$A$400,$A4,'3. Enablement evidence'!$C$2:$C$400,"Published standard",'3. Enablement evidence'!$G$2:$G$400,"Yes")=1,COUNTIFS('3. Enablement evidence'!$A$2:$A$400,$A4,'3. Enablement evidence'!$C$2:$C$400,"Architecture pattern document",'3. Enablement evidence'!$G$2:$G$400,"Yes")+COUNTIFS('3. Enablement evidence'!$A$2:$A$400,$A4,'3. Enablement evidence'!$C$2:$C$400,"Reference architecture",'3. Enablement evidence'!$G$2:$G$400,"Yes")&gt;=1),3,IF(COUNTIFS('3. Enablement evidence'!$A$2:$A$400,$A4,'3. Enablement evidence'!$D$2:$D$400,"Generic",'3. Enablement evidence'!$G$2:$G$400,"Yes")&gt;=1,2,1))))))</f>
        <v/>
      </c>
      <c r="J4" s="20" t="inlineStr">
        <is>
          <t>Reference implementation</t>
        </is>
      </c>
      <c r="K4" s="23" t="inlineStr">
        <is>
          <t>Approved</t>
        </is>
      </c>
      <c r="L4" s="24" t="inlineStr">
        <is>
          <t>Y</t>
        </is>
      </c>
      <c r="M4" s="25" t="inlineStr">
        <is>
          <t>STD-02, RA-01, TPL-01, TPL-02, IAC-02, IAC-01, IAC-03</t>
        </is>
      </c>
      <c r="N4" s="20" t="inlineStr"/>
      <c r="O4" s="14" t="inlineStr">
        <is>
          <t>Standard, reference architecture and a working template that built every custom MCP server on the AI MVP project. TEMPLATE v1 IMPLEMENTS THE SUPERSEDED MCP SPECIFICATION - the July 2026 revision deprecated Roots, Sampling, Logging, RFC 7591 dynamic client registration and the legacy HTTP+SSE transport on defined timelines. Every server built from v1 needs a migration plan inside that window, and v2 is built but not yet distributed. That is a dated roadmap item, not a maturity opinion.</t>
        </is>
      </c>
    </row>
    <row r="5" ht="46" customHeight="1">
      <c r="A5" s="12" t="inlineStr">
        <is>
          <t>REAL-004</t>
        </is>
      </c>
      <c r="B5" s="11" t="inlineStr">
        <is>
          <t>3.6</t>
        </is>
      </c>
      <c r="C5" s="23" t="inlineStr"/>
      <c r="D5" s="20" t="inlineStr">
        <is>
          <t>Azure AI Search Reference Architecture (RA-03) - hybrid / semantic retrieval</t>
        </is>
      </c>
      <c r="E5" s="20" t="inlineStr">
        <is>
          <t>Azure AI Search</t>
        </is>
      </c>
      <c r="F5" s="20" t="inlineStr">
        <is>
          <t>IAC-06 AI Search module (published)</t>
        </is>
      </c>
      <c r="G5" s="20" t="inlineStr">
        <is>
          <t>Consumer</t>
        </is>
      </c>
      <c r="H5" s="18" t="n">
        <v>4</v>
      </c>
      <c r="I5" s="19">
        <f>IF(COUNTIFS('3. Enablement evidence'!$A$2:$A$400,$A5,'3. Enablement evidence'!$D$2:$D$400,"Generic")=0,"",IF(COUNTIFS('3. Enablement evidence'!$A$2:$A$400,$A5,'3. Enablement evidence'!$D$2:$D$400,"Generic",'3. Enablement evidence'!$G$2:$G$400,"Yes")+COUNTIFS('3. Enablement evidence'!$A$2:$A$400,$A5,'3. Enablement evidence'!$D$2:$D$400,"Generic",'3. Enablement evidence'!$G$2:$G$400,"No")+COUNTIFS('3. Enablement evidence'!$A$2:$A$400,$A5,'3. Enablement evidence'!$D$2:$D$400,"Generic",'3. Enablement evidence'!$G$2:$G$400,"Partial")=0,"no evidence",IF(COUNTIFS('3. Enablement evidence'!$A$2:$A$400,$A5,'3. Enablement evidence'!$D$2:$D$400,"Generic",'3. Enablement evidence'!$G$2:$G$400,"Yes")+COUNTIFS('3. Enablement evidence'!$A$2:$A$400,$A5,'3. Enablement evidence'!$D$2:$D$400,"Generic",'3. Enablement evidence'!$G$2:$G$400,"No")+COUNTIFS('3. Enablement evidence'!$A$2:$A$400,$A5,'3. Enablement evidence'!$D$2:$D$400,"Generic",'3. Enablement evidence'!$G$2:$G$400,"Partial")&lt;COUNTIFS('3. Enablement evidence'!$A$2:$A$400,$A5,'3. Enablement evidence'!$D$2:$D$400,"Generic"),"incomplete "&amp;COUNTIFS('3. Enablement evidence'!$A$2:$A$400,$A5,'3. Enablement evidence'!$D$2:$D$400,"Generic",'3. Enablement evidence'!$G$2:$G$400,"Yes")&amp;"/"&amp;COUNTIFS('3. Enablement evidence'!$A$2:$A$400,$A5,'3. Enablement evidence'!$D$2:$D$400,"Generic"),IF(COUNTIFS('3. Enablement evidence'!$A$2:$A$400,$A5,'3. Enablement evidence'!$D$2:$D$400,"Generic",'3. Enablement evidence'!$G$2:$G$400,"Yes")&gt;=8,4,IF(AND(COUNTIFS('3. Enablement evidence'!$A$2:$A$400,$A5,'3. Enablement evidence'!$C$2:$C$400,"Published standard",'3. Enablement evidence'!$G$2:$G$400,"Yes")=1,COUNTIFS('3. Enablement evidence'!$A$2:$A$400,$A5,'3. Enablement evidence'!$C$2:$C$400,"Architecture pattern document",'3. Enablement evidence'!$G$2:$G$400,"Yes")+COUNTIFS('3. Enablement evidence'!$A$2:$A$400,$A5,'3. Enablement evidence'!$C$2:$C$400,"Reference architecture",'3. Enablement evidence'!$G$2:$G$400,"Yes")&gt;=1),3,IF(COUNTIFS('3. Enablement evidence'!$A$2:$A$400,$A5,'3. Enablement evidence'!$D$2:$D$400,"Generic",'3. Enablement evidence'!$G$2:$G$400,"Yes")&gt;=1,2,1))))))</f>
        <v/>
      </c>
      <c r="J5" s="20" t="inlineStr">
        <is>
          <t>Building blocks</t>
        </is>
      </c>
      <c r="K5" s="23" t="inlineStr">
        <is>
          <t>Approved</t>
        </is>
      </c>
      <c r="L5" s="24" t="inlineStr">
        <is>
          <t>Y</t>
        </is>
      </c>
      <c r="M5" s="25" t="inlineStr">
        <is>
          <t>STD-04, RA-03, IAC-06</t>
        </is>
      </c>
      <c r="N5" s="20" t="inlineStr"/>
      <c r="O5" s="14" t="inlineStr">
        <is>
          <t>Standard, reference architecture and a published Terraform module. Supply is well packaged - which is exactly why the maturity of capability 3.6 must be argued separately. See REAL-005.</t>
        </is>
      </c>
    </row>
    <row r="6" ht="46" customHeight="1">
      <c r="A6" s="26" t="inlineStr">
        <is>
          <t>REAL-005</t>
        </is>
      </c>
      <c r="B6" s="26" t="inlineStr">
        <is>
          <t>3.6</t>
        </is>
      </c>
      <c r="C6" s="23" t="inlineStr"/>
      <c r="D6" s="27" t="inlineStr">
        <is>
          <t>S3.10 Access-Trimmed Retrieval</t>
        </is>
      </c>
      <c r="E6" s="27" t="inlineStr"/>
      <c r="F6" s="20" t="inlineStr"/>
      <c r="G6" s="20" t="inlineStr"/>
      <c r="H6" s="18" t="n"/>
      <c r="I6" s="19">
        <f>IF(COUNTIFS('3. Enablement evidence'!$A$2:$A$400,$A6,'3. Enablement evidence'!$D$2:$D$400,"Generic")=0,"",IF(COUNTIFS('3. Enablement evidence'!$A$2:$A$400,$A6,'3. Enablement evidence'!$D$2:$D$400,"Generic",'3. Enablement evidence'!$G$2:$G$400,"Yes")+COUNTIFS('3. Enablement evidence'!$A$2:$A$400,$A6,'3. Enablement evidence'!$D$2:$D$400,"Generic",'3. Enablement evidence'!$G$2:$G$400,"No")+COUNTIFS('3. Enablement evidence'!$A$2:$A$400,$A6,'3. Enablement evidence'!$D$2:$D$400,"Generic",'3. Enablement evidence'!$G$2:$G$400,"Partial")=0,"no evidence",IF(COUNTIFS('3. Enablement evidence'!$A$2:$A$400,$A6,'3. Enablement evidence'!$D$2:$D$400,"Generic",'3. Enablement evidence'!$G$2:$G$400,"Yes")+COUNTIFS('3. Enablement evidence'!$A$2:$A$400,$A6,'3. Enablement evidence'!$D$2:$D$400,"Generic",'3. Enablement evidence'!$G$2:$G$400,"No")+COUNTIFS('3. Enablement evidence'!$A$2:$A$400,$A6,'3. Enablement evidence'!$D$2:$D$400,"Generic",'3. Enablement evidence'!$G$2:$G$400,"Partial")&lt;COUNTIFS('3. Enablement evidence'!$A$2:$A$400,$A6,'3. Enablement evidence'!$D$2:$D$400,"Generic"),"incomplete "&amp;COUNTIFS('3. Enablement evidence'!$A$2:$A$400,$A6,'3. Enablement evidence'!$D$2:$D$400,"Generic",'3. Enablement evidence'!$G$2:$G$400,"Yes")&amp;"/"&amp;COUNTIFS('3. Enablement evidence'!$A$2:$A$400,$A6,'3. Enablement evidence'!$D$2:$D$400,"Generic"),IF(COUNTIFS('3. Enablement evidence'!$A$2:$A$400,$A6,'3. Enablement evidence'!$D$2:$D$400,"Generic",'3. Enablement evidence'!$G$2:$G$400,"Yes")&gt;=8,4,IF(AND(COUNTIFS('3. Enablement evidence'!$A$2:$A$400,$A6,'3. Enablement evidence'!$C$2:$C$400,"Published standard",'3. Enablement evidence'!$G$2:$G$400,"Yes")=1,COUNTIFS('3. Enablement evidence'!$A$2:$A$400,$A6,'3. Enablement evidence'!$C$2:$C$400,"Architecture pattern document",'3. Enablement evidence'!$G$2:$G$400,"Yes")+COUNTIFS('3. Enablement evidence'!$A$2:$A$400,$A6,'3. Enablement evidence'!$C$2:$C$400,"Reference architecture",'3. Enablement evidence'!$G$2:$G$400,"Yes")&gt;=1),3,IF(COUNTIFS('3. Enablement evidence'!$A$2:$A$400,$A6,'3. Enablement evidence'!$D$2:$D$400,"Generic",'3. Enablement evidence'!$G$2:$G$400,"Yes")&gt;=1,2,1))))))</f>
        <v/>
      </c>
      <c r="J6" s="20" t="inlineStr"/>
      <c r="K6" s="23" t="inlineStr"/>
      <c r="L6" s="24" t="inlineStr"/>
      <c r="M6" s="25" t="inlineStr">
        <is>
          <t>STD-04, RA-03</t>
        </is>
      </c>
      <c r="N6" s="20" t="inlineStr"/>
      <c r="O6" s="14" t="inlineStr">
        <is>
          <t>CONFIRM THIS ROW - it decides the headline finding for D3. Does the Azure AI Search Standard (STD-04) mandate that source ACL metadata is extracted, indexed and applied as a pre-ranking filter? If it does, readiness follows REAL-004. If it does not, this sits at 0 and it is the reason capability 3.6 can carry readiness 4 and a much lower maturity. Filtering a ranked list after the fact both leaks and distorts relevance.</t>
        </is>
      </c>
    </row>
    <row r="7" ht="46" customHeight="1">
      <c r="A7" s="12" t="inlineStr">
        <is>
          <t>REAL-006</t>
        </is>
      </c>
      <c r="B7" s="11" t="inlineStr">
        <is>
          <t>3.5</t>
        </is>
      </c>
      <c r="C7" s="23" t="inlineStr"/>
      <c r="D7" s="20" t="inlineStr">
        <is>
          <t>Azure Document Intelligence Reference Architecture (RA-04)</t>
        </is>
      </c>
      <c r="E7" s="20" t="inlineStr">
        <is>
          <t>Azure AI Document Intelligence</t>
        </is>
      </c>
      <c r="F7" s="20" t="inlineStr"/>
      <c r="G7" s="20" t="inlineStr">
        <is>
          <t>Consumer</t>
        </is>
      </c>
      <c r="H7" s="18" t="n">
        <v>3</v>
      </c>
      <c r="I7" s="19">
        <f>IF(COUNTIFS('3. Enablement evidence'!$A$2:$A$400,$A7,'3. Enablement evidence'!$D$2:$D$400,"Generic")=0,"",IF(COUNTIFS('3. Enablement evidence'!$A$2:$A$400,$A7,'3. Enablement evidence'!$D$2:$D$400,"Generic",'3. Enablement evidence'!$G$2:$G$400,"Yes")+COUNTIFS('3. Enablement evidence'!$A$2:$A$400,$A7,'3. Enablement evidence'!$D$2:$D$400,"Generic",'3. Enablement evidence'!$G$2:$G$400,"No")+COUNTIFS('3. Enablement evidence'!$A$2:$A$400,$A7,'3. Enablement evidence'!$D$2:$D$400,"Generic",'3. Enablement evidence'!$G$2:$G$400,"Partial")=0,"no evidence",IF(COUNTIFS('3. Enablement evidence'!$A$2:$A$400,$A7,'3. Enablement evidence'!$D$2:$D$400,"Generic",'3. Enablement evidence'!$G$2:$G$400,"Yes")+COUNTIFS('3. Enablement evidence'!$A$2:$A$400,$A7,'3. Enablement evidence'!$D$2:$D$400,"Generic",'3. Enablement evidence'!$G$2:$G$400,"No")+COUNTIFS('3. Enablement evidence'!$A$2:$A$400,$A7,'3. Enablement evidence'!$D$2:$D$400,"Generic",'3. Enablement evidence'!$G$2:$G$400,"Partial")&lt;COUNTIFS('3. Enablement evidence'!$A$2:$A$400,$A7,'3. Enablement evidence'!$D$2:$D$400,"Generic"),"incomplete "&amp;COUNTIFS('3. Enablement evidence'!$A$2:$A$400,$A7,'3. Enablement evidence'!$D$2:$D$400,"Generic",'3. Enablement evidence'!$G$2:$G$400,"Yes")&amp;"/"&amp;COUNTIFS('3. Enablement evidence'!$A$2:$A$400,$A7,'3. Enablement evidence'!$D$2:$D$400,"Generic"),IF(COUNTIFS('3. Enablement evidence'!$A$2:$A$400,$A7,'3. Enablement evidence'!$D$2:$D$400,"Generic",'3. Enablement evidence'!$G$2:$G$400,"Yes")&gt;=8,4,IF(AND(COUNTIFS('3. Enablement evidence'!$A$2:$A$400,$A7,'3. Enablement evidence'!$C$2:$C$400,"Published standard",'3. Enablement evidence'!$G$2:$G$400,"Yes")=1,COUNTIFS('3. Enablement evidence'!$A$2:$A$400,$A7,'3. Enablement evidence'!$C$2:$C$400,"Architecture pattern document",'3. Enablement evidence'!$G$2:$G$400,"Yes")+COUNTIFS('3. Enablement evidence'!$A$2:$A$400,$A7,'3. Enablement evidence'!$C$2:$C$400,"Reference architecture",'3. Enablement evidence'!$G$2:$G$400,"Yes")&gt;=1),3,IF(COUNTIFS('3. Enablement evidence'!$A$2:$A$400,$A7,'3. Enablement evidence'!$D$2:$D$400,"Generic",'3. Enablement evidence'!$G$2:$G$400,"Yes")&gt;=1,2,1))))))</f>
        <v/>
      </c>
      <c r="J7" s="20" t="inlineStr">
        <is>
          <t>Guidance</t>
        </is>
      </c>
      <c r="K7" s="23" t="inlineStr">
        <is>
          <t>Approved</t>
        </is>
      </c>
      <c r="L7" s="24" t="inlineStr">
        <is>
          <t>Y</t>
        </is>
      </c>
      <c r="M7" s="25" t="inlineStr">
        <is>
          <t>STD-05, RA-04</t>
        </is>
      </c>
      <c r="N7" s="20" t="inlineStr"/>
      <c r="O7" s="14" t="inlineStr">
        <is>
          <t>Standard and reference architecture published; no Terraform module in the inventory. Publishing one is the step to 4.</t>
        </is>
      </c>
    </row>
    <row r="8" ht="46" customHeight="1">
      <c r="A8" s="12" t="inlineStr">
        <is>
          <t>REAL-007</t>
        </is>
      </c>
      <c r="B8" s="11" t="inlineStr">
        <is>
          <t>4.1</t>
        </is>
      </c>
      <c r="C8" s="23" t="inlineStr">
        <is>
          <t>5.2</t>
        </is>
      </c>
      <c r="D8" s="20" t="inlineStr">
        <is>
          <t>Tech Stack - AI standard (STD-01)</t>
        </is>
      </c>
      <c r="E8" s="20" t="inlineStr"/>
      <c r="F8" s="20" t="inlineStr"/>
      <c r="G8" s="20" t="inlineStr">
        <is>
          <t>-</t>
        </is>
      </c>
      <c r="H8" s="18" t="n">
        <v>3</v>
      </c>
      <c r="I8" s="19">
        <f>IF(COUNTIFS('3. Enablement evidence'!$A$2:$A$400,$A8,'3. Enablement evidence'!$D$2:$D$400,"Generic")=0,"",IF(COUNTIFS('3. Enablement evidence'!$A$2:$A$400,$A8,'3. Enablement evidence'!$D$2:$D$400,"Generic",'3. Enablement evidence'!$G$2:$G$400,"Yes")+COUNTIFS('3. Enablement evidence'!$A$2:$A$400,$A8,'3. Enablement evidence'!$D$2:$D$400,"Generic",'3. Enablement evidence'!$G$2:$G$400,"No")+COUNTIFS('3. Enablement evidence'!$A$2:$A$400,$A8,'3. Enablement evidence'!$D$2:$D$400,"Generic",'3. Enablement evidence'!$G$2:$G$400,"Partial")=0,"no evidence",IF(COUNTIFS('3. Enablement evidence'!$A$2:$A$400,$A8,'3. Enablement evidence'!$D$2:$D$400,"Generic",'3. Enablement evidence'!$G$2:$G$400,"Yes")+COUNTIFS('3. Enablement evidence'!$A$2:$A$400,$A8,'3. Enablement evidence'!$D$2:$D$400,"Generic",'3. Enablement evidence'!$G$2:$G$400,"No")+COUNTIFS('3. Enablement evidence'!$A$2:$A$400,$A8,'3. Enablement evidence'!$D$2:$D$400,"Generic",'3. Enablement evidence'!$G$2:$G$400,"Partial")&lt;COUNTIFS('3. Enablement evidence'!$A$2:$A$400,$A8,'3. Enablement evidence'!$D$2:$D$400,"Generic"),"incomplete "&amp;COUNTIFS('3. Enablement evidence'!$A$2:$A$400,$A8,'3. Enablement evidence'!$D$2:$D$400,"Generic",'3. Enablement evidence'!$G$2:$G$400,"Yes")&amp;"/"&amp;COUNTIFS('3. Enablement evidence'!$A$2:$A$400,$A8,'3. Enablement evidence'!$D$2:$D$400,"Generic"),IF(COUNTIFS('3. Enablement evidence'!$A$2:$A$400,$A8,'3. Enablement evidence'!$D$2:$D$400,"Generic",'3. Enablement evidence'!$G$2:$G$400,"Yes")&gt;=8,4,IF(AND(COUNTIFS('3. Enablement evidence'!$A$2:$A$400,$A8,'3. Enablement evidence'!$C$2:$C$400,"Published standard",'3. Enablement evidence'!$G$2:$G$400,"Yes")=1,COUNTIFS('3. Enablement evidence'!$A$2:$A$400,$A8,'3. Enablement evidence'!$C$2:$C$400,"Architecture pattern document",'3. Enablement evidence'!$G$2:$G$400,"Yes")+COUNTIFS('3. Enablement evidence'!$A$2:$A$400,$A8,'3. Enablement evidence'!$C$2:$C$400,"Reference architecture",'3. Enablement evidence'!$G$2:$G$400,"Yes")&gt;=1),3,IF(COUNTIFS('3. Enablement evidence'!$A$2:$A$400,$A8,'3. Enablement evidence'!$D$2:$D$400,"Generic",'3. Enablement evidence'!$G$2:$G$400,"Yes")&gt;=1,2,1))))))</f>
        <v/>
      </c>
      <c r="J8" s="20" t="inlineStr">
        <is>
          <t>Guidance</t>
        </is>
      </c>
      <c r="K8" s="23" t="inlineStr">
        <is>
          <t>Approved</t>
        </is>
      </c>
      <c r="L8" s="24" t="inlineStr">
        <is>
          <t>Y</t>
        </is>
      </c>
      <c r="M8" s="25" t="inlineStr">
        <is>
          <t>STD-01</t>
        </is>
      </c>
      <c r="N8" s="20" t="inlineStr"/>
      <c r="O8" s="14" t="inlineStr">
        <is>
          <t>The approved AI technology stack. This is the asset that answers 'what is already approved for general use' at the technology level - it is evidence toward capability maturity, not a substitute for it.</t>
        </is>
      </c>
    </row>
    <row r="9" ht="46" customHeight="1">
      <c r="A9" s="12" t="inlineStr">
        <is>
          <t>REAL-008</t>
        </is>
      </c>
      <c r="B9" s="11" t="inlineStr">
        <is>
          <t>2.5</t>
        </is>
      </c>
      <c r="C9" s="23" t="inlineStr">
        <is>
          <t>2.2</t>
        </is>
      </c>
      <c r="D9" s="20" t="inlineStr">
        <is>
          <t>AI Agent Decision Tree (STD-06)</t>
        </is>
      </c>
      <c r="E9" s="20" t="inlineStr"/>
      <c r="F9" s="20" t="inlineStr"/>
      <c r="G9" s="20" t="inlineStr">
        <is>
          <t>-</t>
        </is>
      </c>
      <c r="H9" s="18" t="n">
        <v>3</v>
      </c>
      <c r="I9" s="19">
        <f>IF(COUNTIFS('3. Enablement evidence'!$A$2:$A$400,$A9,'3. Enablement evidence'!$D$2:$D$400,"Generic")=0,"",IF(COUNTIFS('3. Enablement evidence'!$A$2:$A$400,$A9,'3. Enablement evidence'!$D$2:$D$400,"Generic",'3. Enablement evidence'!$G$2:$G$400,"Yes")+COUNTIFS('3. Enablement evidence'!$A$2:$A$400,$A9,'3. Enablement evidence'!$D$2:$D$400,"Generic",'3. Enablement evidence'!$G$2:$G$400,"No")+COUNTIFS('3. Enablement evidence'!$A$2:$A$400,$A9,'3. Enablement evidence'!$D$2:$D$400,"Generic",'3. Enablement evidence'!$G$2:$G$400,"Partial")=0,"no evidence",IF(COUNTIFS('3. Enablement evidence'!$A$2:$A$400,$A9,'3. Enablement evidence'!$D$2:$D$400,"Generic",'3. Enablement evidence'!$G$2:$G$400,"Yes")+COUNTIFS('3. Enablement evidence'!$A$2:$A$400,$A9,'3. Enablement evidence'!$D$2:$D$400,"Generic",'3. Enablement evidence'!$G$2:$G$400,"No")+COUNTIFS('3. Enablement evidence'!$A$2:$A$400,$A9,'3. Enablement evidence'!$D$2:$D$400,"Generic",'3. Enablement evidence'!$G$2:$G$400,"Partial")&lt;COUNTIFS('3. Enablement evidence'!$A$2:$A$400,$A9,'3. Enablement evidence'!$D$2:$D$400,"Generic"),"incomplete "&amp;COUNTIFS('3. Enablement evidence'!$A$2:$A$400,$A9,'3. Enablement evidence'!$D$2:$D$400,"Generic",'3. Enablement evidence'!$G$2:$G$400,"Yes")&amp;"/"&amp;COUNTIFS('3. Enablement evidence'!$A$2:$A$400,$A9,'3. Enablement evidence'!$D$2:$D$400,"Generic"),IF(COUNTIFS('3. Enablement evidence'!$A$2:$A$400,$A9,'3. Enablement evidence'!$D$2:$D$400,"Generic",'3. Enablement evidence'!$G$2:$G$400,"Yes")&gt;=8,4,IF(AND(COUNTIFS('3. Enablement evidence'!$A$2:$A$400,$A9,'3. Enablement evidence'!$C$2:$C$400,"Published standard",'3. Enablement evidence'!$G$2:$G$400,"Yes")=1,COUNTIFS('3. Enablement evidence'!$A$2:$A$400,$A9,'3. Enablement evidence'!$C$2:$C$400,"Architecture pattern document",'3. Enablement evidence'!$G$2:$G$400,"Yes")+COUNTIFS('3. Enablement evidence'!$A$2:$A$400,$A9,'3. Enablement evidence'!$C$2:$C$400,"Reference architecture",'3. Enablement evidence'!$G$2:$G$400,"Yes")&gt;=1),3,IF(COUNTIFS('3. Enablement evidence'!$A$2:$A$400,$A9,'3. Enablement evidence'!$D$2:$D$400,"Generic",'3. Enablement evidence'!$G$2:$G$400,"Yes")&gt;=1,2,1))))))</f>
        <v/>
      </c>
      <c r="J9" s="20" t="inlineStr">
        <is>
          <t>Guidance</t>
        </is>
      </c>
      <c r="K9" s="23" t="inlineStr">
        <is>
          <t>Approved</t>
        </is>
      </c>
      <c r="L9" s="24" t="inlineStr">
        <is>
          <t>Y</t>
        </is>
      </c>
      <c r="M9" s="25" t="inlineStr">
        <is>
          <t>STD-06</t>
        </is>
      </c>
      <c r="N9" s="20" t="inlineStr"/>
      <c r="O9" s="14" t="inlineStr">
        <is>
          <t>A published decision aid for whether and what kind of agent is appropriate. This is the only realization currently touching domain D2, and it maps to the autonomy and interaction-pattern determination.</t>
        </is>
      </c>
    </row>
    <row r="10" ht="26" customHeight="1">
      <c r="A10" s="26" t="inlineStr">
        <is>
          <t>REAL-200</t>
        </is>
      </c>
      <c r="B10" s="26" t="inlineStr">
        <is>
          <t>3.5</t>
        </is>
      </c>
      <c r="C10" s="23" t="inlineStr"/>
      <c r="D10" s="27" t="inlineStr">
        <is>
          <t>S1.1 Optical Character Recognition</t>
        </is>
      </c>
      <c r="E10" s="27" t="inlineStr"/>
      <c r="F10" s="20" t="inlineStr"/>
      <c r="G10" s="20" t="inlineStr"/>
      <c r="H10" s="18" t="n"/>
      <c r="I10" s="19">
        <f>IF(COUNTIFS('3. Enablement evidence'!$A$2:$A$400,$A10,'3. Enablement evidence'!$D$2:$D$400,"Generic")=0,"",IF(COUNTIFS('3. Enablement evidence'!$A$2:$A$400,$A10,'3. Enablement evidence'!$D$2:$D$400,"Generic",'3. Enablement evidence'!$G$2:$G$400,"Yes")+COUNTIFS('3. Enablement evidence'!$A$2:$A$400,$A10,'3. Enablement evidence'!$D$2:$D$400,"Generic",'3. Enablement evidence'!$G$2:$G$400,"No")+COUNTIFS('3. Enablement evidence'!$A$2:$A$400,$A10,'3. Enablement evidence'!$D$2:$D$400,"Generic",'3. Enablement evidence'!$G$2:$G$400,"Partial")=0,"no evidence",IF(COUNTIFS('3. Enablement evidence'!$A$2:$A$400,$A10,'3. Enablement evidence'!$D$2:$D$400,"Generic",'3. Enablement evidence'!$G$2:$G$400,"Yes")+COUNTIFS('3. Enablement evidence'!$A$2:$A$400,$A10,'3. Enablement evidence'!$D$2:$D$400,"Generic",'3. Enablement evidence'!$G$2:$G$400,"No")+COUNTIFS('3. Enablement evidence'!$A$2:$A$400,$A10,'3. Enablement evidence'!$D$2:$D$400,"Generic",'3. Enablement evidence'!$G$2:$G$400,"Partial")&lt;COUNTIFS('3. Enablement evidence'!$A$2:$A$400,$A10,'3. Enablement evidence'!$D$2:$D$400,"Generic"),"incomplete "&amp;COUNTIFS('3. Enablement evidence'!$A$2:$A$400,$A10,'3. Enablement evidence'!$D$2:$D$400,"Generic",'3. Enablement evidence'!$G$2:$G$400,"Yes")&amp;"/"&amp;COUNTIFS('3. Enablement evidence'!$A$2:$A$400,$A10,'3. Enablement evidence'!$D$2:$D$400,"Generic"),IF(COUNTIFS('3. Enablement evidence'!$A$2:$A$400,$A10,'3. Enablement evidence'!$D$2:$D$400,"Generic",'3. Enablement evidence'!$G$2:$G$400,"Yes")&gt;=8,4,IF(AND(COUNTIFS('3. Enablement evidence'!$A$2:$A$400,$A10,'3. Enablement evidence'!$C$2:$C$400,"Published standard",'3. Enablement evidence'!$G$2:$G$400,"Yes")=1,COUNTIFS('3. Enablement evidence'!$A$2:$A$400,$A10,'3. Enablement evidence'!$C$2:$C$400,"Architecture pattern document",'3. Enablement evidence'!$G$2:$G$400,"Yes")+COUNTIFS('3. Enablement evidence'!$A$2:$A$400,$A10,'3. Enablement evidence'!$C$2:$C$400,"Reference architecture",'3. Enablement evidence'!$G$2:$G$400,"Yes")&gt;=1),3,IF(COUNTIFS('3. Enablement evidence'!$A$2:$A$400,$A10,'3. Enablement evidence'!$D$2:$D$400,"Generic",'3. Enablement evidence'!$G$2:$G$400,"Yes")&gt;=1,2,1))))))</f>
        <v/>
      </c>
      <c r="J10" s="20" t="inlineStr"/>
      <c r="K10" s="23" t="inlineStr">
        <is>
          <t>Candidate</t>
        </is>
      </c>
      <c r="L10" s="24" t="inlineStr"/>
      <c r="M10" s="25" t="inlineStr"/>
      <c r="N10" s="20" t="inlineStr"/>
      <c r="O10" s="14" t="inlineStr"/>
    </row>
    <row r="11" ht="26" customHeight="1">
      <c r="A11" s="26" t="inlineStr">
        <is>
          <t>REAL-201</t>
        </is>
      </c>
      <c r="B11" s="26" t="inlineStr">
        <is>
          <t>3.5</t>
        </is>
      </c>
      <c r="C11" s="23" t="inlineStr"/>
      <c r="D11" s="27" t="inlineStr">
        <is>
          <t>S1.2 Document Layout &amp; Structure Analysis</t>
        </is>
      </c>
      <c r="E11" s="27" t="inlineStr"/>
      <c r="F11" s="20" t="inlineStr"/>
      <c r="G11" s="20" t="inlineStr"/>
      <c r="H11" s="18" t="n"/>
      <c r="I11" s="19">
        <f>IF(COUNTIFS('3. Enablement evidence'!$A$2:$A$400,$A11,'3. Enablement evidence'!$D$2:$D$400,"Generic")=0,"",IF(COUNTIFS('3. Enablement evidence'!$A$2:$A$400,$A11,'3. Enablement evidence'!$D$2:$D$400,"Generic",'3. Enablement evidence'!$G$2:$G$400,"Yes")+COUNTIFS('3. Enablement evidence'!$A$2:$A$400,$A11,'3. Enablement evidence'!$D$2:$D$400,"Generic",'3. Enablement evidence'!$G$2:$G$400,"No")+COUNTIFS('3. Enablement evidence'!$A$2:$A$400,$A11,'3. Enablement evidence'!$D$2:$D$400,"Generic",'3. Enablement evidence'!$G$2:$G$400,"Partial")=0,"no evidence",IF(COUNTIFS('3. Enablement evidence'!$A$2:$A$400,$A11,'3. Enablement evidence'!$D$2:$D$400,"Generic",'3. Enablement evidence'!$G$2:$G$400,"Yes")+COUNTIFS('3. Enablement evidence'!$A$2:$A$400,$A11,'3. Enablement evidence'!$D$2:$D$400,"Generic",'3. Enablement evidence'!$G$2:$G$400,"No")+COUNTIFS('3. Enablement evidence'!$A$2:$A$400,$A11,'3. Enablement evidence'!$D$2:$D$400,"Generic",'3. Enablement evidence'!$G$2:$G$400,"Partial")&lt;COUNTIFS('3. Enablement evidence'!$A$2:$A$400,$A11,'3. Enablement evidence'!$D$2:$D$400,"Generic"),"incomplete "&amp;COUNTIFS('3. Enablement evidence'!$A$2:$A$400,$A11,'3. Enablement evidence'!$D$2:$D$400,"Generic",'3. Enablement evidence'!$G$2:$G$400,"Yes")&amp;"/"&amp;COUNTIFS('3. Enablement evidence'!$A$2:$A$400,$A11,'3. Enablement evidence'!$D$2:$D$400,"Generic"),IF(COUNTIFS('3. Enablement evidence'!$A$2:$A$400,$A11,'3. Enablement evidence'!$D$2:$D$400,"Generic",'3. Enablement evidence'!$G$2:$G$400,"Yes")&gt;=8,4,IF(AND(COUNTIFS('3. Enablement evidence'!$A$2:$A$400,$A11,'3. Enablement evidence'!$C$2:$C$400,"Published standard",'3. Enablement evidence'!$G$2:$G$400,"Yes")=1,COUNTIFS('3. Enablement evidence'!$A$2:$A$400,$A11,'3. Enablement evidence'!$C$2:$C$400,"Architecture pattern document",'3. Enablement evidence'!$G$2:$G$400,"Yes")+COUNTIFS('3. Enablement evidence'!$A$2:$A$400,$A11,'3. Enablement evidence'!$C$2:$C$400,"Reference architecture",'3. Enablement evidence'!$G$2:$G$400,"Yes")&gt;=1),3,IF(COUNTIFS('3. Enablement evidence'!$A$2:$A$400,$A11,'3. Enablement evidence'!$D$2:$D$400,"Generic",'3. Enablement evidence'!$G$2:$G$400,"Yes")&gt;=1,2,1))))))</f>
        <v/>
      </c>
      <c r="J11" s="20" t="inlineStr"/>
      <c r="K11" s="23" t="inlineStr">
        <is>
          <t>Candidate</t>
        </is>
      </c>
      <c r="L11" s="24" t="inlineStr"/>
      <c r="M11" s="25" t="inlineStr"/>
      <c r="N11" s="20" t="inlineStr"/>
      <c r="O11" s="14" t="inlineStr"/>
    </row>
    <row r="12" ht="26" customHeight="1">
      <c r="A12" s="26" t="inlineStr">
        <is>
          <t>REAL-202</t>
        </is>
      </c>
      <c r="B12" s="26" t="inlineStr">
        <is>
          <t>3.5</t>
        </is>
      </c>
      <c r="C12" s="23" t="inlineStr"/>
      <c r="D12" s="27" t="inlineStr">
        <is>
          <t>S1.3 Form &amp; Key-Value Extraction</t>
        </is>
      </c>
      <c r="E12" s="27" t="inlineStr"/>
      <c r="F12" s="20" t="inlineStr"/>
      <c r="G12" s="20" t="inlineStr"/>
      <c r="H12" s="18" t="n"/>
      <c r="I12" s="19">
        <f>IF(COUNTIFS('3. Enablement evidence'!$A$2:$A$400,$A12,'3. Enablement evidence'!$D$2:$D$400,"Generic")=0,"",IF(COUNTIFS('3. Enablement evidence'!$A$2:$A$400,$A12,'3. Enablement evidence'!$D$2:$D$400,"Generic",'3. Enablement evidence'!$G$2:$G$400,"Yes")+COUNTIFS('3. Enablement evidence'!$A$2:$A$400,$A12,'3. Enablement evidence'!$D$2:$D$400,"Generic",'3. Enablement evidence'!$G$2:$G$400,"No")+COUNTIFS('3. Enablement evidence'!$A$2:$A$400,$A12,'3. Enablement evidence'!$D$2:$D$400,"Generic",'3. Enablement evidence'!$G$2:$G$400,"Partial")=0,"no evidence",IF(COUNTIFS('3. Enablement evidence'!$A$2:$A$400,$A12,'3. Enablement evidence'!$D$2:$D$400,"Generic",'3. Enablement evidence'!$G$2:$G$400,"Yes")+COUNTIFS('3. Enablement evidence'!$A$2:$A$400,$A12,'3. Enablement evidence'!$D$2:$D$400,"Generic",'3. Enablement evidence'!$G$2:$G$400,"No")+COUNTIFS('3. Enablement evidence'!$A$2:$A$400,$A12,'3. Enablement evidence'!$D$2:$D$400,"Generic",'3. Enablement evidence'!$G$2:$G$400,"Partial")&lt;COUNTIFS('3. Enablement evidence'!$A$2:$A$400,$A12,'3. Enablement evidence'!$D$2:$D$400,"Generic"),"incomplete "&amp;COUNTIFS('3. Enablement evidence'!$A$2:$A$400,$A12,'3. Enablement evidence'!$D$2:$D$400,"Generic",'3. Enablement evidence'!$G$2:$G$400,"Yes")&amp;"/"&amp;COUNTIFS('3. Enablement evidence'!$A$2:$A$400,$A12,'3. Enablement evidence'!$D$2:$D$400,"Generic"),IF(COUNTIFS('3. Enablement evidence'!$A$2:$A$400,$A12,'3. Enablement evidence'!$D$2:$D$400,"Generic",'3. Enablement evidence'!$G$2:$G$400,"Yes")&gt;=8,4,IF(AND(COUNTIFS('3. Enablement evidence'!$A$2:$A$400,$A12,'3. Enablement evidence'!$C$2:$C$400,"Published standard",'3. Enablement evidence'!$G$2:$G$400,"Yes")=1,COUNTIFS('3. Enablement evidence'!$A$2:$A$400,$A12,'3. Enablement evidence'!$C$2:$C$400,"Architecture pattern document",'3. Enablement evidence'!$G$2:$G$400,"Yes")+COUNTIFS('3. Enablement evidence'!$A$2:$A$400,$A12,'3. Enablement evidence'!$C$2:$C$400,"Reference architecture",'3. Enablement evidence'!$G$2:$G$400,"Yes")&gt;=1),3,IF(COUNTIFS('3. Enablement evidence'!$A$2:$A$400,$A12,'3. Enablement evidence'!$D$2:$D$400,"Generic",'3. Enablement evidence'!$G$2:$G$400,"Yes")&gt;=1,2,1))))))</f>
        <v/>
      </c>
      <c r="J12" s="20" t="inlineStr"/>
      <c r="K12" s="23" t="inlineStr">
        <is>
          <t>Candidate</t>
        </is>
      </c>
      <c r="L12" s="24" t="inlineStr"/>
      <c r="M12" s="25" t="inlineStr"/>
      <c r="N12" s="20" t="inlineStr"/>
      <c r="O12" s="14" t="inlineStr"/>
    </row>
    <row r="13" ht="26" customHeight="1">
      <c r="A13" s="26" t="inlineStr">
        <is>
          <t>REAL-203</t>
        </is>
      </c>
      <c r="B13" s="26" t="inlineStr">
        <is>
          <t>3.5</t>
        </is>
      </c>
      <c r="C13" s="23" t="inlineStr"/>
      <c r="D13" s="27" t="inlineStr">
        <is>
          <t>S1.4 Table Extraction</t>
        </is>
      </c>
      <c r="E13" s="27" t="inlineStr"/>
      <c r="F13" s="20" t="inlineStr"/>
      <c r="G13" s="20" t="inlineStr"/>
      <c r="H13" s="18" t="n"/>
      <c r="I13" s="19">
        <f>IF(COUNTIFS('3. Enablement evidence'!$A$2:$A$400,$A13,'3. Enablement evidence'!$D$2:$D$400,"Generic")=0,"",IF(COUNTIFS('3. Enablement evidence'!$A$2:$A$400,$A13,'3. Enablement evidence'!$D$2:$D$400,"Generic",'3. Enablement evidence'!$G$2:$G$400,"Yes")+COUNTIFS('3. Enablement evidence'!$A$2:$A$400,$A13,'3. Enablement evidence'!$D$2:$D$400,"Generic",'3. Enablement evidence'!$G$2:$G$400,"No")+COUNTIFS('3. Enablement evidence'!$A$2:$A$400,$A13,'3. Enablement evidence'!$D$2:$D$400,"Generic",'3. Enablement evidence'!$G$2:$G$400,"Partial")=0,"no evidence",IF(COUNTIFS('3. Enablement evidence'!$A$2:$A$400,$A13,'3. Enablement evidence'!$D$2:$D$400,"Generic",'3. Enablement evidence'!$G$2:$G$400,"Yes")+COUNTIFS('3. Enablement evidence'!$A$2:$A$400,$A13,'3. Enablement evidence'!$D$2:$D$400,"Generic",'3. Enablement evidence'!$G$2:$G$400,"No")+COUNTIFS('3. Enablement evidence'!$A$2:$A$400,$A13,'3. Enablement evidence'!$D$2:$D$400,"Generic",'3. Enablement evidence'!$G$2:$G$400,"Partial")&lt;COUNTIFS('3. Enablement evidence'!$A$2:$A$400,$A13,'3. Enablement evidence'!$D$2:$D$400,"Generic"),"incomplete "&amp;COUNTIFS('3. Enablement evidence'!$A$2:$A$400,$A13,'3. Enablement evidence'!$D$2:$D$400,"Generic",'3. Enablement evidence'!$G$2:$G$400,"Yes")&amp;"/"&amp;COUNTIFS('3. Enablement evidence'!$A$2:$A$400,$A13,'3. Enablement evidence'!$D$2:$D$400,"Generic"),IF(COUNTIFS('3. Enablement evidence'!$A$2:$A$400,$A13,'3. Enablement evidence'!$D$2:$D$400,"Generic",'3. Enablement evidence'!$G$2:$G$400,"Yes")&gt;=8,4,IF(AND(COUNTIFS('3. Enablement evidence'!$A$2:$A$400,$A13,'3. Enablement evidence'!$C$2:$C$400,"Published standard",'3. Enablement evidence'!$G$2:$G$400,"Yes")=1,COUNTIFS('3. Enablement evidence'!$A$2:$A$400,$A13,'3. Enablement evidence'!$C$2:$C$400,"Architecture pattern document",'3. Enablement evidence'!$G$2:$G$400,"Yes")+COUNTIFS('3. Enablement evidence'!$A$2:$A$400,$A13,'3. Enablement evidence'!$C$2:$C$400,"Reference architecture",'3. Enablement evidence'!$G$2:$G$400,"Yes")&gt;=1),3,IF(COUNTIFS('3. Enablement evidence'!$A$2:$A$400,$A13,'3. Enablement evidence'!$D$2:$D$400,"Generic",'3. Enablement evidence'!$G$2:$G$400,"Yes")&gt;=1,2,1))))))</f>
        <v/>
      </c>
      <c r="J13" s="20" t="inlineStr"/>
      <c r="K13" s="23" t="inlineStr">
        <is>
          <t>Candidate</t>
        </is>
      </c>
      <c r="L13" s="24" t="inlineStr"/>
      <c r="M13" s="25" t="inlineStr"/>
      <c r="N13" s="20" t="inlineStr"/>
      <c r="O13" s="14" t="inlineStr"/>
    </row>
    <row r="14" ht="26" customHeight="1">
      <c r="A14" s="26" t="inlineStr">
        <is>
          <t>REAL-204</t>
        </is>
      </c>
      <c r="B14" s="26" t="inlineStr">
        <is>
          <t>3.5</t>
        </is>
      </c>
      <c r="C14" s="23" t="inlineStr"/>
      <c r="D14" s="27" t="inlineStr">
        <is>
          <t>S1.5 Document Classification &amp; Splitting</t>
        </is>
      </c>
      <c r="E14" s="27" t="inlineStr"/>
      <c r="F14" s="20" t="inlineStr"/>
      <c r="G14" s="20" t="inlineStr"/>
      <c r="H14" s="18" t="n"/>
      <c r="I14" s="19">
        <f>IF(COUNTIFS('3. Enablement evidence'!$A$2:$A$400,$A14,'3. Enablement evidence'!$D$2:$D$400,"Generic")=0,"",IF(COUNTIFS('3. Enablement evidence'!$A$2:$A$400,$A14,'3. Enablement evidence'!$D$2:$D$400,"Generic",'3. Enablement evidence'!$G$2:$G$400,"Yes")+COUNTIFS('3. Enablement evidence'!$A$2:$A$400,$A14,'3. Enablement evidence'!$D$2:$D$400,"Generic",'3. Enablement evidence'!$G$2:$G$400,"No")+COUNTIFS('3. Enablement evidence'!$A$2:$A$400,$A14,'3. Enablement evidence'!$D$2:$D$400,"Generic",'3. Enablement evidence'!$G$2:$G$400,"Partial")=0,"no evidence",IF(COUNTIFS('3. Enablement evidence'!$A$2:$A$400,$A14,'3. Enablement evidence'!$D$2:$D$400,"Generic",'3. Enablement evidence'!$G$2:$G$400,"Yes")+COUNTIFS('3. Enablement evidence'!$A$2:$A$400,$A14,'3. Enablement evidence'!$D$2:$D$400,"Generic",'3. Enablement evidence'!$G$2:$G$400,"No")+COUNTIFS('3. Enablement evidence'!$A$2:$A$400,$A14,'3. Enablement evidence'!$D$2:$D$400,"Generic",'3. Enablement evidence'!$G$2:$G$400,"Partial")&lt;COUNTIFS('3. Enablement evidence'!$A$2:$A$400,$A14,'3. Enablement evidence'!$D$2:$D$400,"Generic"),"incomplete "&amp;COUNTIFS('3. Enablement evidence'!$A$2:$A$400,$A14,'3. Enablement evidence'!$D$2:$D$400,"Generic",'3. Enablement evidence'!$G$2:$G$400,"Yes")&amp;"/"&amp;COUNTIFS('3. Enablement evidence'!$A$2:$A$400,$A14,'3. Enablement evidence'!$D$2:$D$400,"Generic"),IF(COUNTIFS('3. Enablement evidence'!$A$2:$A$400,$A14,'3. Enablement evidence'!$D$2:$D$400,"Generic",'3. Enablement evidence'!$G$2:$G$400,"Yes")&gt;=8,4,IF(AND(COUNTIFS('3. Enablement evidence'!$A$2:$A$400,$A14,'3. Enablement evidence'!$C$2:$C$400,"Published standard",'3. Enablement evidence'!$G$2:$G$400,"Yes")=1,COUNTIFS('3. Enablement evidence'!$A$2:$A$400,$A14,'3. Enablement evidence'!$C$2:$C$400,"Architecture pattern document",'3. Enablement evidence'!$G$2:$G$400,"Yes")+COUNTIFS('3. Enablement evidence'!$A$2:$A$400,$A14,'3. Enablement evidence'!$C$2:$C$400,"Reference architecture",'3. Enablement evidence'!$G$2:$G$400,"Yes")&gt;=1),3,IF(COUNTIFS('3. Enablement evidence'!$A$2:$A$400,$A14,'3. Enablement evidence'!$D$2:$D$400,"Generic",'3. Enablement evidence'!$G$2:$G$400,"Yes")&gt;=1,2,1))))))</f>
        <v/>
      </c>
      <c r="J14" s="20" t="inlineStr"/>
      <c r="K14" s="23" t="inlineStr">
        <is>
          <t>Candidate</t>
        </is>
      </c>
      <c r="L14" s="24" t="inlineStr"/>
      <c r="M14" s="25" t="inlineStr"/>
      <c r="N14" s="20" t="inlineStr"/>
      <c r="O14" s="14" t="inlineStr"/>
    </row>
    <row r="15" ht="26" customHeight="1">
      <c r="A15" s="26" t="inlineStr">
        <is>
          <t>REAL-205</t>
        </is>
      </c>
      <c r="B15" s="26" t="inlineStr">
        <is>
          <t>3.5</t>
        </is>
      </c>
      <c r="C15" s="23" t="inlineStr"/>
      <c r="D15" s="27" t="inlineStr">
        <is>
          <t>S1.6 Handwriting Recognition</t>
        </is>
      </c>
      <c r="E15" s="27" t="inlineStr"/>
      <c r="F15" s="20" t="inlineStr"/>
      <c r="G15" s="20" t="inlineStr"/>
      <c r="H15" s="18" t="n"/>
      <c r="I15" s="19">
        <f>IF(COUNTIFS('3. Enablement evidence'!$A$2:$A$400,$A15,'3. Enablement evidence'!$D$2:$D$400,"Generic")=0,"",IF(COUNTIFS('3. Enablement evidence'!$A$2:$A$400,$A15,'3. Enablement evidence'!$D$2:$D$400,"Generic",'3. Enablement evidence'!$G$2:$G$400,"Yes")+COUNTIFS('3. Enablement evidence'!$A$2:$A$400,$A15,'3. Enablement evidence'!$D$2:$D$400,"Generic",'3. Enablement evidence'!$G$2:$G$400,"No")+COUNTIFS('3. Enablement evidence'!$A$2:$A$400,$A15,'3. Enablement evidence'!$D$2:$D$400,"Generic",'3. Enablement evidence'!$G$2:$G$400,"Partial")=0,"no evidence",IF(COUNTIFS('3. Enablement evidence'!$A$2:$A$400,$A15,'3. Enablement evidence'!$D$2:$D$400,"Generic",'3. Enablement evidence'!$G$2:$G$400,"Yes")+COUNTIFS('3. Enablement evidence'!$A$2:$A$400,$A15,'3. Enablement evidence'!$D$2:$D$400,"Generic",'3. Enablement evidence'!$G$2:$G$400,"No")+COUNTIFS('3. Enablement evidence'!$A$2:$A$400,$A15,'3. Enablement evidence'!$D$2:$D$400,"Generic",'3. Enablement evidence'!$G$2:$G$400,"Partial")&lt;COUNTIFS('3. Enablement evidence'!$A$2:$A$400,$A15,'3. Enablement evidence'!$D$2:$D$400,"Generic"),"incomplete "&amp;COUNTIFS('3. Enablement evidence'!$A$2:$A$400,$A15,'3. Enablement evidence'!$D$2:$D$400,"Generic",'3. Enablement evidence'!$G$2:$G$400,"Yes")&amp;"/"&amp;COUNTIFS('3. Enablement evidence'!$A$2:$A$400,$A15,'3. Enablement evidence'!$D$2:$D$400,"Generic"),IF(COUNTIFS('3. Enablement evidence'!$A$2:$A$400,$A15,'3. Enablement evidence'!$D$2:$D$400,"Generic",'3. Enablement evidence'!$G$2:$G$400,"Yes")&gt;=8,4,IF(AND(COUNTIFS('3. Enablement evidence'!$A$2:$A$400,$A15,'3. Enablement evidence'!$C$2:$C$400,"Published standard",'3. Enablement evidence'!$G$2:$G$400,"Yes")=1,COUNTIFS('3. Enablement evidence'!$A$2:$A$400,$A15,'3. Enablement evidence'!$C$2:$C$400,"Architecture pattern document",'3. Enablement evidence'!$G$2:$G$400,"Yes")+COUNTIFS('3. Enablement evidence'!$A$2:$A$400,$A15,'3. Enablement evidence'!$C$2:$C$400,"Reference architecture",'3. Enablement evidence'!$G$2:$G$400,"Yes")&gt;=1),3,IF(COUNTIFS('3. Enablement evidence'!$A$2:$A$400,$A15,'3. Enablement evidence'!$D$2:$D$400,"Generic",'3. Enablement evidence'!$G$2:$G$400,"Yes")&gt;=1,2,1))))))</f>
        <v/>
      </c>
      <c r="J15" s="20" t="inlineStr"/>
      <c r="K15" s="23" t="inlineStr">
        <is>
          <t>Candidate</t>
        </is>
      </c>
      <c r="L15" s="24" t="inlineStr"/>
      <c r="M15" s="25" t="inlineStr"/>
      <c r="N15" s="20" t="inlineStr"/>
      <c r="O15" s="14" t="inlineStr"/>
    </row>
    <row r="16" ht="26" customHeight="1">
      <c r="A16" s="26" t="inlineStr">
        <is>
          <t>REAL-206</t>
        </is>
      </c>
      <c r="B16" s="26" t="inlineStr">
        <is>
          <t>3.5</t>
        </is>
      </c>
      <c r="C16" s="23" t="inlineStr"/>
      <c r="D16" s="27" t="inlineStr">
        <is>
          <t>S1.7 Speech-to-Text</t>
        </is>
      </c>
      <c r="E16" s="27" t="inlineStr"/>
      <c r="F16" s="20" t="inlineStr"/>
      <c r="G16" s="20" t="inlineStr"/>
      <c r="H16" s="18" t="n"/>
      <c r="I16" s="19">
        <f>IF(COUNTIFS('3. Enablement evidence'!$A$2:$A$400,$A16,'3. Enablement evidence'!$D$2:$D$400,"Generic")=0,"",IF(COUNTIFS('3. Enablement evidence'!$A$2:$A$400,$A16,'3. Enablement evidence'!$D$2:$D$400,"Generic",'3. Enablement evidence'!$G$2:$G$400,"Yes")+COUNTIFS('3. Enablement evidence'!$A$2:$A$400,$A16,'3. Enablement evidence'!$D$2:$D$400,"Generic",'3. Enablement evidence'!$G$2:$G$400,"No")+COUNTIFS('3. Enablement evidence'!$A$2:$A$400,$A16,'3. Enablement evidence'!$D$2:$D$400,"Generic",'3. Enablement evidence'!$G$2:$G$400,"Partial")=0,"no evidence",IF(COUNTIFS('3. Enablement evidence'!$A$2:$A$400,$A16,'3. Enablement evidence'!$D$2:$D$400,"Generic",'3. Enablement evidence'!$G$2:$G$400,"Yes")+COUNTIFS('3. Enablement evidence'!$A$2:$A$400,$A16,'3. Enablement evidence'!$D$2:$D$400,"Generic",'3. Enablement evidence'!$G$2:$G$400,"No")+COUNTIFS('3. Enablement evidence'!$A$2:$A$400,$A16,'3. Enablement evidence'!$D$2:$D$400,"Generic",'3. Enablement evidence'!$G$2:$G$400,"Partial")&lt;COUNTIFS('3. Enablement evidence'!$A$2:$A$400,$A16,'3. Enablement evidence'!$D$2:$D$400,"Generic"),"incomplete "&amp;COUNTIFS('3. Enablement evidence'!$A$2:$A$400,$A16,'3. Enablement evidence'!$D$2:$D$400,"Generic",'3. Enablement evidence'!$G$2:$G$400,"Yes")&amp;"/"&amp;COUNTIFS('3. Enablement evidence'!$A$2:$A$400,$A16,'3. Enablement evidence'!$D$2:$D$400,"Generic"),IF(COUNTIFS('3. Enablement evidence'!$A$2:$A$400,$A16,'3. Enablement evidence'!$D$2:$D$400,"Generic",'3. Enablement evidence'!$G$2:$G$400,"Yes")&gt;=8,4,IF(AND(COUNTIFS('3. Enablement evidence'!$A$2:$A$400,$A16,'3. Enablement evidence'!$C$2:$C$400,"Published standard",'3. Enablement evidence'!$G$2:$G$400,"Yes")=1,COUNTIFS('3. Enablement evidence'!$A$2:$A$400,$A16,'3. Enablement evidence'!$C$2:$C$400,"Architecture pattern document",'3. Enablement evidence'!$G$2:$G$400,"Yes")+COUNTIFS('3. Enablement evidence'!$A$2:$A$400,$A16,'3. Enablement evidence'!$C$2:$C$400,"Reference architecture",'3. Enablement evidence'!$G$2:$G$400,"Yes")&gt;=1),3,IF(COUNTIFS('3. Enablement evidence'!$A$2:$A$400,$A16,'3. Enablement evidence'!$D$2:$D$400,"Generic",'3. Enablement evidence'!$G$2:$G$400,"Yes")&gt;=1,2,1))))))</f>
        <v/>
      </c>
      <c r="J16" s="20" t="inlineStr"/>
      <c r="K16" s="23" t="inlineStr">
        <is>
          <t>Candidate</t>
        </is>
      </c>
      <c r="L16" s="24" t="inlineStr"/>
      <c r="M16" s="25" t="inlineStr"/>
      <c r="N16" s="20" t="inlineStr"/>
      <c r="O16" s="14" t="inlineStr"/>
    </row>
    <row r="17" ht="26" customHeight="1">
      <c r="A17" s="26" t="inlineStr">
        <is>
          <t>REAL-207</t>
        </is>
      </c>
      <c r="B17" s="26" t="inlineStr"/>
      <c r="C17" s="23" t="inlineStr"/>
      <c r="D17" s="27" t="inlineStr">
        <is>
          <t>S1.8 Speaker Diarization &amp; Recognition</t>
        </is>
      </c>
      <c r="E17" s="27" t="inlineStr"/>
      <c r="F17" s="20" t="inlineStr"/>
      <c r="G17" s="20" t="inlineStr"/>
      <c r="H17" s="18" t="n"/>
      <c r="I17" s="19">
        <f>IF(COUNTIFS('3. Enablement evidence'!$A$2:$A$400,$A17,'3. Enablement evidence'!$D$2:$D$400,"Generic")=0,"",IF(COUNTIFS('3. Enablement evidence'!$A$2:$A$400,$A17,'3. Enablement evidence'!$D$2:$D$400,"Generic",'3. Enablement evidence'!$G$2:$G$400,"Yes")+COUNTIFS('3. Enablement evidence'!$A$2:$A$400,$A17,'3. Enablement evidence'!$D$2:$D$400,"Generic",'3. Enablement evidence'!$G$2:$G$400,"No")+COUNTIFS('3. Enablement evidence'!$A$2:$A$400,$A17,'3. Enablement evidence'!$D$2:$D$400,"Generic",'3. Enablement evidence'!$G$2:$G$400,"Partial")=0,"no evidence",IF(COUNTIFS('3. Enablement evidence'!$A$2:$A$400,$A17,'3. Enablement evidence'!$D$2:$D$400,"Generic",'3. Enablement evidence'!$G$2:$G$400,"Yes")+COUNTIFS('3. Enablement evidence'!$A$2:$A$400,$A17,'3. Enablement evidence'!$D$2:$D$400,"Generic",'3. Enablement evidence'!$G$2:$G$400,"No")+COUNTIFS('3. Enablement evidence'!$A$2:$A$400,$A17,'3. Enablement evidence'!$D$2:$D$400,"Generic",'3. Enablement evidence'!$G$2:$G$400,"Partial")&lt;COUNTIFS('3. Enablement evidence'!$A$2:$A$400,$A17,'3. Enablement evidence'!$D$2:$D$400,"Generic"),"incomplete "&amp;COUNTIFS('3. Enablement evidence'!$A$2:$A$400,$A17,'3. Enablement evidence'!$D$2:$D$400,"Generic",'3. Enablement evidence'!$G$2:$G$400,"Yes")&amp;"/"&amp;COUNTIFS('3. Enablement evidence'!$A$2:$A$400,$A17,'3. Enablement evidence'!$D$2:$D$400,"Generic"),IF(COUNTIFS('3. Enablement evidence'!$A$2:$A$400,$A17,'3. Enablement evidence'!$D$2:$D$400,"Generic",'3. Enablement evidence'!$G$2:$G$400,"Yes")&gt;=8,4,IF(AND(COUNTIFS('3. Enablement evidence'!$A$2:$A$400,$A17,'3. Enablement evidence'!$C$2:$C$400,"Published standard",'3. Enablement evidence'!$G$2:$G$400,"Yes")=1,COUNTIFS('3. Enablement evidence'!$A$2:$A$400,$A17,'3. Enablement evidence'!$C$2:$C$400,"Architecture pattern document",'3. Enablement evidence'!$G$2:$G$400,"Yes")+COUNTIFS('3. Enablement evidence'!$A$2:$A$400,$A17,'3. Enablement evidence'!$C$2:$C$400,"Reference architecture",'3. Enablement evidence'!$G$2:$G$400,"Yes")&gt;=1),3,IF(COUNTIFS('3. Enablement evidence'!$A$2:$A$400,$A17,'3. Enablement evidence'!$D$2:$D$400,"Generic",'3. Enablement evidence'!$G$2:$G$400,"Yes")&gt;=1,2,1))))))</f>
        <v/>
      </c>
      <c r="J17" s="20" t="inlineStr"/>
      <c r="K17" s="23" t="inlineStr">
        <is>
          <t>Candidate</t>
        </is>
      </c>
      <c r="L17" s="24" t="inlineStr"/>
      <c r="M17" s="25" t="inlineStr"/>
      <c r="N17" s="20" t="inlineStr"/>
      <c r="O17" s="14" t="inlineStr"/>
    </row>
    <row r="18" ht="26" customHeight="1">
      <c r="A18" s="26" t="inlineStr">
        <is>
          <t>REAL-208</t>
        </is>
      </c>
      <c r="B18" s="26" t="inlineStr"/>
      <c r="C18" s="23" t="inlineStr"/>
      <c r="D18" s="27" t="inlineStr">
        <is>
          <t>S1.9 Audio Classification</t>
        </is>
      </c>
      <c r="E18" s="27" t="inlineStr"/>
      <c r="F18" s="20" t="inlineStr"/>
      <c r="G18" s="20" t="inlineStr"/>
      <c r="H18" s="18" t="n"/>
      <c r="I18" s="19">
        <f>IF(COUNTIFS('3. Enablement evidence'!$A$2:$A$400,$A18,'3. Enablement evidence'!$D$2:$D$400,"Generic")=0,"",IF(COUNTIFS('3. Enablement evidence'!$A$2:$A$400,$A18,'3. Enablement evidence'!$D$2:$D$400,"Generic",'3. Enablement evidence'!$G$2:$G$400,"Yes")+COUNTIFS('3. Enablement evidence'!$A$2:$A$400,$A18,'3. Enablement evidence'!$D$2:$D$400,"Generic",'3. Enablement evidence'!$G$2:$G$400,"No")+COUNTIFS('3. Enablement evidence'!$A$2:$A$400,$A18,'3. Enablement evidence'!$D$2:$D$400,"Generic",'3. Enablement evidence'!$G$2:$G$400,"Partial")=0,"no evidence",IF(COUNTIFS('3. Enablement evidence'!$A$2:$A$400,$A18,'3. Enablement evidence'!$D$2:$D$400,"Generic",'3. Enablement evidence'!$G$2:$G$400,"Yes")+COUNTIFS('3. Enablement evidence'!$A$2:$A$400,$A18,'3. Enablement evidence'!$D$2:$D$400,"Generic",'3. Enablement evidence'!$G$2:$G$400,"No")+COUNTIFS('3. Enablement evidence'!$A$2:$A$400,$A18,'3. Enablement evidence'!$D$2:$D$400,"Generic",'3. Enablement evidence'!$G$2:$G$400,"Partial")&lt;COUNTIFS('3. Enablement evidence'!$A$2:$A$400,$A18,'3. Enablement evidence'!$D$2:$D$400,"Generic"),"incomplete "&amp;COUNTIFS('3. Enablement evidence'!$A$2:$A$400,$A18,'3. Enablement evidence'!$D$2:$D$400,"Generic",'3. Enablement evidence'!$G$2:$G$400,"Yes")&amp;"/"&amp;COUNTIFS('3. Enablement evidence'!$A$2:$A$400,$A18,'3. Enablement evidence'!$D$2:$D$400,"Generic"),IF(COUNTIFS('3. Enablement evidence'!$A$2:$A$400,$A18,'3. Enablement evidence'!$D$2:$D$400,"Generic",'3. Enablement evidence'!$G$2:$G$400,"Yes")&gt;=8,4,IF(AND(COUNTIFS('3. Enablement evidence'!$A$2:$A$400,$A18,'3. Enablement evidence'!$C$2:$C$400,"Published standard",'3. Enablement evidence'!$G$2:$G$400,"Yes")=1,COUNTIFS('3. Enablement evidence'!$A$2:$A$400,$A18,'3. Enablement evidence'!$C$2:$C$400,"Architecture pattern document",'3. Enablement evidence'!$G$2:$G$400,"Yes")+COUNTIFS('3. Enablement evidence'!$A$2:$A$400,$A18,'3. Enablement evidence'!$C$2:$C$400,"Reference architecture",'3. Enablement evidence'!$G$2:$G$400,"Yes")&gt;=1),3,IF(COUNTIFS('3. Enablement evidence'!$A$2:$A$400,$A18,'3. Enablement evidence'!$D$2:$D$400,"Generic",'3. Enablement evidence'!$G$2:$G$400,"Yes")&gt;=1,2,1))))))</f>
        <v/>
      </c>
      <c r="J18" s="20" t="inlineStr"/>
      <c r="K18" s="23" t="inlineStr">
        <is>
          <t>Candidate</t>
        </is>
      </c>
      <c r="L18" s="24" t="inlineStr"/>
      <c r="M18" s="25" t="inlineStr"/>
      <c r="N18" s="20" t="inlineStr"/>
      <c r="O18" s="14" t="inlineStr"/>
    </row>
    <row r="19" ht="26" customHeight="1">
      <c r="A19" s="26" t="inlineStr">
        <is>
          <t>REAL-209</t>
        </is>
      </c>
      <c r="B19" s="26" t="inlineStr"/>
      <c r="C19" s="23" t="inlineStr"/>
      <c r="D19" s="27" t="inlineStr">
        <is>
          <t>S1.10 Image Classification &amp; Tagging</t>
        </is>
      </c>
      <c r="E19" s="27" t="inlineStr"/>
      <c r="F19" s="20" t="inlineStr"/>
      <c r="G19" s="20" t="inlineStr"/>
      <c r="H19" s="18" t="n"/>
      <c r="I19" s="19">
        <f>IF(COUNTIFS('3. Enablement evidence'!$A$2:$A$400,$A19,'3. Enablement evidence'!$D$2:$D$400,"Generic")=0,"",IF(COUNTIFS('3. Enablement evidence'!$A$2:$A$400,$A19,'3. Enablement evidence'!$D$2:$D$400,"Generic",'3. Enablement evidence'!$G$2:$G$400,"Yes")+COUNTIFS('3. Enablement evidence'!$A$2:$A$400,$A19,'3. Enablement evidence'!$D$2:$D$400,"Generic",'3. Enablement evidence'!$G$2:$G$400,"No")+COUNTIFS('3. Enablement evidence'!$A$2:$A$400,$A19,'3. Enablement evidence'!$D$2:$D$400,"Generic",'3. Enablement evidence'!$G$2:$G$400,"Partial")=0,"no evidence",IF(COUNTIFS('3. Enablement evidence'!$A$2:$A$400,$A19,'3. Enablement evidence'!$D$2:$D$400,"Generic",'3. Enablement evidence'!$G$2:$G$400,"Yes")+COUNTIFS('3. Enablement evidence'!$A$2:$A$400,$A19,'3. Enablement evidence'!$D$2:$D$400,"Generic",'3. Enablement evidence'!$G$2:$G$400,"No")+COUNTIFS('3. Enablement evidence'!$A$2:$A$400,$A19,'3. Enablement evidence'!$D$2:$D$400,"Generic",'3. Enablement evidence'!$G$2:$G$400,"Partial")&lt;COUNTIFS('3. Enablement evidence'!$A$2:$A$400,$A19,'3. Enablement evidence'!$D$2:$D$400,"Generic"),"incomplete "&amp;COUNTIFS('3. Enablement evidence'!$A$2:$A$400,$A19,'3. Enablement evidence'!$D$2:$D$400,"Generic",'3. Enablement evidence'!$G$2:$G$400,"Yes")&amp;"/"&amp;COUNTIFS('3. Enablement evidence'!$A$2:$A$400,$A19,'3. Enablement evidence'!$D$2:$D$400,"Generic"),IF(COUNTIFS('3. Enablement evidence'!$A$2:$A$400,$A19,'3. Enablement evidence'!$D$2:$D$400,"Generic",'3. Enablement evidence'!$G$2:$G$400,"Yes")&gt;=8,4,IF(AND(COUNTIFS('3. Enablement evidence'!$A$2:$A$400,$A19,'3. Enablement evidence'!$C$2:$C$400,"Published standard",'3. Enablement evidence'!$G$2:$G$400,"Yes")=1,COUNTIFS('3. Enablement evidence'!$A$2:$A$400,$A19,'3. Enablement evidence'!$C$2:$C$400,"Architecture pattern document",'3. Enablement evidence'!$G$2:$G$400,"Yes")+COUNTIFS('3. Enablement evidence'!$A$2:$A$400,$A19,'3. Enablement evidence'!$C$2:$C$400,"Reference architecture",'3. Enablement evidence'!$G$2:$G$400,"Yes")&gt;=1),3,IF(COUNTIFS('3. Enablement evidence'!$A$2:$A$400,$A19,'3. Enablement evidence'!$D$2:$D$400,"Generic",'3. Enablement evidence'!$G$2:$G$400,"Yes")&gt;=1,2,1))))))</f>
        <v/>
      </c>
      <c r="J19" s="20" t="inlineStr"/>
      <c r="K19" s="23" t="inlineStr">
        <is>
          <t>Candidate</t>
        </is>
      </c>
      <c r="L19" s="24" t="inlineStr"/>
      <c r="M19" s="25" t="inlineStr"/>
      <c r="N19" s="20" t="inlineStr"/>
      <c r="O19" s="14" t="inlineStr"/>
    </row>
    <row r="20" ht="26" customHeight="1">
      <c r="A20" s="26" t="inlineStr">
        <is>
          <t>REAL-210</t>
        </is>
      </c>
      <c r="B20" s="26" t="inlineStr"/>
      <c r="C20" s="23" t="inlineStr"/>
      <c r="D20" s="27" t="inlineStr">
        <is>
          <t>S1.11 Object Detection &amp; Segmentation</t>
        </is>
      </c>
      <c r="E20" s="27" t="inlineStr"/>
      <c r="F20" s="20" t="inlineStr"/>
      <c r="G20" s="20" t="inlineStr"/>
      <c r="H20" s="18" t="n"/>
      <c r="I20" s="19">
        <f>IF(COUNTIFS('3. Enablement evidence'!$A$2:$A$400,$A20,'3. Enablement evidence'!$D$2:$D$400,"Generic")=0,"",IF(COUNTIFS('3. Enablement evidence'!$A$2:$A$400,$A20,'3. Enablement evidence'!$D$2:$D$400,"Generic",'3. Enablement evidence'!$G$2:$G$400,"Yes")+COUNTIFS('3. Enablement evidence'!$A$2:$A$400,$A20,'3. Enablement evidence'!$D$2:$D$400,"Generic",'3. Enablement evidence'!$G$2:$G$400,"No")+COUNTIFS('3. Enablement evidence'!$A$2:$A$400,$A20,'3. Enablement evidence'!$D$2:$D$400,"Generic",'3. Enablement evidence'!$G$2:$G$400,"Partial")=0,"no evidence",IF(COUNTIFS('3. Enablement evidence'!$A$2:$A$400,$A20,'3. Enablement evidence'!$D$2:$D$400,"Generic",'3. Enablement evidence'!$G$2:$G$400,"Yes")+COUNTIFS('3. Enablement evidence'!$A$2:$A$400,$A20,'3. Enablement evidence'!$D$2:$D$400,"Generic",'3. Enablement evidence'!$G$2:$G$400,"No")+COUNTIFS('3. Enablement evidence'!$A$2:$A$400,$A20,'3. Enablement evidence'!$D$2:$D$400,"Generic",'3. Enablement evidence'!$G$2:$G$400,"Partial")&lt;COUNTIFS('3. Enablement evidence'!$A$2:$A$400,$A20,'3. Enablement evidence'!$D$2:$D$400,"Generic"),"incomplete "&amp;COUNTIFS('3. Enablement evidence'!$A$2:$A$400,$A20,'3. Enablement evidence'!$D$2:$D$400,"Generic",'3. Enablement evidence'!$G$2:$G$400,"Yes")&amp;"/"&amp;COUNTIFS('3. Enablement evidence'!$A$2:$A$400,$A20,'3. Enablement evidence'!$D$2:$D$400,"Generic"),IF(COUNTIFS('3. Enablement evidence'!$A$2:$A$400,$A20,'3. Enablement evidence'!$D$2:$D$400,"Generic",'3. Enablement evidence'!$G$2:$G$400,"Yes")&gt;=8,4,IF(AND(COUNTIFS('3. Enablement evidence'!$A$2:$A$400,$A20,'3. Enablement evidence'!$C$2:$C$400,"Published standard",'3. Enablement evidence'!$G$2:$G$400,"Yes")=1,COUNTIFS('3. Enablement evidence'!$A$2:$A$400,$A20,'3. Enablement evidence'!$C$2:$C$400,"Architecture pattern document",'3. Enablement evidence'!$G$2:$G$400,"Yes")+COUNTIFS('3. Enablement evidence'!$A$2:$A$400,$A20,'3. Enablement evidence'!$C$2:$C$400,"Reference architecture",'3. Enablement evidence'!$G$2:$G$400,"Yes")&gt;=1),3,IF(COUNTIFS('3. Enablement evidence'!$A$2:$A$400,$A20,'3. Enablement evidence'!$D$2:$D$400,"Generic",'3. Enablement evidence'!$G$2:$G$400,"Yes")&gt;=1,2,1))))))</f>
        <v/>
      </c>
      <c r="J20" s="20" t="inlineStr"/>
      <c r="K20" s="23" t="inlineStr">
        <is>
          <t>Candidate</t>
        </is>
      </c>
      <c r="L20" s="24" t="inlineStr"/>
      <c r="M20" s="25" t="inlineStr"/>
      <c r="N20" s="20" t="inlineStr"/>
      <c r="O20" s="14" t="inlineStr"/>
    </row>
    <row r="21" ht="26" customHeight="1">
      <c r="A21" s="26" t="inlineStr">
        <is>
          <t>REAL-211</t>
        </is>
      </c>
      <c r="B21" s="26" t="inlineStr"/>
      <c r="C21" s="23" t="inlineStr"/>
      <c r="D21" s="27" t="inlineStr">
        <is>
          <t>S1.12 Face Detection &amp; Recognition</t>
        </is>
      </c>
      <c r="E21" s="27" t="inlineStr"/>
      <c r="F21" s="20" t="inlineStr"/>
      <c r="G21" s="20" t="inlineStr"/>
      <c r="H21" s="18" t="n"/>
      <c r="I21" s="19">
        <f>IF(COUNTIFS('3. Enablement evidence'!$A$2:$A$400,$A21,'3. Enablement evidence'!$D$2:$D$400,"Generic")=0,"",IF(COUNTIFS('3. Enablement evidence'!$A$2:$A$400,$A21,'3. Enablement evidence'!$D$2:$D$400,"Generic",'3. Enablement evidence'!$G$2:$G$400,"Yes")+COUNTIFS('3. Enablement evidence'!$A$2:$A$400,$A21,'3. Enablement evidence'!$D$2:$D$400,"Generic",'3. Enablement evidence'!$G$2:$G$400,"No")+COUNTIFS('3. Enablement evidence'!$A$2:$A$400,$A21,'3. Enablement evidence'!$D$2:$D$400,"Generic",'3. Enablement evidence'!$G$2:$G$400,"Partial")=0,"no evidence",IF(COUNTIFS('3. Enablement evidence'!$A$2:$A$400,$A21,'3. Enablement evidence'!$D$2:$D$400,"Generic",'3. Enablement evidence'!$G$2:$G$400,"Yes")+COUNTIFS('3. Enablement evidence'!$A$2:$A$400,$A21,'3. Enablement evidence'!$D$2:$D$400,"Generic",'3. Enablement evidence'!$G$2:$G$400,"No")+COUNTIFS('3. Enablement evidence'!$A$2:$A$400,$A21,'3. Enablement evidence'!$D$2:$D$400,"Generic",'3. Enablement evidence'!$G$2:$G$400,"Partial")&lt;COUNTIFS('3. Enablement evidence'!$A$2:$A$400,$A21,'3. Enablement evidence'!$D$2:$D$400,"Generic"),"incomplete "&amp;COUNTIFS('3. Enablement evidence'!$A$2:$A$400,$A21,'3. Enablement evidence'!$D$2:$D$400,"Generic",'3. Enablement evidence'!$G$2:$G$400,"Yes")&amp;"/"&amp;COUNTIFS('3. Enablement evidence'!$A$2:$A$400,$A21,'3. Enablement evidence'!$D$2:$D$400,"Generic"),IF(COUNTIFS('3. Enablement evidence'!$A$2:$A$400,$A21,'3. Enablement evidence'!$D$2:$D$400,"Generic",'3. Enablement evidence'!$G$2:$G$400,"Yes")&gt;=8,4,IF(AND(COUNTIFS('3. Enablement evidence'!$A$2:$A$400,$A21,'3. Enablement evidence'!$C$2:$C$400,"Published standard",'3. Enablement evidence'!$G$2:$G$400,"Yes")=1,COUNTIFS('3. Enablement evidence'!$A$2:$A$400,$A21,'3. Enablement evidence'!$C$2:$C$400,"Architecture pattern document",'3. Enablement evidence'!$G$2:$G$400,"Yes")+COUNTIFS('3. Enablement evidence'!$A$2:$A$400,$A21,'3. Enablement evidence'!$C$2:$C$400,"Reference architecture",'3. Enablement evidence'!$G$2:$G$400,"Yes")&gt;=1),3,IF(COUNTIFS('3. Enablement evidence'!$A$2:$A$400,$A21,'3. Enablement evidence'!$D$2:$D$400,"Generic",'3. Enablement evidence'!$G$2:$G$400,"Yes")&gt;=1,2,1))))))</f>
        <v/>
      </c>
      <c r="J21" s="20" t="inlineStr"/>
      <c r="K21" s="23" t="inlineStr">
        <is>
          <t>Candidate</t>
        </is>
      </c>
      <c r="L21" s="24" t="inlineStr"/>
      <c r="M21" s="25" t="inlineStr"/>
      <c r="N21" s="20" t="inlineStr"/>
      <c r="O21" s="14" t="inlineStr"/>
    </row>
    <row r="22" ht="26" customHeight="1">
      <c r="A22" s="26" t="inlineStr">
        <is>
          <t>REAL-212</t>
        </is>
      </c>
      <c r="B22" s="26" t="inlineStr">
        <is>
          <t>3.5</t>
        </is>
      </c>
      <c r="C22" s="23" t="inlineStr"/>
      <c r="D22" s="27" t="inlineStr">
        <is>
          <t>S1.13 Video Analysis &amp; Indexing</t>
        </is>
      </c>
      <c r="E22" s="27" t="inlineStr"/>
      <c r="F22" s="20" t="inlineStr"/>
      <c r="G22" s="20" t="inlineStr"/>
      <c r="H22" s="18" t="n"/>
      <c r="I22" s="19">
        <f>IF(COUNTIFS('3. Enablement evidence'!$A$2:$A$400,$A22,'3. Enablement evidence'!$D$2:$D$400,"Generic")=0,"",IF(COUNTIFS('3. Enablement evidence'!$A$2:$A$400,$A22,'3. Enablement evidence'!$D$2:$D$400,"Generic",'3. Enablement evidence'!$G$2:$G$400,"Yes")+COUNTIFS('3. Enablement evidence'!$A$2:$A$400,$A22,'3. Enablement evidence'!$D$2:$D$400,"Generic",'3. Enablement evidence'!$G$2:$G$400,"No")+COUNTIFS('3. Enablement evidence'!$A$2:$A$400,$A22,'3. Enablement evidence'!$D$2:$D$400,"Generic",'3. Enablement evidence'!$G$2:$G$400,"Partial")=0,"no evidence",IF(COUNTIFS('3. Enablement evidence'!$A$2:$A$400,$A22,'3. Enablement evidence'!$D$2:$D$400,"Generic",'3. Enablement evidence'!$G$2:$G$400,"Yes")+COUNTIFS('3. Enablement evidence'!$A$2:$A$400,$A22,'3. Enablement evidence'!$D$2:$D$400,"Generic",'3. Enablement evidence'!$G$2:$G$400,"No")+COUNTIFS('3. Enablement evidence'!$A$2:$A$400,$A22,'3. Enablement evidence'!$D$2:$D$400,"Generic",'3. Enablement evidence'!$G$2:$G$400,"Partial")&lt;COUNTIFS('3. Enablement evidence'!$A$2:$A$400,$A22,'3. Enablement evidence'!$D$2:$D$400,"Generic"),"incomplete "&amp;COUNTIFS('3. Enablement evidence'!$A$2:$A$400,$A22,'3. Enablement evidence'!$D$2:$D$400,"Generic",'3. Enablement evidence'!$G$2:$G$400,"Yes")&amp;"/"&amp;COUNTIFS('3. Enablement evidence'!$A$2:$A$400,$A22,'3. Enablement evidence'!$D$2:$D$400,"Generic"),IF(COUNTIFS('3. Enablement evidence'!$A$2:$A$400,$A22,'3. Enablement evidence'!$D$2:$D$400,"Generic",'3. Enablement evidence'!$G$2:$G$400,"Yes")&gt;=8,4,IF(AND(COUNTIFS('3. Enablement evidence'!$A$2:$A$400,$A22,'3. Enablement evidence'!$C$2:$C$400,"Published standard",'3. Enablement evidence'!$G$2:$G$400,"Yes")=1,COUNTIFS('3. Enablement evidence'!$A$2:$A$400,$A22,'3. Enablement evidence'!$C$2:$C$400,"Architecture pattern document",'3. Enablement evidence'!$G$2:$G$400,"Yes")+COUNTIFS('3. Enablement evidence'!$A$2:$A$400,$A22,'3. Enablement evidence'!$C$2:$C$400,"Reference architecture",'3. Enablement evidence'!$G$2:$G$400,"Yes")&gt;=1),3,IF(COUNTIFS('3. Enablement evidence'!$A$2:$A$400,$A22,'3. Enablement evidence'!$D$2:$D$400,"Generic",'3. Enablement evidence'!$G$2:$G$400,"Yes")&gt;=1,2,1))))))</f>
        <v/>
      </c>
      <c r="J22" s="20" t="inlineStr"/>
      <c r="K22" s="23" t="inlineStr">
        <is>
          <t>Candidate</t>
        </is>
      </c>
      <c r="L22" s="24" t="inlineStr"/>
      <c r="M22" s="25" t="inlineStr"/>
      <c r="N22" s="20" t="inlineStr"/>
      <c r="O22" s="14" t="inlineStr"/>
    </row>
    <row r="23" ht="26" customHeight="1">
      <c r="A23" s="26" t="inlineStr">
        <is>
          <t>REAL-213</t>
        </is>
      </c>
      <c r="B23" s="26" t="inlineStr">
        <is>
          <t>3.5</t>
        </is>
      </c>
      <c r="C23" s="23" t="inlineStr"/>
      <c r="D23" s="27" t="inlineStr">
        <is>
          <t>S1.14 Named Entity Recognition</t>
        </is>
      </c>
      <c r="E23" s="27" t="inlineStr"/>
      <c r="F23" s="20" t="inlineStr"/>
      <c r="G23" s="20" t="inlineStr"/>
      <c r="H23" s="18" t="n"/>
      <c r="I23" s="19">
        <f>IF(COUNTIFS('3. Enablement evidence'!$A$2:$A$400,$A23,'3. Enablement evidence'!$D$2:$D$400,"Generic")=0,"",IF(COUNTIFS('3. Enablement evidence'!$A$2:$A$400,$A23,'3. Enablement evidence'!$D$2:$D$400,"Generic",'3. Enablement evidence'!$G$2:$G$400,"Yes")+COUNTIFS('3. Enablement evidence'!$A$2:$A$400,$A23,'3. Enablement evidence'!$D$2:$D$400,"Generic",'3. Enablement evidence'!$G$2:$G$400,"No")+COUNTIFS('3. Enablement evidence'!$A$2:$A$400,$A23,'3. Enablement evidence'!$D$2:$D$400,"Generic",'3. Enablement evidence'!$G$2:$G$400,"Partial")=0,"no evidence",IF(COUNTIFS('3. Enablement evidence'!$A$2:$A$400,$A23,'3. Enablement evidence'!$D$2:$D$400,"Generic",'3. Enablement evidence'!$G$2:$G$400,"Yes")+COUNTIFS('3. Enablement evidence'!$A$2:$A$400,$A23,'3. Enablement evidence'!$D$2:$D$400,"Generic",'3. Enablement evidence'!$G$2:$G$400,"No")+COUNTIFS('3. Enablement evidence'!$A$2:$A$400,$A23,'3. Enablement evidence'!$D$2:$D$400,"Generic",'3. Enablement evidence'!$G$2:$G$400,"Partial")&lt;COUNTIFS('3. Enablement evidence'!$A$2:$A$400,$A23,'3. Enablement evidence'!$D$2:$D$400,"Generic"),"incomplete "&amp;COUNTIFS('3. Enablement evidence'!$A$2:$A$400,$A23,'3. Enablement evidence'!$D$2:$D$400,"Generic",'3. Enablement evidence'!$G$2:$G$400,"Yes")&amp;"/"&amp;COUNTIFS('3. Enablement evidence'!$A$2:$A$400,$A23,'3. Enablement evidence'!$D$2:$D$400,"Generic"),IF(COUNTIFS('3. Enablement evidence'!$A$2:$A$400,$A23,'3. Enablement evidence'!$D$2:$D$400,"Generic",'3. Enablement evidence'!$G$2:$G$400,"Yes")&gt;=8,4,IF(AND(COUNTIFS('3. Enablement evidence'!$A$2:$A$400,$A23,'3. Enablement evidence'!$C$2:$C$400,"Published standard",'3. Enablement evidence'!$G$2:$G$400,"Yes")=1,COUNTIFS('3. Enablement evidence'!$A$2:$A$400,$A23,'3. Enablement evidence'!$C$2:$C$400,"Architecture pattern document",'3. Enablement evidence'!$G$2:$G$400,"Yes")+COUNTIFS('3. Enablement evidence'!$A$2:$A$400,$A23,'3. Enablement evidence'!$C$2:$C$400,"Reference architecture",'3. Enablement evidence'!$G$2:$G$400,"Yes")&gt;=1),3,IF(COUNTIFS('3. Enablement evidence'!$A$2:$A$400,$A23,'3. Enablement evidence'!$D$2:$D$400,"Generic",'3. Enablement evidence'!$G$2:$G$400,"Yes")&gt;=1,2,1))))))</f>
        <v/>
      </c>
      <c r="J23" s="20" t="inlineStr"/>
      <c r="K23" s="23" t="inlineStr">
        <is>
          <t>Candidate</t>
        </is>
      </c>
      <c r="L23" s="24" t="inlineStr"/>
      <c r="M23" s="25" t="inlineStr"/>
      <c r="N23" s="20" t="inlineStr"/>
      <c r="O23" s="14" t="inlineStr"/>
    </row>
    <row r="24" ht="26" customHeight="1">
      <c r="A24" s="26" t="inlineStr">
        <is>
          <t>REAL-214</t>
        </is>
      </c>
      <c r="B24" s="26" t="inlineStr"/>
      <c r="C24" s="23" t="inlineStr"/>
      <c r="D24" s="27" t="inlineStr">
        <is>
          <t>S1.15 Text Classification &amp; Sentiment</t>
        </is>
      </c>
      <c r="E24" s="27" t="inlineStr"/>
      <c r="F24" s="20" t="inlineStr"/>
      <c r="G24" s="20" t="inlineStr"/>
      <c r="H24" s="18" t="n"/>
      <c r="I24" s="19">
        <f>IF(COUNTIFS('3. Enablement evidence'!$A$2:$A$400,$A24,'3. Enablement evidence'!$D$2:$D$400,"Generic")=0,"",IF(COUNTIFS('3. Enablement evidence'!$A$2:$A$400,$A24,'3. Enablement evidence'!$D$2:$D$400,"Generic",'3. Enablement evidence'!$G$2:$G$400,"Yes")+COUNTIFS('3. Enablement evidence'!$A$2:$A$400,$A24,'3. Enablement evidence'!$D$2:$D$400,"Generic",'3. Enablement evidence'!$G$2:$G$400,"No")+COUNTIFS('3. Enablement evidence'!$A$2:$A$400,$A24,'3. Enablement evidence'!$D$2:$D$400,"Generic",'3. Enablement evidence'!$G$2:$G$400,"Partial")=0,"no evidence",IF(COUNTIFS('3. Enablement evidence'!$A$2:$A$400,$A24,'3. Enablement evidence'!$D$2:$D$400,"Generic",'3. Enablement evidence'!$G$2:$G$400,"Yes")+COUNTIFS('3. Enablement evidence'!$A$2:$A$400,$A24,'3. Enablement evidence'!$D$2:$D$400,"Generic",'3. Enablement evidence'!$G$2:$G$400,"No")+COUNTIFS('3. Enablement evidence'!$A$2:$A$400,$A24,'3. Enablement evidence'!$D$2:$D$400,"Generic",'3. Enablement evidence'!$G$2:$G$400,"Partial")&lt;COUNTIFS('3. Enablement evidence'!$A$2:$A$400,$A24,'3. Enablement evidence'!$D$2:$D$400,"Generic"),"incomplete "&amp;COUNTIFS('3. Enablement evidence'!$A$2:$A$400,$A24,'3. Enablement evidence'!$D$2:$D$400,"Generic",'3. Enablement evidence'!$G$2:$G$400,"Yes")&amp;"/"&amp;COUNTIFS('3. Enablement evidence'!$A$2:$A$400,$A24,'3. Enablement evidence'!$D$2:$D$400,"Generic"),IF(COUNTIFS('3. Enablement evidence'!$A$2:$A$400,$A24,'3. Enablement evidence'!$D$2:$D$400,"Generic",'3. Enablement evidence'!$G$2:$G$400,"Yes")&gt;=8,4,IF(AND(COUNTIFS('3. Enablement evidence'!$A$2:$A$400,$A24,'3. Enablement evidence'!$C$2:$C$400,"Published standard",'3. Enablement evidence'!$G$2:$G$400,"Yes")=1,COUNTIFS('3. Enablement evidence'!$A$2:$A$400,$A24,'3. Enablement evidence'!$C$2:$C$400,"Architecture pattern document",'3. Enablement evidence'!$G$2:$G$400,"Yes")+COUNTIFS('3. Enablement evidence'!$A$2:$A$400,$A24,'3. Enablement evidence'!$C$2:$C$400,"Reference architecture",'3. Enablement evidence'!$G$2:$G$400,"Yes")&gt;=1),3,IF(COUNTIFS('3. Enablement evidence'!$A$2:$A$400,$A24,'3. Enablement evidence'!$D$2:$D$400,"Generic",'3. Enablement evidence'!$G$2:$G$400,"Yes")&gt;=1,2,1))))))</f>
        <v/>
      </c>
      <c r="J24" s="20" t="inlineStr"/>
      <c r="K24" s="23" t="inlineStr">
        <is>
          <t>Candidate</t>
        </is>
      </c>
      <c r="L24" s="24" t="inlineStr"/>
      <c r="M24" s="25" t="inlineStr"/>
      <c r="N24" s="20" t="inlineStr"/>
      <c r="O24" s="14" t="inlineStr"/>
    </row>
    <row r="25" ht="26" customHeight="1">
      <c r="A25" s="26" t="inlineStr">
        <is>
          <t>REAL-215</t>
        </is>
      </c>
      <c r="B25" s="26" t="inlineStr">
        <is>
          <t>3.1</t>
        </is>
      </c>
      <c r="C25" s="23" t="inlineStr">
        <is>
          <t>7.5</t>
        </is>
      </c>
      <c r="D25" s="27" t="inlineStr">
        <is>
          <t>S1.16 Sensitive Data Detection</t>
        </is>
      </c>
      <c r="E25" s="27" t="inlineStr"/>
      <c r="F25" s="20" t="inlineStr"/>
      <c r="G25" s="20" t="inlineStr"/>
      <c r="H25" s="18" t="n"/>
      <c r="I25" s="19">
        <f>IF(COUNTIFS('3. Enablement evidence'!$A$2:$A$400,$A25,'3. Enablement evidence'!$D$2:$D$400,"Generic")=0,"",IF(COUNTIFS('3. Enablement evidence'!$A$2:$A$400,$A25,'3. Enablement evidence'!$D$2:$D$400,"Generic",'3. Enablement evidence'!$G$2:$G$400,"Yes")+COUNTIFS('3. Enablement evidence'!$A$2:$A$400,$A25,'3. Enablement evidence'!$D$2:$D$400,"Generic",'3. Enablement evidence'!$G$2:$G$400,"No")+COUNTIFS('3. Enablement evidence'!$A$2:$A$400,$A25,'3. Enablement evidence'!$D$2:$D$400,"Generic",'3. Enablement evidence'!$G$2:$G$400,"Partial")=0,"no evidence",IF(COUNTIFS('3. Enablement evidence'!$A$2:$A$400,$A25,'3. Enablement evidence'!$D$2:$D$400,"Generic",'3. Enablement evidence'!$G$2:$G$400,"Yes")+COUNTIFS('3. Enablement evidence'!$A$2:$A$400,$A25,'3. Enablement evidence'!$D$2:$D$400,"Generic",'3. Enablement evidence'!$G$2:$G$400,"No")+COUNTIFS('3. Enablement evidence'!$A$2:$A$400,$A25,'3. Enablement evidence'!$D$2:$D$400,"Generic",'3. Enablement evidence'!$G$2:$G$400,"Partial")&lt;COUNTIFS('3. Enablement evidence'!$A$2:$A$400,$A25,'3. Enablement evidence'!$D$2:$D$400,"Generic"),"incomplete "&amp;COUNTIFS('3. Enablement evidence'!$A$2:$A$400,$A25,'3. Enablement evidence'!$D$2:$D$400,"Generic",'3. Enablement evidence'!$G$2:$G$400,"Yes")&amp;"/"&amp;COUNTIFS('3. Enablement evidence'!$A$2:$A$400,$A25,'3. Enablement evidence'!$D$2:$D$400,"Generic"),IF(COUNTIFS('3. Enablement evidence'!$A$2:$A$400,$A25,'3. Enablement evidence'!$D$2:$D$400,"Generic",'3. Enablement evidence'!$G$2:$G$400,"Yes")&gt;=8,4,IF(AND(COUNTIFS('3. Enablement evidence'!$A$2:$A$400,$A25,'3. Enablement evidence'!$C$2:$C$400,"Published standard",'3. Enablement evidence'!$G$2:$G$400,"Yes")=1,COUNTIFS('3. Enablement evidence'!$A$2:$A$400,$A25,'3. Enablement evidence'!$C$2:$C$400,"Architecture pattern document",'3. Enablement evidence'!$G$2:$G$400,"Yes")+COUNTIFS('3. Enablement evidence'!$A$2:$A$400,$A25,'3. Enablement evidence'!$C$2:$C$400,"Reference architecture",'3. Enablement evidence'!$G$2:$G$400,"Yes")&gt;=1),3,IF(COUNTIFS('3. Enablement evidence'!$A$2:$A$400,$A25,'3. Enablement evidence'!$D$2:$D$400,"Generic",'3. Enablement evidence'!$G$2:$G$400,"Yes")&gt;=1,2,1))))))</f>
        <v/>
      </c>
      <c r="J25" s="20" t="inlineStr"/>
      <c r="K25" s="23" t="inlineStr">
        <is>
          <t>Candidate</t>
        </is>
      </c>
      <c r="L25" s="24" t="inlineStr"/>
      <c r="M25" s="25" t="inlineStr"/>
      <c r="N25" s="20" t="inlineStr"/>
      <c r="O25" s="14" t="inlineStr"/>
    </row>
    <row r="26" ht="26" customHeight="1">
      <c r="A26" s="26" t="inlineStr">
        <is>
          <t>REAL-216</t>
        </is>
      </c>
      <c r="B26" s="26" t="inlineStr"/>
      <c r="C26" s="23" t="inlineStr"/>
      <c r="D26" s="27" t="inlineStr">
        <is>
          <t>S1.17 Language Identification</t>
        </is>
      </c>
      <c r="E26" s="27" t="inlineStr"/>
      <c r="F26" s="20" t="inlineStr"/>
      <c r="G26" s="20" t="inlineStr"/>
      <c r="H26" s="18" t="n"/>
      <c r="I26" s="19">
        <f>IF(COUNTIFS('3. Enablement evidence'!$A$2:$A$400,$A26,'3. Enablement evidence'!$D$2:$D$400,"Generic")=0,"",IF(COUNTIFS('3. Enablement evidence'!$A$2:$A$400,$A26,'3. Enablement evidence'!$D$2:$D$400,"Generic",'3. Enablement evidence'!$G$2:$G$400,"Yes")+COUNTIFS('3. Enablement evidence'!$A$2:$A$400,$A26,'3. Enablement evidence'!$D$2:$D$400,"Generic",'3. Enablement evidence'!$G$2:$G$400,"No")+COUNTIFS('3. Enablement evidence'!$A$2:$A$400,$A26,'3. Enablement evidence'!$D$2:$D$400,"Generic",'3. Enablement evidence'!$G$2:$G$400,"Partial")=0,"no evidence",IF(COUNTIFS('3. Enablement evidence'!$A$2:$A$400,$A26,'3. Enablement evidence'!$D$2:$D$400,"Generic",'3. Enablement evidence'!$G$2:$G$400,"Yes")+COUNTIFS('3. Enablement evidence'!$A$2:$A$400,$A26,'3. Enablement evidence'!$D$2:$D$400,"Generic",'3. Enablement evidence'!$G$2:$G$400,"No")+COUNTIFS('3. Enablement evidence'!$A$2:$A$400,$A26,'3. Enablement evidence'!$D$2:$D$400,"Generic",'3. Enablement evidence'!$G$2:$G$400,"Partial")&lt;COUNTIFS('3. Enablement evidence'!$A$2:$A$400,$A26,'3. Enablement evidence'!$D$2:$D$400,"Generic"),"incomplete "&amp;COUNTIFS('3. Enablement evidence'!$A$2:$A$400,$A26,'3. Enablement evidence'!$D$2:$D$400,"Generic",'3. Enablement evidence'!$G$2:$G$400,"Yes")&amp;"/"&amp;COUNTIFS('3. Enablement evidence'!$A$2:$A$400,$A26,'3. Enablement evidence'!$D$2:$D$400,"Generic"),IF(COUNTIFS('3. Enablement evidence'!$A$2:$A$400,$A26,'3. Enablement evidence'!$D$2:$D$400,"Generic",'3. Enablement evidence'!$G$2:$G$400,"Yes")&gt;=8,4,IF(AND(COUNTIFS('3. Enablement evidence'!$A$2:$A$400,$A26,'3. Enablement evidence'!$C$2:$C$400,"Published standard",'3. Enablement evidence'!$G$2:$G$400,"Yes")=1,COUNTIFS('3. Enablement evidence'!$A$2:$A$400,$A26,'3. Enablement evidence'!$C$2:$C$400,"Architecture pattern document",'3. Enablement evidence'!$G$2:$G$400,"Yes")+COUNTIFS('3. Enablement evidence'!$A$2:$A$400,$A26,'3. Enablement evidence'!$C$2:$C$400,"Reference architecture",'3. Enablement evidence'!$G$2:$G$400,"Yes")&gt;=1),3,IF(COUNTIFS('3. Enablement evidence'!$A$2:$A$400,$A26,'3. Enablement evidence'!$D$2:$D$400,"Generic",'3. Enablement evidence'!$G$2:$G$400,"Yes")&gt;=1,2,1))))))</f>
        <v/>
      </c>
      <c r="J26" s="20" t="inlineStr"/>
      <c r="K26" s="23" t="inlineStr">
        <is>
          <t>Candidate</t>
        </is>
      </c>
      <c r="L26" s="24" t="inlineStr"/>
      <c r="M26" s="25" t="inlineStr"/>
      <c r="N26" s="20" t="inlineStr"/>
      <c r="O26" s="14" t="inlineStr"/>
    </row>
    <row r="27" ht="26" customHeight="1">
      <c r="A27" s="26" t="inlineStr">
        <is>
          <t>REAL-217</t>
        </is>
      </c>
      <c r="B27" s="26" t="inlineStr">
        <is>
          <t>2.4</t>
        </is>
      </c>
      <c r="C27" s="23" t="inlineStr"/>
      <c r="D27" s="27" t="inlineStr">
        <is>
          <t>S1.18 Machine Translation</t>
        </is>
      </c>
      <c r="E27" s="27" t="inlineStr"/>
      <c r="F27" s="20" t="inlineStr"/>
      <c r="G27" s="20" t="inlineStr"/>
      <c r="H27" s="18" t="n"/>
      <c r="I27" s="19">
        <f>IF(COUNTIFS('3. Enablement evidence'!$A$2:$A$400,$A27,'3. Enablement evidence'!$D$2:$D$400,"Generic")=0,"",IF(COUNTIFS('3. Enablement evidence'!$A$2:$A$400,$A27,'3. Enablement evidence'!$D$2:$D$400,"Generic",'3. Enablement evidence'!$G$2:$G$400,"Yes")+COUNTIFS('3. Enablement evidence'!$A$2:$A$400,$A27,'3. Enablement evidence'!$D$2:$D$400,"Generic",'3. Enablement evidence'!$G$2:$G$400,"No")+COUNTIFS('3. Enablement evidence'!$A$2:$A$400,$A27,'3. Enablement evidence'!$D$2:$D$400,"Generic",'3. Enablement evidence'!$G$2:$G$400,"Partial")=0,"no evidence",IF(COUNTIFS('3. Enablement evidence'!$A$2:$A$400,$A27,'3. Enablement evidence'!$D$2:$D$400,"Generic",'3. Enablement evidence'!$G$2:$G$400,"Yes")+COUNTIFS('3. Enablement evidence'!$A$2:$A$400,$A27,'3. Enablement evidence'!$D$2:$D$400,"Generic",'3. Enablement evidence'!$G$2:$G$400,"No")+COUNTIFS('3. Enablement evidence'!$A$2:$A$400,$A27,'3. Enablement evidence'!$D$2:$D$400,"Generic",'3. Enablement evidence'!$G$2:$G$400,"Partial")&lt;COUNTIFS('3. Enablement evidence'!$A$2:$A$400,$A27,'3. Enablement evidence'!$D$2:$D$400,"Generic"),"incomplete "&amp;COUNTIFS('3. Enablement evidence'!$A$2:$A$400,$A27,'3. Enablement evidence'!$D$2:$D$400,"Generic",'3. Enablement evidence'!$G$2:$G$400,"Yes")&amp;"/"&amp;COUNTIFS('3. Enablement evidence'!$A$2:$A$400,$A27,'3. Enablement evidence'!$D$2:$D$400,"Generic"),IF(COUNTIFS('3. Enablement evidence'!$A$2:$A$400,$A27,'3. Enablement evidence'!$D$2:$D$400,"Generic",'3. Enablement evidence'!$G$2:$G$400,"Yes")&gt;=8,4,IF(AND(COUNTIFS('3. Enablement evidence'!$A$2:$A$400,$A27,'3. Enablement evidence'!$C$2:$C$400,"Published standard",'3. Enablement evidence'!$G$2:$G$400,"Yes")=1,COUNTIFS('3. Enablement evidence'!$A$2:$A$400,$A27,'3. Enablement evidence'!$C$2:$C$400,"Architecture pattern document",'3. Enablement evidence'!$G$2:$G$400,"Yes")+COUNTIFS('3. Enablement evidence'!$A$2:$A$400,$A27,'3. Enablement evidence'!$C$2:$C$400,"Reference architecture",'3. Enablement evidence'!$G$2:$G$400,"Yes")&gt;=1),3,IF(COUNTIFS('3. Enablement evidence'!$A$2:$A$400,$A27,'3. Enablement evidence'!$D$2:$D$400,"Generic",'3. Enablement evidence'!$G$2:$G$400,"Yes")&gt;=1,2,1))))))</f>
        <v/>
      </c>
      <c r="J27" s="20" t="inlineStr"/>
      <c r="K27" s="23" t="inlineStr">
        <is>
          <t>Candidate</t>
        </is>
      </c>
      <c r="L27" s="24" t="inlineStr"/>
      <c r="M27" s="25" t="inlineStr"/>
      <c r="N27" s="20" t="inlineStr"/>
      <c r="O27" s="14" t="inlineStr"/>
    </row>
    <row r="28" ht="26" customHeight="1">
      <c r="A28" s="26" t="inlineStr">
        <is>
          <t>REAL-218</t>
        </is>
      </c>
      <c r="B28" s="26" t="inlineStr">
        <is>
          <t>4.3</t>
        </is>
      </c>
      <c r="C28" s="23" t="inlineStr"/>
      <c r="D28" s="27" t="inlineStr">
        <is>
          <t>S2.1 Text Generation &amp; Completion</t>
        </is>
      </c>
      <c r="E28" s="27" t="inlineStr"/>
      <c r="F28" s="20" t="inlineStr"/>
      <c r="G28" s="20" t="inlineStr"/>
      <c r="H28" s="18" t="n"/>
      <c r="I28" s="19">
        <f>IF(COUNTIFS('3. Enablement evidence'!$A$2:$A$400,$A28,'3. Enablement evidence'!$D$2:$D$400,"Generic")=0,"",IF(COUNTIFS('3. Enablement evidence'!$A$2:$A$400,$A28,'3. Enablement evidence'!$D$2:$D$400,"Generic",'3. Enablement evidence'!$G$2:$G$400,"Yes")+COUNTIFS('3. Enablement evidence'!$A$2:$A$400,$A28,'3. Enablement evidence'!$D$2:$D$400,"Generic",'3. Enablement evidence'!$G$2:$G$400,"No")+COUNTIFS('3. Enablement evidence'!$A$2:$A$400,$A28,'3. Enablement evidence'!$D$2:$D$400,"Generic",'3. Enablement evidence'!$G$2:$G$400,"Partial")=0,"no evidence",IF(COUNTIFS('3. Enablement evidence'!$A$2:$A$400,$A28,'3. Enablement evidence'!$D$2:$D$400,"Generic",'3. Enablement evidence'!$G$2:$G$400,"Yes")+COUNTIFS('3. Enablement evidence'!$A$2:$A$400,$A28,'3. Enablement evidence'!$D$2:$D$400,"Generic",'3. Enablement evidence'!$G$2:$G$400,"No")+COUNTIFS('3. Enablement evidence'!$A$2:$A$400,$A28,'3. Enablement evidence'!$D$2:$D$400,"Generic",'3. Enablement evidence'!$G$2:$G$400,"Partial")&lt;COUNTIFS('3. Enablement evidence'!$A$2:$A$400,$A28,'3. Enablement evidence'!$D$2:$D$400,"Generic"),"incomplete "&amp;COUNTIFS('3. Enablement evidence'!$A$2:$A$400,$A28,'3. Enablement evidence'!$D$2:$D$400,"Generic",'3. Enablement evidence'!$G$2:$G$400,"Yes")&amp;"/"&amp;COUNTIFS('3. Enablement evidence'!$A$2:$A$400,$A28,'3. Enablement evidence'!$D$2:$D$400,"Generic"),IF(COUNTIFS('3. Enablement evidence'!$A$2:$A$400,$A28,'3. Enablement evidence'!$D$2:$D$400,"Generic",'3. Enablement evidence'!$G$2:$G$400,"Yes")&gt;=8,4,IF(AND(COUNTIFS('3. Enablement evidence'!$A$2:$A$400,$A28,'3. Enablement evidence'!$C$2:$C$400,"Published standard",'3. Enablement evidence'!$G$2:$G$400,"Yes")=1,COUNTIFS('3. Enablement evidence'!$A$2:$A$400,$A28,'3. Enablement evidence'!$C$2:$C$400,"Architecture pattern document",'3. Enablement evidence'!$G$2:$G$400,"Yes")+COUNTIFS('3. Enablement evidence'!$A$2:$A$400,$A28,'3. Enablement evidence'!$C$2:$C$400,"Reference architecture",'3. Enablement evidence'!$G$2:$G$400,"Yes")&gt;=1),3,IF(COUNTIFS('3. Enablement evidence'!$A$2:$A$400,$A28,'3. Enablement evidence'!$D$2:$D$400,"Generic",'3. Enablement evidence'!$G$2:$G$400,"Yes")&gt;=1,2,1))))))</f>
        <v/>
      </c>
      <c r="J28" s="20" t="inlineStr"/>
      <c r="K28" s="23" t="inlineStr">
        <is>
          <t>Candidate</t>
        </is>
      </c>
      <c r="L28" s="24" t="inlineStr"/>
      <c r="M28" s="25" t="inlineStr"/>
      <c r="N28" s="20" t="inlineStr"/>
      <c r="O28" s="14" t="inlineStr"/>
    </row>
    <row r="29" ht="26" customHeight="1">
      <c r="A29" s="26" t="inlineStr">
        <is>
          <t>REAL-219</t>
        </is>
      </c>
      <c r="B29" s="26" t="inlineStr"/>
      <c r="C29" s="23" t="inlineStr"/>
      <c r="D29" s="27" t="inlineStr">
        <is>
          <t>S2.2 Conversational Response Generation</t>
        </is>
      </c>
      <c r="E29" s="27" t="inlineStr"/>
      <c r="F29" s="20" t="inlineStr"/>
      <c r="G29" s="20" t="inlineStr"/>
      <c r="H29" s="18" t="n"/>
      <c r="I29" s="19">
        <f>IF(COUNTIFS('3. Enablement evidence'!$A$2:$A$400,$A29,'3. Enablement evidence'!$D$2:$D$400,"Generic")=0,"",IF(COUNTIFS('3. Enablement evidence'!$A$2:$A$400,$A29,'3. Enablement evidence'!$D$2:$D$400,"Generic",'3. Enablement evidence'!$G$2:$G$400,"Yes")+COUNTIFS('3. Enablement evidence'!$A$2:$A$400,$A29,'3. Enablement evidence'!$D$2:$D$400,"Generic",'3. Enablement evidence'!$G$2:$G$400,"No")+COUNTIFS('3. Enablement evidence'!$A$2:$A$400,$A29,'3. Enablement evidence'!$D$2:$D$400,"Generic",'3. Enablement evidence'!$G$2:$G$400,"Partial")=0,"no evidence",IF(COUNTIFS('3. Enablement evidence'!$A$2:$A$400,$A29,'3. Enablement evidence'!$D$2:$D$400,"Generic",'3. Enablement evidence'!$G$2:$G$400,"Yes")+COUNTIFS('3. Enablement evidence'!$A$2:$A$400,$A29,'3. Enablement evidence'!$D$2:$D$400,"Generic",'3. Enablement evidence'!$G$2:$G$400,"No")+COUNTIFS('3. Enablement evidence'!$A$2:$A$400,$A29,'3. Enablement evidence'!$D$2:$D$400,"Generic",'3. Enablement evidence'!$G$2:$G$400,"Partial")&lt;COUNTIFS('3. Enablement evidence'!$A$2:$A$400,$A29,'3. Enablement evidence'!$D$2:$D$400,"Generic"),"incomplete "&amp;COUNTIFS('3. Enablement evidence'!$A$2:$A$400,$A29,'3. Enablement evidence'!$D$2:$D$400,"Generic",'3. Enablement evidence'!$G$2:$G$400,"Yes")&amp;"/"&amp;COUNTIFS('3. Enablement evidence'!$A$2:$A$400,$A29,'3. Enablement evidence'!$D$2:$D$400,"Generic"),IF(COUNTIFS('3. Enablement evidence'!$A$2:$A$400,$A29,'3. Enablement evidence'!$D$2:$D$400,"Generic",'3. Enablement evidence'!$G$2:$G$400,"Yes")&gt;=8,4,IF(AND(COUNTIFS('3. Enablement evidence'!$A$2:$A$400,$A29,'3. Enablement evidence'!$C$2:$C$400,"Published standard",'3. Enablement evidence'!$G$2:$G$400,"Yes")=1,COUNTIFS('3. Enablement evidence'!$A$2:$A$400,$A29,'3. Enablement evidence'!$C$2:$C$400,"Architecture pattern document",'3. Enablement evidence'!$G$2:$G$400,"Yes")+COUNTIFS('3. Enablement evidence'!$A$2:$A$400,$A29,'3. Enablement evidence'!$C$2:$C$400,"Reference architecture",'3. Enablement evidence'!$G$2:$G$400,"Yes")&gt;=1),3,IF(COUNTIFS('3. Enablement evidence'!$A$2:$A$400,$A29,'3. Enablement evidence'!$D$2:$D$400,"Generic",'3. Enablement evidence'!$G$2:$G$400,"Yes")&gt;=1,2,1))))))</f>
        <v/>
      </c>
      <c r="J29" s="20" t="inlineStr"/>
      <c r="K29" s="23" t="inlineStr">
        <is>
          <t>Candidate</t>
        </is>
      </c>
      <c r="L29" s="24" t="inlineStr"/>
      <c r="M29" s="25" t="inlineStr"/>
      <c r="N29" s="20" t="inlineStr"/>
      <c r="O29" s="14" t="inlineStr"/>
    </row>
    <row r="30" ht="26" customHeight="1">
      <c r="A30" s="26" t="inlineStr">
        <is>
          <t>REAL-220</t>
        </is>
      </c>
      <c r="B30" s="26" t="inlineStr"/>
      <c r="C30" s="23" t="inlineStr"/>
      <c r="D30" s="27" t="inlineStr">
        <is>
          <t>S2.3 Summarization</t>
        </is>
      </c>
      <c r="E30" s="27" t="inlineStr"/>
      <c r="F30" s="20" t="inlineStr"/>
      <c r="G30" s="20" t="inlineStr"/>
      <c r="H30" s="18" t="n"/>
      <c r="I30" s="19">
        <f>IF(COUNTIFS('3. Enablement evidence'!$A$2:$A$400,$A30,'3. Enablement evidence'!$D$2:$D$400,"Generic")=0,"",IF(COUNTIFS('3. Enablement evidence'!$A$2:$A$400,$A30,'3. Enablement evidence'!$D$2:$D$400,"Generic",'3. Enablement evidence'!$G$2:$G$400,"Yes")+COUNTIFS('3. Enablement evidence'!$A$2:$A$400,$A30,'3. Enablement evidence'!$D$2:$D$400,"Generic",'3. Enablement evidence'!$G$2:$G$400,"No")+COUNTIFS('3. Enablement evidence'!$A$2:$A$400,$A30,'3. Enablement evidence'!$D$2:$D$400,"Generic",'3. Enablement evidence'!$G$2:$G$400,"Partial")=0,"no evidence",IF(COUNTIFS('3. Enablement evidence'!$A$2:$A$400,$A30,'3. Enablement evidence'!$D$2:$D$400,"Generic",'3. Enablement evidence'!$G$2:$G$400,"Yes")+COUNTIFS('3. Enablement evidence'!$A$2:$A$400,$A30,'3. Enablement evidence'!$D$2:$D$400,"Generic",'3. Enablement evidence'!$G$2:$G$400,"No")+COUNTIFS('3. Enablement evidence'!$A$2:$A$400,$A30,'3. Enablement evidence'!$D$2:$D$400,"Generic",'3. Enablement evidence'!$G$2:$G$400,"Partial")&lt;COUNTIFS('3. Enablement evidence'!$A$2:$A$400,$A30,'3. Enablement evidence'!$D$2:$D$400,"Generic"),"incomplete "&amp;COUNTIFS('3. Enablement evidence'!$A$2:$A$400,$A30,'3. Enablement evidence'!$D$2:$D$400,"Generic",'3. Enablement evidence'!$G$2:$G$400,"Yes")&amp;"/"&amp;COUNTIFS('3. Enablement evidence'!$A$2:$A$400,$A30,'3. Enablement evidence'!$D$2:$D$400,"Generic"),IF(COUNTIFS('3. Enablement evidence'!$A$2:$A$400,$A30,'3. Enablement evidence'!$D$2:$D$400,"Generic",'3. Enablement evidence'!$G$2:$G$400,"Yes")&gt;=8,4,IF(AND(COUNTIFS('3. Enablement evidence'!$A$2:$A$400,$A30,'3. Enablement evidence'!$C$2:$C$400,"Published standard",'3. Enablement evidence'!$G$2:$G$400,"Yes")=1,COUNTIFS('3. Enablement evidence'!$A$2:$A$400,$A30,'3. Enablement evidence'!$C$2:$C$400,"Architecture pattern document",'3. Enablement evidence'!$G$2:$G$400,"Yes")+COUNTIFS('3. Enablement evidence'!$A$2:$A$400,$A30,'3. Enablement evidence'!$C$2:$C$400,"Reference architecture",'3. Enablement evidence'!$G$2:$G$400,"Yes")&gt;=1),3,IF(COUNTIFS('3. Enablement evidence'!$A$2:$A$400,$A30,'3. Enablement evidence'!$D$2:$D$400,"Generic",'3. Enablement evidence'!$G$2:$G$400,"Yes")&gt;=1,2,1))))))</f>
        <v/>
      </c>
      <c r="J30" s="20" t="inlineStr"/>
      <c r="K30" s="23" t="inlineStr">
        <is>
          <t>Candidate</t>
        </is>
      </c>
      <c r="L30" s="24" t="inlineStr"/>
      <c r="M30" s="25" t="inlineStr"/>
      <c r="N30" s="20" t="inlineStr"/>
      <c r="O30" s="14" t="inlineStr"/>
    </row>
    <row r="31" ht="26" customHeight="1">
      <c r="A31" s="26" t="inlineStr">
        <is>
          <t>REAL-221</t>
        </is>
      </c>
      <c r="B31" s="26" t="inlineStr">
        <is>
          <t>2.5</t>
        </is>
      </c>
      <c r="C31" s="23" t="inlineStr"/>
      <c r="D31" s="27" t="inlineStr">
        <is>
          <t>S2.4 Rewriting, Style &amp; Tone Transfer</t>
        </is>
      </c>
      <c r="E31" s="27" t="inlineStr"/>
      <c r="F31" s="20" t="inlineStr"/>
      <c r="G31" s="20" t="inlineStr"/>
      <c r="H31" s="18" t="n"/>
      <c r="I31" s="19">
        <f>IF(COUNTIFS('3. Enablement evidence'!$A$2:$A$400,$A31,'3. Enablement evidence'!$D$2:$D$400,"Generic")=0,"",IF(COUNTIFS('3. Enablement evidence'!$A$2:$A$400,$A31,'3. Enablement evidence'!$D$2:$D$400,"Generic",'3. Enablement evidence'!$G$2:$G$400,"Yes")+COUNTIFS('3. Enablement evidence'!$A$2:$A$400,$A31,'3. Enablement evidence'!$D$2:$D$400,"Generic",'3. Enablement evidence'!$G$2:$G$400,"No")+COUNTIFS('3. Enablement evidence'!$A$2:$A$400,$A31,'3. Enablement evidence'!$D$2:$D$400,"Generic",'3. Enablement evidence'!$G$2:$G$400,"Partial")=0,"no evidence",IF(COUNTIFS('3. Enablement evidence'!$A$2:$A$400,$A31,'3. Enablement evidence'!$D$2:$D$400,"Generic",'3. Enablement evidence'!$G$2:$G$400,"Yes")+COUNTIFS('3. Enablement evidence'!$A$2:$A$400,$A31,'3. Enablement evidence'!$D$2:$D$400,"Generic",'3. Enablement evidence'!$G$2:$G$400,"No")+COUNTIFS('3. Enablement evidence'!$A$2:$A$400,$A31,'3. Enablement evidence'!$D$2:$D$400,"Generic",'3. Enablement evidence'!$G$2:$G$400,"Partial")&lt;COUNTIFS('3. Enablement evidence'!$A$2:$A$400,$A31,'3. Enablement evidence'!$D$2:$D$400,"Generic"),"incomplete "&amp;COUNTIFS('3. Enablement evidence'!$A$2:$A$400,$A31,'3. Enablement evidence'!$D$2:$D$400,"Generic",'3. Enablement evidence'!$G$2:$G$400,"Yes")&amp;"/"&amp;COUNTIFS('3. Enablement evidence'!$A$2:$A$400,$A31,'3. Enablement evidence'!$D$2:$D$400,"Generic"),IF(COUNTIFS('3. Enablement evidence'!$A$2:$A$400,$A31,'3. Enablement evidence'!$D$2:$D$400,"Generic",'3. Enablement evidence'!$G$2:$G$400,"Yes")&gt;=8,4,IF(AND(COUNTIFS('3. Enablement evidence'!$A$2:$A$400,$A31,'3. Enablement evidence'!$C$2:$C$400,"Published standard",'3. Enablement evidence'!$G$2:$G$400,"Yes")=1,COUNTIFS('3. Enablement evidence'!$A$2:$A$400,$A31,'3. Enablement evidence'!$C$2:$C$400,"Architecture pattern document",'3. Enablement evidence'!$G$2:$G$400,"Yes")+COUNTIFS('3. Enablement evidence'!$A$2:$A$400,$A31,'3. Enablement evidence'!$C$2:$C$400,"Reference architecture",'3. Enablement evidence'!$G$2:$G$400,"Yes")&gt;=1),3,IF(COUNTIFS('3. Enablement evidence'!$A$2:$A$400,$A31,'3. Enablement evidence'!$D$2:$D$400,"Generic",'3. Enablement evidence'!$G$2:$G$400,"Yes")&gt;=1,2,1))))))</f>
        <v/>
      </c>
      <c r="J31" s="20" t="inlineStr"/>
      <c r="K31" s="23" t="inlineStr">
        <is>
          <t>Candidate</t>
        </is>
      </c>
      <c r="L31" s="24" t="inlineStr"/>
      <c r="M31" s="25" t="inlineStr"/>
      <c r="N31" s="20" t="inlineStr"/>
      <c r="O31" s="14" t="inlineStr"/>
    </row>
    <row r="32" ht="26" customHeight="1">
      <c r="A32" s="26" t="inlineStr">
        <is>
          <t>REAL-222</t>
        </is>
      </c>
      <c r="B32" s="26" t="inlineStr">
        <is>
          <t>4.3</t>
        </is>
      </c>
      <c r="C32" s="23" t="inlineStr">
        <is>
          <t>4.5</t>
        </is>
      </c>
      <c r="D32" s="27" t="inlineStr">
        <is>
          <t>S2.5 Structured &amp; Schema-Constrained Output</t>
        </is>
      </c>
      <c r="E32" s="27" t="inlineStr"/>
      <c r="F32" s="20" t="inlineStr"/>
      <c r="G32" s="20" t="inlineStr"/>
      <c r="H32" s="18" t="n"/>
      <c r="I32" s="19">
        <f>IF(COUNTIFS('3. Enablement evidence'!$A$2:$A$400,$A32,'3. Enablement evidence'!$D$2:$D$400,"Generic")=0,"",IF(COUNTIFS('3. Enablement evidence'!$A$2:$A$400,$A32,'3. Enablement evidence'!$D$2:$D$400,"Generic",'3. Enablement evidence'!$G$2:$G$400,"Yes")+COUNTIFS('3. Enablement evidence'!$A$2:$A$400,$A32,'3. Enablement evidence'!$D$2:$D$400,"Generic",'3. Enablement evidence'!$G$2:$G$400,"No")+COUNTIFS('3. Enablement evidence'!$A$2:$A$400,$A32,'3. Enablement evidence'!$D$2:$D$400,"Generic",'3. Enablement evidence'!$G$2:$G$400,"Partial")=0,"no evidence",IF(COUNTIFS('3. Enablement evidence'!$A$2:$A$400,$A32,'3. Enablement evidence'!$D$2:$D$400,"Generic",'3. Enablement evidence'!$G$2:$G$400,"Yes")+COUNTIFS('3. Enablement evidence'!$A$2:$A$400,$A32,'3. Enablement evidence'!$D$2:$D$400,"Generic",'3. Enablement evidence'!$G$2:$G$400,"No")+COUNTIFS('3. Enablement evidence'!$A$2:$A$400,$A32,'3. Enablement evidence'!$D$2:$D$400,"Generic",'3. Enablement evidence'!$G$2:$G$400,"Partial")&lt;COUNTIFS('3. Enablement evidence'!$A$2:$A$400,$A32,'3. Enablement evidence'!$D$2:$D$400,"Generic"),"incomplete "&amp;COUNTIFS('3. Enablement evidence'!$A$2:$A$400,$A32,'3. Enablement evidence'!$D$2:$D$400,"Generic",'3. Enablement evidence'!$G$2:$G$400,"Yes")&amp;"/"&amp;COUNTIFS('3. Enablement evidence'!$A$2:$A$400,$A32,'3. Enablement evidence'!$D$2:$D$400,"Generic"),IF(COUNTIFS('3. Enablement evidence'!$A$2:$A$400,$A32,'3. Enablement evidence'!$D$2:$D$400,"Generic",'3. Enablement evidence'!$G$2:$G$400,"Yes")&gt;=8,4,IF(AND(COUNTIFS('3. Enablement evidence'!$A$2:$A$400,$A32,'3. Enablement evidence'!$C$2:$C$400,"Published standard",'3. Enablement evidence'!$G$2:$G$400,"Yes")=1,COUNTIFS('3. Enablement evidence'!$A$2:$A$400,$A32,'3. Enablement evidence'!$C$2:$C$400,"Architecture pattern document",'3. Enablement evidence'!$G$2:$G$400,"Yes")+COUNTIFS('3. Enablement evidence'!$A$2:$A$400,$A32,'3. Enablement evidence'!$C$2:$C$400,"Reference architecture",'3. Enablement evidence'!$G$2:$G$400,"Yes")&gt;=1),3,IF(COUNTIFS('3. Enablement evidence'!$A$2:$A$400,$A32,'3. Enablement evidence'!$D$2:$D$400,"Generic",'3. Enablement evidence'!$G$2:$G$400,"Yes")&gt;=1,2,1))))))</f>
        <v/>
      </c>
      <c r="J32" s="20" t="inlineStr"/>
      <c r="K32" s="23" t="inlineStr">
        <is>
          <t>Candidate</t>
        </is>
      </c>
      <c r="L32" s="24" t="inlineStr"/>
      <c r="M32" s="25" t="inlineStr"/>
      <c r="N32" s="20" t="inlineStr"/>
      <c r="O32" s="14" t="inlineStr"/>
    </row>
    <row r="33" ht="26" customHeight="1">
      <c r="A33" s="26" t="inlineStr">
        <is>
          <t>REAL-223</t>
        </is>
      </c>
      <c r="B33" s="26" t="inlineStr"/>
      <c r="C33" s="23" t="inlineStr"/>
      <c r="D33" s="27" t="inlineStr">
        <is>
          <t>S2.6 Code Generation &amp; Transformation</t>
        </is>
      </c>
      <c r="E33" s="27" t="inlineStr"/>
      <c r="F33" s="20" t="inlineStr"/>
      <c r="G33" s="20" t="inlineStr"/>
      <c r="H33" s="18" t="n"/>
      <c r="I33" s="19">
        <f>IF(COUNTIFS('3. Enablement evidence'!$A$2:$A$400,$A33,'3. Enablement evidence'!$D$2:$D$400,"Generic")=0,"",IF(COUNTIFS('3. Enablement evidence'!$A$2:$A$400,$A33,'3. Enablement evidence'!$D$2:$D$400,"Generic",'3. Enablement evidence'!$G$2:$G$400,"Yes")+COUNTIFS('3. Enablement evidence'!$A$2:$A$400,$A33,'3. Enablement evidence'!$D$2:$D$400,"Generic",'3. Enablement evidence'!$G$2:$G$400,"No")+COUNTIFS('3. Enablement evidence'!$A$2:$A$400,$A33,'3. Enablement evidence'!$D$2:$D$400,"Generic",'3. Enablement evidence'!$G$2:$G$400,"Partial")=0,"no evidence",IF(COUNTIFS('3. Enablement evidence'!$A$2:$A$400,$A33,'3. Enablement evidence'!$D$2:$D$400,"Generic",'3. Enablement evidence'!$G$2:$G$400,"Yes")+COUNTIFS('3. Enablement evidence'!$A$2:$A$400,$A33,'3. Enablement evidence'!$D$2:$D$400,"Generic",'3. Enablement evidence'!$G$2:$G$400,"No")+COUNTIFS('3. Enablement evidence'!$A$2:$A$400,$A33,'3. Enablement evidence'!$D$2:$D$400,"Generic",'3. Enablement evidence'!$G$2:$G$400,"Partial")&lt;COUNTIFS('3. Enablement evidence'!$A$2:$A$400,$A33,'3. Enablement evidence'!$D$2:$D$400,"Generic"),"incomplete "&amp;COUNTIFS('3. Enablement evidence'!$A$2:$A$400,$A33,'3. Enablement evidence'!$D$2:$D$400,"Generic",'3. Enablement evidence'!$G$2:$G$400,"Yes")&amp;"/"&amp;COUNTIFS('3. Enablement evidence'!$A$2:$A$400,$A33,'3. Enablement evidence'!$D$2:$D$400,"Generic"),IF(COUNTIFS('3. Enablement evidence'!$A$2:$A$400,$A33,'3. Enablement evidence'!$D$2:$D$400,"Generic",'3. Enablement evidence'!$G$2:$G$400,"Yes")&gt;=8,4,IF(AND(COUNTIFS('3. Enablement evidence'!$A$2:$A$400,$A33,'3. Enablement evidence'!$C$2:$C$400,"Published standard",'3. Enablement evidence'!$G$2:$G$400,"Yes")=1,COUNTIFS('3. Enablement evidence'!$A$2:$A$400,$A33,'3. Enablement evidence'!$C$2:$C$400,"Architecture pattern document",'3. Enablement evidence'!$G$2:$G$400,"Yes")+COUNTIFS('3. Enablement evidence'!$A$2:$A$400,$A33,'3. Enablement evidence'!$C$2:$C$400,"Reference architecture",'3. Enablement evidence'!$G$2:$G$400,"Yes")&gt;=1),3,IF(COUNTIFS('3. Enablement evidence'!$A$2:$A$400,$A33,'3. Enablement evidence'!$D$2:$D$400,"Generic",'3. Enablement evidence'!$G$2:$G$400,"Yes")&gt;=1,2,1))))))</f>
        <v/>
      </c>
      <c r="J33" s="20" t="inlineStr"/>
      <c r="K33" s="23" t="inlineStr">
        <is>
          <t>Candidate</t>
        </is>
      </c>
      <c r="L33" s="24" t="inlineStr"/>
      <c r="M33" s="25" t="inlineStr"/>
      <c r="N33" s="20" t="inlineStr"/>
      <c r="O33" s="14" t="inlineStr"/>
    </row>
    <row r="34" ht="26" customHeight="1">
      <c r="A34" s="26" t="inlineStr">
        <is>
          <t>REAL-224</t>
        </is>
      </c>
      <c r="B34" s="26" t="inlineStr">
        <is>
          <t>2.5</t>
        </is>
      </c>
      <c r="C34" s="23" t="inlineStr"/>
      <c r="D34" s="27" t="inlineStr">
        <is>
          <t>S2.7 Text-to-Speech &amp; Voice Synthesis</t>
        </is>
      </c>
      <c r="E34" s="27" t="inlineStr"/>
      <c r="F34" s="20" t="inlineStr"/>
      <c r="G34" s="20" t="inlineStr"/>
      <c r="H34" s="18" t="n"/>
      <c r="I34" s="19">
        <f>IF(COUNTIFS('3. Enablement evidence'!$A$2:$A$400,$A34,'3. Enablement evidence'!$D$2:$D$400,"Generic")=0,"",IF(COUNTIFS('3. Enablement evidence'!$A$2:$A$400,$A34,'3. Enablement evidence'!$D$2:$D$400,"Generic",'3. Enablement evidence'!$G$2:$G$400,"Yes")+COUNTIFS('3. Enablement evidence'!$A$2:$A$400,$A34,'3. Enablement evidence'!$D$2:$D$400,"Generic",'3. Enablement evidence'!$G$2:$G$400,"No")+COUNTIFS('3. Enablement evidence'!$A$2:$A$400,$A34,'3. Enablement evidence'!$D$2:$D$400,"Generic",'3. Enablement evidence'!$G$2:$G$400,"Partial")=0,"no evidence",IF(COUNTIFS('3. Enablement evidence'!$A$2:$A$400,$A34,'3. Enablement evidence'!$D$2:$D$400,"Generic",'3. Enablement evidence'!$G$2:$G$400,"Yes")+COUNTIFS('3. Enablement evidence'!$A$2:$A$400,$A34,'3. Enablement evidence'!$D$2:$D$400,"Generic",'3. Enablement evidence'!$G$2:$G$400,"No")+COUNTIFS('3. Enablement evidence'!$A$2:$A$400,$A34,'3. Enablement evidence'!$D$2:$D$400,"Generic",'3. Enablement evidence'!$G$2:$G$400,"Partial")&lt;COUNTIFS('3. Enablement evidence'!$A$2:$A$400,$A34,'3. Enablement evidence'!$D$2:$D$400,"Generic"),"incomplete "&amp;COUNTIFS('3. Enablement evidence'!$A$2:$A$400,$A34,'3. Enablement evidence'!$D$2:$D$400,"Generic",'3. Enablement evidence'!$G$2:$G$400,"Yes")&amp;"/"&amp;COUNTIFS('3. Enablement evidence'!$A$2:$A$400,$A34,'3. Enablement evidence'!$D$2:$D$400,"Generic"),IF(COUNTIFS('3. Enablement evidence'!$A$2:$A$400,$A34,'3. Enablement evidence'!$D$2:$D$400,"Generic",'3. Enablement evidence'!$G$2:$G$400,"Yes")&gt;=8,4,IF(AND(COUNTIFS('3. Enablement evidence'!$A$2:$A$400,$A34,'3. Enablement evidence'!$C$2:$C$400,"Published standard",'3. Enablement evidence'!$G$2:$G$400,"Yes")=1,COUNTIFS('3. Enablement evidence'!$A$2:$A$400,$A34,'3. Enablement evidence'!$C$2:$C$400,"Architecture pattern document",'3. Enablement evidence'!$G$2:$G$400,"Yes")+COUNTIFS('3. Enablement evidence'!$A$2:$A$400,$A34,'3. Enablement evidence'!$C$2:$C$400,"Reference architecture",'3. Enablement evidence'!$G$2:$G$400,"Yes")&gt;=1),3,IF(COUNTIFS('3. Enablement evidence'!$A$2:$A$400,$A34,'3. Enablement evidence'!$D$2:$D$400,"Generic",'3. Enablement evidence'!$G$2:$G$400,"Yes")&gt;=1,2,1))))))</f>
        <v/>
      </c>
      <c r="J34" s="20" t="inlineStr"/>
      <c r="K34" s="23" t="inlineStr">
        <is>
          <t>Candidate</t>
        </is>
      </c>
      <c r="L34" s="24" t="inlineStr"/>
      <c r="M34" s="25" t="inlineStr"/>
      <c r="N34" s="20" t="inlineStr"/>
      <c r="O34" s="14" t="inlineStr"/>
    </row>
    <row r="35" ht="26" customHeight="1">
      <c r="A35" s="26" t="inlineStr">
        <is>
          <t>REAL-225</t>
        </is>
      </c>
      <c r="B35" s="26" t="inlineStr"/>
      <c r="C35" s="23" t="inlineStr"/>
      <c r="D35" s="27" t="inlineStr">
        <is>
          <t>S2.8 Image Generation &amp; Editing</t>
        </is>
      </c>
      <c r="E35" s="27" t="inlineStr"/>
      <c r="F35" s="20" t="inlineStr"/>
      <c r="G35" s="20" t="inlineStr"/>
      <c r="H35" s="18" t="n"/>
      <c r="I35" s="19">
        <f>IF(COUNTIFS('3. Enablement evidence'!$A$2:$A$400,$A35,'3. Enablement evidence'!$D$2:$D$400,"Generic")=0,"",IF(COUNTIFS('3. Enablement evidence'!$A$2:$A$400,$A35,'3. Enablement evidence'!$D$2:$D$400,"Generic",'3. Enablement evidence'!$G$2:$G$400,"Yes")+COUNTIFS('3. Enablement evidence'!$A$2:$A$400,$A35,'3. Enablement evidence'!$D$2:$D$400,"Generic",'3. Enablement evidence'!$G$2:$G$400,"No")+COUNTIFS('3. Enablement evidence'!$A$2:$A$400,$A35,'3. Enablement evidence'!$D$2:$D$400,"Generic",'3. Enablement evidence'!$G$2:$G$400,"Partial")=0,"no evidence",IF(COUNTIFS('3. Enablement evidence'!$A$2:$A$400,$A35,'3. Enablement evidence'!$D$2:$D$400,"Generic",'3. Enablement evidence'!$G$2:$G$400,"Yes")+COUNTIFS('3. Enablement evidence'!$A$2:$A$400,$A35,'3. Enablement evidence'!$D$2:$D$400,"Generic",'3. Enablement evidence'!$G$2:$G$400,"No")+COUNTIFS('3. Enablement evidence'!$A$2:$A$400,$A35,'3. Enablement evidence'!$D$2:$D$400,"Generic",'3. Enablement evidence'!$G$2:$G$400,"Partial")&lt;COUNTIFS('3. Enablement evidence'!$A$2:$A$400,$A35,'3. Enablement evidence'!$D$2:$D$400,"Generic"),"incomplete "&amp;COUNTIFS('3. Enablement evidence'!$A$2:$A$400,$A35,'3. Enablement evidence'!$D$2:$D$400,"Generic",'3. Enablement evidence'!$G$2:$G$400,"Yes")&amp;"/"&amp;COUNTIFS('3. Enablement evidence'!$A$2:$A$400,$A35,'3. Enablement evidence'!$D$2:$D$400,"Generic"),IF(COUNTIFS('3. Enablement evidence'!$A$2:$A$400,$A35,'3. Enablement evidence'!$D$2:$D$400,"Generic",'3. Enablement evidence'!$G$2:$G$400,"Yes")&gt;=8,4,IF(AND(COUNTIFS('3. Enablement evidence'!$A$2:$A$400,$A35,'3. Enablement evidence'!$C$2:$C$400,"Published standard",'3. Enablement evidence'!$G$2:$G$400,"Yes")=1,COUNTIFS('3. Enablement evidence'!$A$2:$A$400,$A35,'3. Enablement evidence'!$C$2:$C$400,"Architecture pattern document",'3. Enablement evidence'!$G$2:$G$400,"Yes")+COUNTIFS('3. Enablement evidence'!$A$2:$A$400,$A35,'3. Enablement evidence'!$C$2:$C$400,"Reference architecture",'3. Enablement evidence'!$G$2:$G$400,"Yes")&gt;=1),3,IF(COUNTIFS('3. Enablement evidence'!$A$2:$A$400,$A35,'3. Enablement evidence'!$D$2:$D$400,"Generic",'3. Enablement evidence'!$G$2:$G$400,"Yes")&gt;=1,2,1))))))</f>
        <v/>
      </c>
      <c r="J35" s="20" t="inlineStr"/>
      <c r="K35" s="23" t="inlineStr">
        <is>
          <t>Candidate</t>
        </is>
      </c>
      <c r="L35" s="24" t="inlineStr"/>
      <c r="M35" s="25" t="inlineStr"/>
      <c r="N35" s="20" t="inlineStr"/>
      <c r="O35" s="14" t="inlineStr"/>
    </row>
    <row r="36" ht="26" customHeight="1">
      <c r="A36" s="26" t="inlineStr">
        <is>
          <t>REAL-226</t>
        </is>
      </c>
      <c r="B36" s="26" t="inlineStr"/>
      <c r="C36" s="23" t="inlineStr"/>
      <c r="D36" s="27" t="inlineStr">
        <is>
          <t>S2.9 Video &amp; Animation Generation</t>
        </is>
      </c>
      <c r="E36" s="27" t="inlineStr"/>
      <c r="F36" s="20" t="inlineStr"/>
      <c r="G36" s="20" t="inlineStr"/>
      <c r="H36" s="18" t="n"/>
      <c r="I36" s="19">
        <f>IF(COUNTIFS('3. Enablement evidence'!$A$2:$A$400,$A36,'3. Enablement evidence'!$D$2:$D$400,"Generic")=0,"",IF(COUNTIFS('3. Enablement evidence'!$A$2:$A$400,$A36,'3. Enablement evidence'!$D$2:$D$400,"Generic",'3. Enablement evidence'!$G$2:$G$400,"Yes")+COUNTIFS('3. Enablement evidence'!$A$2:$A$400,$A36,'3. Enablement evidence'!$D$2:$D$400,"Generic",'3. Enablement evidence'!$G$2:$G$400,"No")+COUNTIFS('3. Enablement evidence'!$A$2:$A$400,$A36,'3. Enablement evidence'!$D$2:$D$400,"Generic",'3. Enablement evidence'!$G$2:$G$400,"Partial")=0,"no evidence",IF(COUNTIFS('3. Enablement evidence'!$A$2:$A$400,$A36,'3. Enablement evidence'!$D$2:$D$400,"Generic",'3. Enablement evidence'!$G$2:$G$400,"Yes")+COUNTIFS('3. Enablement evidence'!$A$2:$A$400,$A36,'3. Enablement evidence'!$D$2:$D$400,"Generic",'3. Enablement evidence'!$G$2:$G$400,"No")+COUNTIFS('3. Enablement evidence'!$A$2:$A$400,$A36,'3. Enablement evidence'!$D$2:$D$400,"Generic",'3. Enablement evidence'!$G$2:$G$400,"Partial")&lt;COUNTIFS('3. Enablement evidence'!$A$2:$A$400,$A36,'3. Enablement evidence'!$D$2:$D$400,"Generic"),"incomplete "&amp;COUNTIFS('3. Enablement evidence'!$A$2:$A$400,$A36,'3. Enablement evidence'!$D$2:$D$400,"Generic",'3. Enablement evidence'!$G$2:$G$400,"Yes")&amp;"/"&amp;COUNTIFS('3. Enablement evidence'!$A$2:$A$400,$A36,'3. Enablement evidence'!$D$2:$D$400,"Generic"),IF(COUNTIFS('3. Enablement evidence'!$A$2:$A$400,$A36,'3. Enablement evidence'!$D$2:$D$400,"Generic",'3. Enablement evidence'!$G$2:$G$400,"Yes")&gt;=8,4,IF(AND(COUNTIFS('3. Enablement evidence'!$A$2:$A$400,$A36,'3. Enablement evidence'!$C$2:$C$400,"Published standard",'3. Enablement evidence'!$G$2:$G$400,"Yes")=1,COUNTIFS('3. Enablement evidence'!$A$2:$A$400,$A36,'3. Enablement evidence'!$C$2:$C$400,"Architecture pattern document",'3. Enablement evidence'!$G$2:$G$400,"Yes")+COUNTIFS('3. Enablement evidence'!$A$2:$A$400,$A36,'3. Enablement evidence'!$C$2:$C$400,"Reference architecture",'3. Enablement evidence'!$G$2:$G$400,"Yes")&gt;=1),3,IF(COUNTIFS('3. Enablement evidence'!$A$2:$A$400,$A36,'3. Enablement evidence'!$D$2:$D$400,"Generic",'3. Enablement evidence'!$G$2:$G$400,"Yes")&gt;=1,2,1))))))</f>
        <v/>
      </c>
      <c r="J36" s="20" t="inlineStr"/>
      <c r="K36" s="23" t="inlineStr">
        <is>
          <t>Candidate</t>
        </is>
      </c>
      <c r="L36" s="24" t="inlineStr"/>
      <c r="M36" s="25" t="inlineStr"/>
      <c r="N36" s="20" t="inlineStr"/>
      <c r="O36" s="14" t="inlineStr"/>
    </row>
    <row r="37" ht="26" customHeight="1">
      <c r="A37" s="26" t="inlineStr">
        <is>
          <t>REAL-227</t>
        </is>
      </c>
      <c r="B37" s="26" t="inlineStr">
        <is>
          <t>3.2</t>
        </is>
      </c>
      <c r="C37" s="23" t="inlineStr"/>
      <c r="D37" s="27" t="inlineStr">
        <is>
          <t>S2.10 Synthetic Data Generation</t>
        </is>
      </c>
      <c r="E37" s="27" t="inlineStr"/>
      <c r="F37" s="20" t="inlineStr"/>
      <c r="G37" s="20" t="inlineStr"/>
      <c r="H37" s="18" t="n"/>
      <c r="I37" s="19">
        <f>IF(COUNTIFS('3. Enablement evidence'!$A$2:$A$400,$A37,'3. Enablement evidence'!$D$2:$D$400,"Generic")=0,"",IF(COUNTIFS('3. Enablement evidence'!$A$2:$A$400,$A37,'3. Enablement evidence'!$D$2:$D$400,"Generic",'3. Enablement evidence'!$G$2:$G$400,"Yes")+COUNTIFS('3. Enablement evidence'!$A$2:$A$400,$A37,'3. Enablement evidence'!$D$2:$D$400,"Generic",'3. Enablement evidence'!$G$2:$G$400,"No")+COUNTIFS('3. Enablement evidence'!$A$2:$A$400,$A37,'3. Enablement evidence'!$D$2:$D$400,"Generic",'3. Enablement evidence'!$G$2:$G$400,"Partial")=0,"no evidence",IF(COUNTIFS('3. Enablement evidence'!$A$2:$A$400,$A37,'3. Enablement evidence'!$D$2:$D$400,"Generic",'3. Enablement evidence'!$G$2:$G$400,"Yes")+COUNTIFS('3. Enablement evidence'!$A$2:$A$400,$A37,'3. Enablement evidence'!$D$2:$D$400,"Generic",'3. Enablement evidence'!$G$2:$G$400,"No")+COUNTIFS('3. Enablement evidence'!$A$2:$A$400,$A37,'3. Enablement evidence'!$D$2:$D$400,"Generic",'3. Enablement evidence'!$G$2:$G$400,"Partial")&lt;COUNTIFS('3. Enablement evidence'!$A$2:$A$400,$A37,'3. Enablement evidence'!$D$2:$D$400,"Generic"),"incomplete "&amp;COUNTIFS('3. Enablement evidence'!$A$2:$A$400,$A37,'3. Enablement evidence'!$D$2:$D$400,"Generic",'3. Enablement evidence'!$G$2:$G$400,"Yes")&amp;"/"&amp;COUNTIFS('3. Enablement evidence'!$A$2:$A$400,$A37,'3. Enablement evidence'!$D$2:$D$400,"Generic"),IF(COUNTIFS('3. Enablement evidence'!$A$2:$A$400,$A37,'3. Enablement evidence'!$D$2:$D$400,"Generic",'3. Enablement evidence'!$G$2:$G$400,"Yes")&gt;=8,4,IF(AND(COUNTIFS('3. Enablement evidence'!$A$2:$A$400,$A37,'3. Enablement evidence'!$C$2:$C$400,"Published standard",'3. Enablement evidence'!$G$2:$G$400,"Yes")=1,COUNTIFS('3. Enablement evidence'!$A$2:$A$400,$A37,'3. Enablement evidence'!$C$2:$C$400,"Architecture pattern document",'3. Enablement evidence'!$G$2:$G$400,"Yes")+COUNTIFS('3. Enablement evidence'!$A$2:$A$400,$A37,'3. Enablement evidence'!$C$2:$C$400,"Reference architecture",'3. Enablement evidence'!$G$2:$G$400,"Yes")&gt;=1),3,IF(COUNTIFS('3. Enablement evidence'!$A$2:$A$400,$A37,'3. Enablement evidence'!$D$2:$D$400,"Generic",'3. Enablement evidence'!$G$2:$G$400,"Yes")&gt;=1,2,1))))))</f>
        <v/>
      </c>
      <c r="J37" s="20" t="inlineStr"/>
      <c r="K37" s="23" t="inlineStr">
        <is>
          <t>Candidate</t>
        </is>
      </c>
      <c r="L37" s="24" t="inlineStr"/>
      <c r="M37" s="25" t="inlineStr"/>
      <c r="N37" s="20" t="inlineStr"/>
      <c r="O37" s="14" t="inlineStr"/>
    </row>
    <row r="38" ht="26" customHeight="1">
      <c r="A38" s="26" t="inlineStr">
        <is>
          <t>REAL-228</t>
        </is>
      </c>
      <c r="B38" s="26" t="inlineStr">
        <is>
          <t>3.6</t>
        </is>
      </c>
      <c r="C38" s="23" t="inlineStr"/>
      <c r="D38" s="27" t="inlineStr">
        <is>
          <t>S3.1 Lexical Search</t>
        </is>
      </c>
      <c r="E38" s="27" t="inlineStr"/>
      <c r="F38" s="20" t="inlineStr"/>
      <c r="G38" s="20" t="inlineStr"/>
      <c r="H38" s="18" t="n"/>
      <c r="I38" s="19">
        <f>IF(COUNTIFS('3. Enablement evidence'!$A$2:$A$400,$A38,'3. Enablement evidence'!$D$2:$D$400,"Generic")=0,"",IF(COUNTIFS('3. Enablement evidence'!$A$2:$A$400,$A38,'3. Enablement evidence'!$D$2:$D$400,"Generic",'3. Enablement evidence'!$G$2:$G$400,"Yes")+COUNTIFS('3. Enablement evidence'!$A$2:$A$400,$A38,'3. Enablement evidence'!$D$2:$D$400,"Generic",'3. Enablement evidence'!$G$2:$G$400,"No")+COUNTIFS('3. Enablement evidence'!$A$2:$A$400,$A38,'3. Enablement evidence'!$D$2:$D$400,"Generic",'3. Enablement evidence'!$G$2:$G$400,"Partial")=0,"no evidence",IF(COUNTIFS('3. Enablement evidence'!$A$2:$A$400,$A38,'3. Enablement evidence'!$D$2:$D$400,"Generic",'3. Enablement evidence'!$G$2:$G$400,"Yes")+COUNTIFS('3. Enablement evidence'!$A$2:$A$400,$A38,'3. Enablement evidence'!$D$2:$D$400,"Generic",'3. Enablement evidence'!$G$2:$G$400,"No")+COUNTIFS('3. Enablement evidence'!$A$2:$A$400,$A38,'3. Enablement evidence'!$D$2:$D$400,"Generic",'3. Enablement evidence'!$G$2:$G$400,"Partial")&lt;COUNTIFS('3. Enablement evidence'!$A$2:$A$400,$A38,'3. Enablement evidence'!$D$2:$D$400,"Generic"),"incomplete "&amp;COUNTIFS('3. Enablement evidence'!$A$2:$A$400,$A38,'3. Enablement evidence'!$D$2:$D$400,"Generic",'3. Enablement evidence'!$G$2:$G$400,"Yes")&amp;"/"&amp;COUNTIFS('3. Enablement evidence'!$A$2:$A$400,$A38,'3. Enablement evidence'!$D$2:$D$400,"Generic"),IF(COUNTIFS('3. Enablement evidence'!$A$2:$A$400,$A38,'3. Enablement evidence'!$D$2:$D$400,"Generic",'3. Enablement evidence'!$G$2:$G$400,"Yes")&gt;=8,4,IF(AND(COUNTIFS('3. Enablement evidence'!$A$2:$A$400,$A38,'3. Enablement evidence'!$C$2:$C$400,"Published standard",'3. Enablement evidence'!$G$2:$G$400,"Yes")=1,COUNTIFS('3. Enablement evidence'!$A$2:$A$400,$A38,'3. Enablement evidence'!$C$2:$C$400,"Architecture pattern document",'3. Enablement evidence'!$G$2:$G$400,"Yes")+COUNTIFS('3. Enablement evidence'!$A$2:$A$400,$A38,'3. Enablement evidence'!$C$2:$C$400,"Reference architecture",'3. Enablement evidence'!$G$2:$G$400,"Yes")&gt;=1),3,IF(COUNTIFS('3. Enablement evidence'!$A$2:$A$400,$A38,'3. Enablement evidence'!$D$2:$D$400,"Generic",'3. Enablement evidence'!$G$2:$G$400,"Yes")&gt;=1,2,1))))))</f>
        <v/>
      </c>
      <c r="J38" s="20" t="inlineStr"/>
      <c r="K38" s="23" t="inlineStr">
        <is>
          <t>Candidate</t>
        </is>
      </c>
      <c r="L38" s="24" t="inlineStr"/>
      <c r="M38" s="25" t="inlineStr"/>
      <c r="N38" s="20" t="inlineStr"/>
      <c r="O38" s="14" t="inlineStr"/>
    </row>
    <row r="39" ht="26" customHeight="1">
      <c r="A39" s="26" t="inlineStr">
        <is>
          <t>REAL-229</t>
        </is>
      </c>
      <c r="B39" s="26" t="inlineStr">
        <is>
          <t>3.6</t>
        </is>
      </c>
      <c r="C39" s="23" t="inlineStr"/>
      <c r="D39" s="27" t="inlineStr">
        <is>
          <t>S3.2 Vector Similarity Search</t>
        </is>
      </c>
      <c r="E39" s="27" t="inlineStr"/>
      <c r="F39" s="20" t="inlineStr"/>
      <c r="G39" s="20" t="inlineStr"/>
      <c r="H39" s="18" t="n"/>
      <c r="I39" s="19">
        <f>IF(COUNTIFS('3. Enablement evidence'!$A$2:$A$400,$A39,'3. Enablement evidence'!$D$2:$D$400,"Generic")=0,"",IF(COUNTIFS('3. Enablement evidence'!$A$2:$A$400,$A39,'3. Enablement evidence'!$D$2:$D$400,"Generic",'3. Enablement evidence'!$G$2:$G$400,"Yes")+COUNTIFS('3. Enablement evidence'!$A$2:$A$400,$A39,'3. Enablement evidence'!$D$2:$D$400,"Generic",'3. Enablement evidence'!$G$2:$G$400,"No")+COUNTIFS('3. Enablement evidence'!$A$2:$A$400,$A39,'3. Enablement evidence'!$D$2:$D$400,"Generic",'3. Enablement evidence'!$G$2:$G$400,"Partial")=0,"no evidence",IF(COUNTIFS('3. Enablement evidence'!$A$2:$A$400,$A39,'3. Enablement evidence'!$D$2:$D$400,"Generic",'3. Enablement evidence'!$G$2:$G$400,"Yes")+COUNTIFS('3. Enablement evidence'!$A$2:$A$400,$A39,'3. Enablement evidence'!$D$2:$D$400,"Generic",'3. Enablement evidence'!$G$2:$G$400,"No")+COUNTIFS('3. Enablement evidence'!$A$2:$A$400,$A39,'3. Enablement evidence'!$D$2:$D$400,"Generic",'3. Enablement evidence'!$G$2:$G$400,"Partial")&lt;COUNTIFS('3. Enablement evidence'!$A$2:$A$400,$A39,'3. Enablement evidence'!$D$2:$D$400,"Generic"),"incomplete "&amp;COUNTIFS('3. Enablement evidence'!$A$2:$A$400,$A39,'3. Enablement evidence'!$D$2:$D$400,"Generic",'3. Enablement evidence'!$G$2:$G$400,"Yes")&amp;"/"&amp;COUNTIFS('3. Enablement evidence'!$A$2:$A$400,$A39,'3. Enablement evidence'!$D$2:$D$400,"Generic"),IF(COUNTIFS('3. Enablement evidence'!$A$2:$A$400,$A39,'3. Enablement evidence'!$D$2:$D$400,"Generic",'3. Enablement evidence'!$G$2:$G$400,"Yes")&gt;=8,4,IF(AND(COUNTIFS('3. Enablement evidence'!$A$2:$A$400,$A39,'3. Enablement evidence'!$C$2:$C$400,"Published standard",'3. Enablement evidence'!$G$2:$G$400,"Yes")=1,COUNTIFS('3. Enablement evidence'!$A$2:$A$400,$A39,'3. Enablement evidence'!$C$2:$C$400,"Architecture pattern document",'3. Enablement evidence'!$G$2:$G$400,"Yes")+COUNTIFS('3. Enablement evidence'!$A$2:$A$400,$A39,'3. Enablement evidence'!$C$2:$C$400,"Reference architecture",'3. Enablement evidence'!$G$2:$G$400,"Yes")&gt;=1),3,IF(COUNTIFS('3. Enablement evidence'!$A$2:$A$400,$A39,'3. Enablement evidence'!$D$2:$D$400,"Generic",'3. Enablement evidence'!$G$2:$G$400,"Yes")&gt;=1,2,1))))))</f>
        <v/>
      </c>
      <c r="J39" s="20" t="inlineStr"/>
      <c r="K39" s="23" t="inlineStr">
        <is>
          <t>Candidate</t>
        </is>
      </c>
      <c r="L39" s="24" t="inlineStr"/>
      <c r="M39" s="25" t="inlineStr"/>
      <c r="N39" s="20" t="inlineStr"/>
      <c r="O39" s="14" t="inlineStr"/>
    </row>
    <row r="40" ht="26" customHeight="1">
      <c r="A40" s="26" t="inlineStr">
        <is>
          <t>REAL-230</t>
        </is>
      </c>
      <c r="B40" s="26" t="inlineStr">
        <is>
          <t>3.6</t>
        </is>
      </c>
      <c r="C40" s="23" t="inlineStr"/>
      <c r="D40" s="27" t="inlineStr">
        <is>
          <t>S3.3 Rank Fusion Service</t>
        </is>
      </c>
      <c r="E40" s="27" t="inlineStr"/>
      <c r="F40" s="20" t="inlineStr"/>
      <c r="G40" s="20" t="inlineStr"/>
      <c r="H40" s="18" t="n"/>
      <c r="I40" s="19">
        <f>IF(COUNTIFS('3. Enablement evidence'!$A$2:$A$400,$A40,'3. Enablement evidence'!$D$2:$D$400,"Generic")=0,"",IF(COUNTIFS('3. Enablement evidence'!$A$2:$A$400,$A40,'3. Enablement evidence'!$D$2:$D$400,"Generic",'3. Enablement evidence'!$G$2:$G$400,"Yes")+COUNTIFS('3. Enablement evidence'!$A$2:$A$400,$A40,'3. Enablement evidence'!$D$2:$D$400,"Generic",'3. Enablement evidence'!$G$2:$G$400,"No")+COUNTIFS('3. Enablement evidence'!$A$2:$A$400,$A40,'3. Enablement evidence'!$D$2:$D$400,"Generic",'3. Enablement evidence'!$G$2:$G$400,"Partial")=0,"no evidence",IF(COUNTIFS('3. Enablement evidence'!$A$2:$A$400,$A40,'3. Enablement evidence'!$D$2:$D$400,"Generic",'3. Enablement evidence'!$G$2:$G$400,"Yes")+COUNTIFS('3. Enablement evidence'!$A$2:$A$400,$A40,'3. Enablement evidence'!$D$2:$D$400,"Generic",'3. Enablement evidence'!$G$2:$G$400,"No")+COUNTIFS('3. Enablement evidence'!$A$2:$A$400,$A40,'3. Enablement evidence'!$D$2:$D$400,"Generic",'3. Enablement evidence'!$G$2:$G$400,"Partial")&lt;COUNTIFS('3. Enablement evidence'!$A$2:$A$400,$A40,'3. Enablement evidence'!$D$2:$D$400,"Generic"),"incomplete "&amp;COUNTIFS('3. Enablement evidence'!$A$2:$A$400,$A40,'3. Enablement evidence'!$D$2:$D$400,"Generic",'3. Enablement evidence'!$G$2:$G$400,"Yes")&amp;"/"&amp;COUNTIFS('3. Enablement evidence'!$A$2:$A$400,$A40,'3. Enablement evidence'!$D$2:$D$400,"Generic"),IF(COUNTIFS('3. Enablement evidence'!$A$2:$A$400,$A40,'3. Enablement evidence'!$D$2:$D$400,"Generic",'3. Enablement evidence'!$G$2:$G$400,"Yes")&gt;=8,4,IF(AND(COUNTIFS('3. Enablement evidence'!$A$2:$A$400,$A40,'3. Enablement evidence'!$C$2:$C$400,"Published standard",'3. Enablement evidence'!$G$2:$G$400,"Yes")=1,COUNTIFS('3. Enablement evidence'!$A$2:$A$400,$A40,'3. Enablement evidence'!$C$2:$C$400,"Architecture pattern document",'3. Enablement evidence'!$G$2:$G$400,"Yes")+COUNTIFS('3. Enablement evidence'!$A$2:$A$400,$A40,'3. Enablement evidence'!$C$2:$C$400,"Reference architecture",'3. Enablement evidence'!$G$2:$G$400,"Yes")&gt;=1),3,IF(COUNTIFS('3. Enablement evidence'!$A$2:$A$400,$A40,'3. Enablement evidence'!$D$2:$D$400,"Generic",'3. Enablement evidence'!$G$2:$G$400,"Yes")&gt;=1,2,1))))))</f>
        <v/>
      </c>
      <c r="J40" s="20" t="inlineStr"/>
      <c r="K40" s="23" t="inlineStr">
        <is>
          <t>Candidate</t>
        </is>
      </c>
      <c r="L40" s="24" t="inlineStr"/>
      <c r="M40" s="25" t="inlineStr"/>
      <c r="N40" s="20" t="inlineStr"/>
      <c r="O40" s="14" t="inlineStr"/>
    </row>
    <row r="41" ht="26" customHeight="1">
      <c r="A41" s="26" t="inlineStr">
        <is>
          <t>REAL-231</t>
        </is>
      </c>
      <c r="B41" s="26" t="inlineStr">
        <is>
          <t>3.6</t>
        </is>
      </c>
      <c r="C41" s="23" t="inlineStr"/>
      <c r="D41" s="27" t="inlineStr">
        <is>
          <t>S3.4 Semantic Reranking</t>
        </is>
      </c>
      <c r="E41" s="27" t="inlineStr"/>
      <c r="F41" s="20" t="inlineStr"/>
      <c r="G41" s="20" t="inlineStr"/>
      <c r="H41" s="18" t="n"/>
      <c r="I41" s="19">
        <f>IF(COUNTIFS('3. Enablement evidence'!$A$2:$A$400,$A41,'3. Enablement evidence'!$D$2:$D$400,"Generic")=0,"",IF(COUNTIFS('3. Enablement evidence'!$A$2:$A$400,$A41,'3. Enablement evidence'!$D$2:$D$400,"Generic",'3. Enablement evidence'!$G$2:$G$400,"Yes")+COUNTIFS('3. Enablement evidence'!$A$2:$A$400,$A41,'3. Enablement evidence'!$D$2:$D$400,"Generic",'3. Enablement evidence'!$G$2:$G$400,"No")+COUNTIFS('3. Enablement evidence'!$A$2:$A$400,$A41,'3. Enablement evidence'!$D$2:$D$400,"Generic",'3. Enablement evidence'!$G$2:$G$400,"Partial")=0,"no evidence",IF(COUNTIFS('3. Enablement evidence'!$A$2:$A$400,$A41,'3. Enablement evidence'!$D$2:$D$400,"Generic",'3. Enablement evidence'!$G$2:$G$400,"Yes")+COUNTIFS('3. Enablement evidence'!$A$2:$A$400,$A41,'3. Enablement evidence'!$D$2:$D$400,"Generic",'3. Enablement evidence'!$G$2:$G$400,"No")+COUNTIFS('3. Enablement evidence'!$A$2:$A$400,$A41,'3. Enablement evidence'!$D$2:$D$400,"Generic",'3. Enablement evidence'!$G$2:$G$400,"Partial")&lt;COUNTIFS('3. Enablement evidence'!$A$2:$A$400,$A41,'3. Enablement evidence'!$D$2:$D$400,"Generic"),"incomplete "&amp;COUNTIFS('3. Enablement evidence'!$A$2:$A$400,$A41,'3. Enablement evidence'!$D$2:$D$400,"Generic",'3. Enablement evidence'!$G$2:$G$400,"Yes")&amp;"/"&amp;COUNTIFS('3. Enablement evidence'!$A$2:$A$400,$A41,'3. Enablement evidence'!$D$2:$D$400,"Generic"),IF(COUNTIFS('3. Enablement evidence'!$A$2:$A$400,$A41,'3. Enablement evidence'!$D$2:$D$400,"Generic",'3. Enablement evidence'!$G$2:$G$400,"Yes")&gt;=8,4,IF(AND(COUNTIFS('3. Enablement evidence'!$A$2:$A$400,$A41,'3. Enablement evidence'!$C$2:$C$400,"Published standard",'3. Enablement evidence'!$G$2:$G$400,"Yes")=1,COUNTIFS('3. Enablement evidence'!$A$2:$A$400,$A41,'3. Enablement evidence'!$C$2:$C$400,"Architecture pattern document",'3. Enablement evidence'!$G$2:$G$400,"Yes")+COUNTIFS('3. Enablement evidence'!$A$2:$A$400,$A41,'3. Enablement evidence'!$C$2:$C$400,"Reference architecture",'3. Enablement evidence'!$G$2:$G$400,"Yes")&gt;=1),3,IF(COUNTIFS('3. Enablement evidence'!$A$2:$A$400,$A41,'3. Enablement evidence'!$D$2:$D$400,"Generic",'3. Enablement evidence'!$G$2:$G$400,"Yes")&gt;=1,2,1))))))</f>
        <v/>
      </c>
      <c r="J41" s="20" t="inlineStr"/>
      <c r="K41" s="23" t="inlineStr">
        <is>
          <t>Candidate</t>
        </is>
      </c>
      <c r="L41" s="24" t="inlineStr"/>
      <c r="M41" s="25" t="inlineStr"/>
      <c r="N41" s="20" t="inlineStr"/>
      <c r="O41" s="14" t="inlineStr"/>
    </row>
    <row r="42" ht="26" customHeight="1">
      <c r="A42" s="26" t="inlineStr">
        <is>
          <t>REAL-232</t>
        </is>
      </c>
      <c r="B42" s="26" t="inlineStr">
        <is>
          <t>3.6</t>
        </is>
      </c>
      <c r="C42" s="23" t="inlineStr"/>
      <c r="D42" s="27" t="inlineStr">
        <is>
          <t>S3.5 Query Understanding, Rewriting &amp; Decomposition</t>
        </is>
      </c>
      <c r="E42" s="27" t="inlineStr"/>
      <c r="F42" s="20" t="inlineStr"/>
      <c r="G42" s="20" t="inlineStr"/>
      <c r="H42" s="18" t="n"/>
      <c r="I42" s="19">
        <f>IF(COUNTIFS('3. Enablement evidence'!$A$2:$A$400,$A42,'3. Enablement evidence'!$D$2:$D$400,"Generic")=0,"",IF(COUNTIFS('3. Enablement evidence'!$A$2:$A$400,$A42,'3. Enablement evidence'!$D$2:$D$400,"Generic",'3. Enablement evidence'!$G$2:$G$400,"Yes")+COUNTIFS('3. Enablement evidence'!$A$2:$A$400,$A42,'3. Enablement evidence'!$D$2:$D$400,"Generic",'3. Enablement evidence'!$G$2:$G$400,"No")+COUNTIFS('3. Enablement evidence'!$A$2:$A$400,$A42,'3. Enablement evidence'!$D$2:$D$400,"Generic",'3. Enablement evidence'!$G$2:$G$400,"Partial")=0,"no evidence",IF(COUNTIFS('3. Enablement evidence'!$A$2:$A$400,$A42,'3. Enablement evidence'!$D$2:$D$400,"Generic",'3. Enablement evidence'!$G$2:$G$400,"Yes")+COUNTIFS('3. Enablement evidence'!$A$2:$A$400,$A42,'3. Enablement evidence'!$D$2:$D$400,"Generic",'3. Enablement evidence'!$G$2:$G$400,"No")+COUNTIFS('3. Enablement evidence'!$A$2:$A$400,$A42,'3. Enablement evidence'!$D$2:$D$400,"Generic",'3. Enablement evidence'!$G$2:$G$400,"Partial")&lt;COUNTIFS('3. Enablement evidence'!$A$2:$A$400,$A42,'3. Enablement evidence'!$D$2:$D$400,"Generic"),"incomplete "&amp;COUNTIFS('3. Enablement evidence'!$A$2:$A$400,$A42,'3. Enablement evidence'!$D$2:$D$400,"Generic",'3. Enablement evidence'!$G$2:$G$400,"Yes")&amp;"/"&amp;COUNTIFS('3. Enablement evidence'!$A$2:$A$400,$A42,'3. Enablement evidence'!$D$2:$D$400,"Generic"),IF(COUNTIFS('3. Enablement evidence'!$A$2:$A$400,$A42,'3. Enablement evidence'!$D$2:$D$400,"Generic",'3. Enablement evidence'!$G$2:$G$400,"Yes")&gt;=8,4,IF(AND(COUNTIFS('3. Enablement evidence'!$A$2:$A$400,$A42,'3. Enablement evidence'!$C$2:$C$400,"Published standard",'3. Enablement evidence'!$G$2:$G$400,"Yes")=1,COUNTIFS('3. Enablement evidence'!$A$2:$A$400,$A42,'3. Enablement evidence'!$C$2:$C$400,"Architecture pattern document",'3. Enablement evidence'!$G$2:$G$400,"Yes")+COUNTIFS('3. Enablement evidence'!$A$2:$A$400,$A42,'3. Enablement evidence'!$C$2:$C$400,"Reference architecture",'3. Enablement evidence'!$G$2:$G$400,"Yes")&gt;=1),3,IF(COUNTIFS('3. Enablement evidence'!$A$2:$A$400,$A42,'3. Enablement evidence'!$D$2:$D$400,"Generic",'3. Enablement evidence'!$G$2:$G$400,"Yes")&gt;=1,2,1))))))</f>
        <v/>
      </c>
      <c r="J42" s="20" t="inlineStr"/>
      <c r="K42" s="23" t="inlineStr">
        <is>
          <t>Candidate</t>
        </is>
      </c>
      <c r="L42" s="24" t="inlineStr"/>
      <c r="M42" s="25" t="inlineStr"/>
      <c r="N42" s="20" t="inlineStr"/>
      <c r="O42" s="14" t="inlineStr"/>
    </row>
    <row r="43" ht="26" customHeight="1">
      <c r="A43" s="26" t="inlineStr">
        <is>
          <t>REAL-233</t>
        </is>
      </c>
      <c r="B43" s="26" t="inlineStr">
        <is>
          <t>3.6</t>
        </is>
      </c>
      <c r="C43" s="23" t="inlineStr">
        <is>
          <t>7.2</t>
        </is>
      </c>
      <c r="D43" s="27" t="inlineStr">
        <is>
          <t>S3.12 Grounding, Citation &amp; Attribution</t>
        </is>
      </c>
      <c r="E43" s="27" t="inlineStr"/>
      <c r="F43" s="20" t="inlineStr"/>
      <c r="G43" s="20" t="inlineStr"/>
      <c r="H43" s="18" t="n"/>
      <c r="I43" s="19">
        <f>IF(COUNTIFS('3. Enablement evidence'!$A$2:$A$400,$A43,'3. Enablement evidence'!$D$2:$D$400,"Generic")=0,"",IF(COUNTIFS('3. Enablement evidence'!$A$2:$A$400,$A43,'3. Enablement evidence'!$D$2:$D$400,"Generic",'3. Enablement evidence'!$G$2:$G$400,"Yes")+COUNTIFS('3. Enablement evidence'!$A$2:$A$400,$A43,'3. Enablement evidence'!$D$2:$D$400,"Generic",'3. Enablement evidence'!$G$2:$G$400,"No")+COUNTIFS('3. Enablement evidence'!$A$2:$A$400,$A43,'3. Enablement evidence'!$D$2:$D$400,"Generic",'3. Enablement evidence'!$G$2:$G$400,"Partial")=0,"no evidence",IF(COUNTIFS('3. Enablement evidence'!$A$2:$A$400,$A43,'3. Enablement evidence'!$D$2:$D$400,"Generic",'3. Enablement evidence'!$G$2:$G$400,"Yes")+COUNTIFS('3. Enablement evidence'!$A$2:$A$400,$A43,'3. Enablement evidence'!$D$2:$D$400,"Generic",'3. Enablement evidence'!$G$2:$G$400,"No")+COUNTIFS('3. Enablement evidence'!$A$2:$A$400,$A43,'3. Enablement evidence'!$D$2:$D$400,"Generic",'3. Enablement evidence'!$G$2:$G$400,"Partial")&lt;COUNTIFS('3. Enablement evidence'!$A$2:$A$400,$A43,'3. Enablement evidence'!$D$2:$D$400,"Generic"),"incomplete "&amp;COUNTIFS('3. Enablement evidence'!$A$2:$A$400,$A43,'3. Enablement evidence'!$D$2:$D$400,"Generic",'3. Enablement evidence'!$G$2:$G$400,"Yes")&amp;"/"&amp;COUNTIFS('3. Enablement evidence'!$A$2:$A$400,$A43,'3. Enablement evidence'!$D$2:$D$400,"Generic"),IF(COUNTIFS('3. Enablement evidence'!$A$2:$A$400,$A43,'3. Enablement evidence'!$D$2:$D$400,"Generic",'3. Enablement evidence'!$G$2:$G$400,"Yes")&gt;=8,4,IF(AND(COUNTIFS('3. Enablement evidence'!$A$2:$A$400,$A43,'3. Enablement evidence'!$C$2:$C$400,"Published standard",'3. Enablement evidence'!$G$2:$G$400,"Yes")=1,COUNTIFS('3. Enablement evidence'!$A$2:$A$400,$A43,'3. Enablement evidence'!$C$2:$C$400,"Architecture pattern document",'3. Enablement evidence'!$G$2:$G$400,"Yes")+COUNTIFS('3. Enablement evidence'!$A$2:$A$400,$A43,'3. Enablement evidence'!$C$2:$C$400,"Reference architecture",'3. Enablement evidence'!$G$2:$G$400,"Yes")&gt;=1),3,IF(COUNTIFS('3. Enablement evidence'!$A$2:$A$400,$A43,'3. Enablement evidence'!$D$2:$D$400,"Generic",'3. Enablement evidence'!$G$2:$G$400,"Yes")&gt;=1,2,1))))))</f>
        <v/>
      </c>
      <c r="J43" s="20" t="inlineStr"/>
      <c r="K43" s="23" t="inlineStr">
        <is>
          <t>Candidate</t>
        </is>
      </c>
      <c r="L43" s="24" t="inlineStr"/>
      <c r="M43" s="25" t="inlineStr"/>
      <c r="N43" s="20" t="inlineStr"/>
      <c r="O43" s="14" t="inlineStr"/>
    </row>
    <row r="44" ht="26" customHeight="1">
      <c r="A44" s="26" t="inlineStr">
        <is>
          <t>REAL-234</t>
        </is>
      </c>
      <c r="B44" s="26" t="inlineStr">
        <is>
          <t>3.6</t>
        </is>
      </c>
      <c r="C44" s="23" t="inlineStr"/>
      <c r="D44" s="27" t="inlineStr">
        <is>
          <t>S3.14 Recommendation &amp; Similarity Matching</t>
        </is>
      </c>
      <c r="E44" s="27" t="inlineStr"/>
      <c r="F44" s="20" t="inlineStr"/>
      <c r="G44" s="20" t="inlineStr"/>
      <c r="H44" s="18" t="n"/>
      <c r="I44" s="19">
        <f>IF(COUNTIFS('3. Enablement evidence'!$A$2:$A$400,$A44,'3. Enablement evidence'!$D$2:$D$400,"Generic")=0,"",IF(COUNTIFS('3. Enablement evidence'!$A$2:$A$400,$A44,'3. Enablement evidence'!$D$2:$D$400,"Generic",'3. Enablement evidence'!$G$2:$G$400,"Yes")+COUNTIFS('3. Enablement evidence'!$A$2:$A$400,$A44,'3. Enablement evidence'!$D$2:$D$400,"Generic",'3. Enablement evidence'!$G$2:$G$400,"No")+COUNTIFS('3. Enablement evidence'!$A$2:$A$400,$A44,'3. Enablement evidence'!$D$2:$D$400,"Generic",'3. Enablement evidence'!$G$2:$G$400,"Partial")=0,"no evidence",IF(COUNTIFS('3. Enablement evidence'!$A$2:$A$400,$A44,'3. Enablement evidence'!$D$2:$D$400,"Generic",'3. Enablement evidence'!$G$2:$G$400,"Yes")+COUNTIFS('3. Enablement evidence'!$A$2:$A$400,$A44,'3. Enablement evidence'!$D$2:$D$400,"Generic",'3. Enablement evidence'!$G$2:$G$400,"No")+COUNTIFS('3. Enablement evidence'!$A$2:$A$400,$A44,'3. Enablement evidence'!$D$2:$D$400,"Generic",'3. Enablement evidence'!$G$2:$G$400,"Partial")&lt;COUNTIFS('3. Enablement evidence'!$A$2:$A$400,$A44,'3. Enablement evidence'!$D$2:$D$400,"Generic"),"incomplete "&amp;COUNTIFS('3. Enablement evidence'!$A$2:$A$400,$A44,'3. Enablement evidence'!$D$2:$D$400,"Generic",'3. Enablement evidence'!$G$2:$G$400,"Yes")&amp;"/"&amp;COUNTIFS('3. Enablement evidence'!$A$2:$A$400,$A44,'3. Enablement evidence'!$D$2:$D$400,"Generic"),IF(COUNTIFS('3. Enablement evidence'!$A$2:$A$400,$A44,'3. Enablement evidence'!$D$2:$D$400,"Generic",'3. Enablement evidence'!$G$2:$G$400,"Yes")&gt;=8,4,IF(AND(COUNTIFS('3. Enablement evidence'!$A$2:$A$400,$A44,'3. Enablement evidence'!$C$2:$C$400,"Published standard",'3. Enablement evidence'!$G$2:$G$400,"Yes")=1,COUNTIFS('3. Enablement evidence'!$A$2:$A$400,$A44,'3. Enablement evidence'!$C$2:$C$400,"Architecture pattern document",'3. Enablement evidence'!$G$2:$G$400,"Yes")+COUNTIFS('3. Enablement evidence'!$A$2:$A$400,$A44,'3. Enablement evidence'!$C$2:$C$400,"Reference architecture",'3. Enablement evidence'!$G$2:$G$400,"Yes")&gt;=1),3,IF(COUNTIFS('3. Enablement evidence'!$A$2:$A$400,$A44,'3. Enablement evidence'!$D$2:$D$400,"Generic",'3. Enablement evidence'!$G$2:$G$400,"Yes")&gt;=1,2,1))))))</f>
        <v/>
      </c>
      <c r="J44" s="20" t="inlineStr"/>
      <c r="K44" s="23" t="inlineStr">
        <is>
          <t>Candidate</t>
        </is>
      </c>
      <c r="L44" s="24" t="inlineStr"/>
      <c r="M44" s="25" t="inlineStr"/>
      <c r="N44" s="20" t="inlineStr"/>
      <c r="O44" s="14" t="inlineStr"/>
    </row>
    <row r="45" ht="26" customHeight="1">
      <c r="A45" s="26" t="inlineStr">
        <is>
          <t>REAL-235</t>
        </is>
      </c>
      <c r="B45" s="26" t="inlineStr">
        <is>
          <t>3.5</t>
        </is>
      </c>
      <c r="C45" s="23" t="inlineStr"/>
      <c r="D45" s="27" t="inlineStr">
        <is>
          <t>S3.15 Governed Corpus Serving</t>
        </is>
      </c>
      <c r="E45" s="27" t="inlineStr"/>
      <c r="F45" s="20" t="inlineStr"/>
      <c r="G45" s="20" t="inlineStr"/>
      <c r="H45" s="18" t="n"/>
      <c r="I45" s="19">
        <f>IF(COUNTIFS('3. Enablement evidence'!$A$2:$A$400,$A45,'3. Enablement evidence'!$D$2:$D$400,"Generic")=0,"",IF(COUNTIFS('3. Enablement evidence'!$A$2:$A$400,$A45,'3. Enablement evidence'!$D$2:$D$400,"Generic",'3. Enablement evidence'!$G$2:$G$400,"Yes")+COUNTIFS('3. Enablement evidence'!$A$2:$A$400,$A45,'3. Enablement evidence'!$D$2:$D$400,"Generic",'3. Enablement evidence'!$G$2:$G$400,"No")+COUNTIFS('3. Enablement evidence'!$A$2:$A$400,$A45,'3. Enablement evidence'!$D$2:$D$400,"Generic",'3. Enablement evidence'!$G$2:$G$400,"Partial")=0,"no evidence",IF(COUNTIFS('3. Enablement evidence'!$A$2:$A$400,$A45,'3. Enablement evidence'!$D$2:$D$400,"Generic",'3. Enablement evidence'!$G$2:$G$400,"Yes")+COUNTIFS('3. Enablement evidence'!$A$2:$A$400,$A45,'3. Enablement evidence'!$D$2:$D$400,"Generic",'3. Enablement evidence'!$G$2:$G$400,"No")+COUNTIFS('3. Enablement evidence'!$A$2:$A$400,$A45,'3. Enablement evidence'!$D$2:$D$400,"Generic",'3. Enablement evidence'!$G$2:$G$400,"Partial")&lt;COUNTIFS('3. Enablement evidence'!$A$2:$A$400,$A45,'3. Enablement evidence'!$D$2:$D$400,"Generic"),"incomplete "&amp;COUNTIFS('3. Enablement evidence'!$A$2:$A$400,$A45,'3. Enablement evidence'!$D$2:$D$400,"Generic",'3. Enablement evidence'!$G$2:$G$400,"Yes")&amp;"/"&amp;COUNTIFS('3. Enablement evidence'!$A$2:$A$400,$A45,'3. Enablement evidence'!$D$2:$D$400,"Generic"),IF(COUNTIFS('3. Enablement evidence'!$A$2:$A$400,$A45,'3. Enablement evidence'!$D$2:$D$400,"Generic",'3. Enablement evidence'!$G$2:$G$400,"Yes")&gt;=8,4,IF(AND(COUNTIFS('3. Enablement evidence'!$A$2:$A$400,$A45,'3. Enablement evidence'!$C$2:$C$400,"Published standard",'3. Enablement evidence'!$G$2:$G$400,"Yes")=1,COUNTIFS('3. Enablement evidence'!$A$2:$A$400,$A45,'3. Enablement evidence'!$C$2:$C$400,"Architecture pattern document",'3. Enablement evidence'!$G$2:$G$400,"Yes")+COUNTIFS('3. Enablement evidence'!$A$2:$A$400,$A45,'3. Enablement evidence'!$C$2:$C$400,"Reference architecture",'3. Enablement evidence'!$G$2:$G$400,"Yes")&gt;=1),3,IF(COUNTIFS('3. Enablement evidence'!$A$2:$A$400,$A45,'3. Enablement evidence'!$D$2:$D$400,"Generic",'3. Enablement evidence'!$G$2:$G$400,"Yes")&gt;=1,2,1))))))</f>
        <v/>
      </c>
      <c r="J45" s="20" t="inlineStr"/>
      <c r="K45" s="23" t="inlineStr">
        <is>
          <t>Candidate</t>
        </is>
      </c>
      <c r="L45" s="24" t="inlineStr"/>
      <c r="M45" s="25" t="inlineStr"/>
      <c r="N45" s="20" t="inlineStr"/>
      <c r="O45" s="14" t="inlineStr"/>
    </row>
    <row r="46" ht="26" customHeight="1">
      <c r="A46" s="26" t="inlineStr">
        <is>
          <t>REAL-236</t>
        </is>
      </c>
      <c r="B46" s="26" t="inlineStr"/>
      <c r="C46" s="23" t="inlineStr"/>
      <c r="D46" s="27" t="inlineStr">
        <is>
          <t>S4.1 Classification &amp; Scoring</t>
        </is>
      </c>
      <c r="E46" s="27" t="inlineStr"/>
      <c r="F46" s="20" t="inlineStr"/>
      <c r="G46" s="20" t="inlineStr"/>
      <c r="H46" s="18" t="n"/>
      <c r="I46" s="19">
        <f>IF(COUNTIFS('3. Enablement evidence'!$A$2:$A$400,$A46,'3. Enablement evidence'!$D$2:$D$400,"Generic")=0,"",IF(COUNTIFS('3. Enablement evidence'!$A$2:$A$400,$A46,'3. Enablement evidence'!$D$2:$D$400,"Generic",'3. Enablement evidence'!$G$2:$G$400,"Yes")+COUNTIFS('3. Enablement evidence'!$A$2:$A$400,$A46,'3. Enablement evidence'!$D$2:$D$400,"Generic",'3. Enablement evidence'!$G$2:$G$400,"No")+COUNTIFS('3. Enablement evidence'!$A$2:$A$400,$A46,'3. Enablement evidence'!$D$2:$D$400,"Generic",'3. Enablement evidence'!$G$2:$G$400,"Partial")=0,"no evidence",IF(COUNTIFS('3. Enablement evidence'!$A$2:$A$400,$A46,'3. Enablement evidence'!$D$2:$D$400,"Generic",'3. Enablement evidence'!$G$2:$G$400,"Yes")+COUNTIFS('3. Enablement evidence'!$A$2:$A$400,$A46,'3. Enablement evidence'!$D$2:$D$400,"Generic",'3. Enablement evidence'!$G$2:$G$400,"No")+COUNTIFS('3. Enablement evidence'!$A$2:$A$400,$A46,'3. Enablement evidence'!$D$2:$D$400,"Generic",'3. Enablement evidence'!$G$2:$G$400,"Partial")&lt;COUNTIFS('3. Enablement evidence'!$A$2:$A$400,$A46,'3. Enablement evidence'!$D$2:$D$400,"Generic"),"incomplete "&amp;COUNTIFS('3. Enablement evidence'!$A$2:$A$400,$A46,'3. Enablement evidence'!$D$2:$D$400,"Generic",'3. Enablement evidence'!$G$2:$G$400,"Yes")&amp;"/"&amp;COUNTIFS('3. Enablement evidence'!$A$2:$A$400,$A46,'3. Enablement evidence'!$D$2:$D$400,"Generic"),IF(COUNTIFS('3. Enablement evidence'!$A$2:$A$400,$A46,'3. Enablement evidence'!$D$2:$D$400,"Generic",'3. Enablement evidence'!$G$2:$G$400,"Yes")&gt;=8,4,IF(AND(COUNTIFS('3. Enablement evidence'!$A$2:$A$400,$A46,'3. Enablement evidence'!$C$2:$C$400,"Published standard",'3. Enablement evidence'!$G$2:$G$400,"Yes")=1,COUNTIFS('3. Enablement evidence'!$A$2:$A$400,$A46,'3. Enablement evidence'!$C$2:$C$400,"Architecture pattern document",'3. Enablement evidence'!$G$2:$G$400,"Yes")+COUNTIFS('3. Enablement evidence'!$A$2:$A$400,$A46,'3. Enablement evidence'!$C$2:$C$400,"Reference architecture",'3. Enablement evidence'!$G$2:$G$400,"Yes")&gt;=1),3,IF(COUNTIFS('3. Enablement evidence'!$A$2:$A$400,$A46,'3. Enablement evidence'!$D$2:$D$400,"Generic",'3. Enablement evidence'!$G$2:$G$400,"Yes")&gt;=1,2,1))))))</f>
        <v/>
      </c>
      <c r="J46" s="20" t="inlineStr"/>
      <c r="K46" s="23" t="inlineStr">
        <is>
          <t>Candidate</t>
        </is>
      </c>
      <c r="L46" s="24" t="inlineStr"/>
      <c r="M46" s="25" t="inlineStr"/>
      <c r="N46" s="20" t="inlineStr"/>
      <c r="O46" s="14" t="inlineStr"/>
    </row>
    <row r="47" ht="26" customHeight="1">
      <c r="A47" s="26" t="inlineStr">
        <is>
          <t>REAL-237</t>
        </is>
      </c>
      <c r="B47" s="26" t="inlineStr"/>
      <c r="C47" s="23" t="inlineStr"/>
      <c r="D47" s="27" t="inlineStr">
        <is>
          <t>S4.2 Regression &amp; Estimation</t>
        </is>
      </c>
      <c r="E47" s="27" t="inlineStr"/>
      <c r="F47" s="20" t="inlineStr"/>
      <c r="G47" s="20" t="inlineStr"/>
      <c r="H47" s="18" t="n"/>
      <c r="I47" s="19">
        <f>IF(COUNTIFS('3. Enablement evidence'!$A$2:$A$400,$A47,'3. Enablement evidence'!$D$2:$D$400,"Generic")=0,"",IF(COUNTIFS('3. Enablement evidence'!$A$2:$A$400,$A47,'3. Enablement evidence'!$D$2:$D$400,"Generic",'3. Enablement evidence'!$G$2:$G$400,"Yes")+COUNTIFS('3. Enablement evidence'!$A$2:$A$400,$A47,'3. Enablement evidence'!$D$2:$D$400,"Generic",'3. Enablement evidence'!$G$2:$G$400,"No")+COUNTIFS('3. Enablement evidence'!$A$2:$A$400,$A47,'3. Enablement evidence'!$D$2:$D$400,"Generic",'3. Enablement evidence'!$G$2:$G$400,"Partial")=0,"no evidence",IF(COUNTIFS('3. Enablement evidence'!$A$2:$A$400,$A47,'3. Enablement evidence'!$D$2:$D$400,"Generic",'3. Enablement evidence'!$G$2:$G$400,"Yes")+COUNTIFS('3. Enablement evidence'!$A$2:$A$400,$A47,'3. Enablement evidence'!$D$2:$D$400,"Generic",'3. Enablement evidence'!$G$2:$G$400,"No")+COUNTIFS('3. Enablement evidence'!$A$2:$A$400,$A47,'3. Enablement evidence'!$D$2:$D$400,"Generic",'3. Enablement evidence'!$G$2:$G$400,"Partial")&lt;COUNTIFS('3. Enablement evidence'!$A$2:$A$400,$A47,'3. Enablement evidence'!$D$2:$D$400,"Generic"),"incomplete "&amp;COUNTIFS('3. Enablement evidence'!$A$2:$A$400,$A47,'3. Enablement evidence'!$D$2:$D$400,"Generic",'3. Enablement evidence'!$G$2:$G$400,"Yes")&amp;"/"&amp;COUNTIFS('3. Enablement evidence'!$A$2:$A$400,$A47,'3. Enablement evidence'!$D$2:$D$400,"Generic"),IF(COUNTIFS('3. Enablement evidence'!$A$2:$A$400,$A47,'3. Enablement evidence'!$D$2:$D$400,"Generic",'3. Enablement evidence'!$G$2:$G$400,"Yes")&gt;=8,4,IF(AND(COUNTIFS('3. Enablement evidence'!$A$2:$A$400,$A47,'3. Enablement evidence'!$C$2:$C$400,"Published standard",'3. Enablement evidence'!$G$2:$G$400,"Yes")=1,COUNTIFS('3. Enablement evidence'!$A$2:$A$400,$A47,'3. Enablement evidence'!$C$2:$C$400,"Architecture pattern document",'3. Enablement evidence'!$G$2:$G$400,"Yes")+COUNTIFS('3. Enablement evidence'!$A$2:$A$400,$A47,'3. Enablement evidence'!$C$2:$C$400,"Reference architecture",'3. Enablement evidence'!$G$2:$G$400,"Yes")&gt;=1),3,IF(COUNTIFS('3. Enablement evidence'!$A$2:$A$400,$A47,'3. Enablement evidence'!$D$2:$D$400,"Generic",'3. Enablement evidence'!$G$2:$G$400,"Yes")&gt;=1,2,1))))))</f>
        <v/>
      </c>
      <c r="J47" s="20" t="inlineStr"/>
      <c r="K47" s="23" t="inlineStr">
        <is>
          <t>Candidate</t>
        </is>
      </c>
      <c r="L47" s="24" t="inlineStr"/>
      <c r="M47" s="25" t="inlineStr"/>
      <c r="N47" s="20" t="inlineStr"/>
      <c r="O47" s="14" t="inlineStr"/>
    </row>
    <row r="48" ht="26" customHeight="1">
      <c r="A48" s="26" t="inlineStr">
        <is>
          <t>REAL-238</t>
        </is>
      </c>
      <c r="B48" s="26" t="inlineStr"/>
      <c r="C48" s="23" t="inlineStr"/>
      <c r="D48" s="27" t="inlineStr">
        <is>
          <t>S4.3 Time-Series Forecasting</t>
        </is>
      </c>
      <c r="E48" s="27" t="inlineStr"/>
      <c r="F48" s="20" t="inlineStr"/>
      <c r="G48" s="20" t="inlineStr"/>
      <c r="H48" s="18" t="n"/>
      <c r="I48" s="19">
        <f>IF(COUNTIFS('3. Enablement evidence'!$A$2:$A$400,$A48,'3. Enablement evidence'!$D$2:$D$400,"Generic")=0,"",IF(COUNTIFS('3. Enablement evidence'!$A$2:$A$400,$A48,'3. Enablement evidence'!$D$2:$D$400,"Generic",'3. Enablement evidence'!$G$2:$G$400,"Yes")+COUNTIFS('3. Enablement evidence'!$A$2:$A$400,$A48,'3. Enablement evidence'!$D$2:$D$400,"Generic",'3. Enablement evidence'!$G$2:$G$400,"No")+COUNTIFS('3. Enablement evidence'!$A$2:$A$400,$A48,'3. Enablement evidence'!$D$2:$D$400,"Generic",'3. Enablement evidence'!$G$2:$G$400,"Partial")=0,"no evidence",IF(COUNTIFS('3. Enablement evidence'!$A$2:$A$400,$A48,'3. Enablement evidence'!$D$2:$D$400,"Generic",'3. Enablement evidence'!$G$2:$G$400,"Yes")+COUNTIFS('3. Enablement evidence'!$A$2:$A$400,$A48,'3. Enablement evidence'!$D$2:$D$400,"Generic",'3. Enablement evidence'!$G$2:$G$400,"No")+COUNTIFS('3. Enablement evidence'!$A$2:$A$400,$A48,'3. Enablement evidence'!$D$2:$D$400,"Generic",'3. Enablement evidence'!$G$2:$G$400,"Partial")&lt;COUNTIFS('3. Enablement evidence'!$A$2:$A$400,$A48,'3. Enablement evidence'!$D$2:$D$400,"Generic"),"incomplete "&amp;COUNTIFS('3. Enablement evidence'!$A$2:$A$400,$A48,'3. Enablement evidence'!$D$2:$D$400,"Generic",'3. Enablement evidence'!$G$2:$G$400,"Yes")&amp;"/"&amp;COUNTIFS('3. Enablement evidence'!$A$2:$A$400,$A48,'3. Enablement evidence'!$D$2:$D$400,"Generic"),IF(COUNTIFS('3. Enablement evidence'!$A$2:$A$400,$A48,'3. Enablement evidence'!$D$2:$D$400,"Generic",'3. Enablement evidence'!$G$2:$G$400,"Yes")&gt;=8,4,IF(AND(COUNTIFS('3. Enablement evidence'!$A$2:$A$400,$A48,'3. Enablement evidence'!$C$2:$C$400,"Published standard",'3. Enablement evidence'!$G$2:$G$400,"Yes")=1,COUNTIFS('3. Enablement evidence'!$A$2:$A$400,$A48,'3. Enablement evidence'!$C$2:$C$400,"Architecture pattern document",'3. Enablement evidence'!$G$2:$G$400,"Yes")+COUNTIFS('3. Enablement evidence'!$A$2:$A$400,$A48,'3. Enablement evidence'!$C$2:$C$400,"Reference architecture",'3. Enablement evidence'!$G$2:$G$400,"Yes")&gt;=1),3,IF(COUNTIFS('3. Enablement evidence'!$A$2:$A$400,$A48,'3. Enablement evidence'!$D$2:$D$400,"Generic",'3. Enablement evidence'!$G$2:$G$400,"Yes")&gt;=1,2,1))))))</f>
        <v/>
      </c>
      <c r="J48" s="20" t="inlineStr"/>
      <c r="K48" s="23" t="inlineStr">
        <is>
          <t>Candidate</t>
        </is>
      </c>
      <c r="L48" s="24" t="inlineStr"/>
      <c r="M48" s="25" t="inlineStr"/>
      <c r="N48" s="20" t="inlineStr"/>
      <c r="O48" s="14" t="inlineStr"/>
    </row>
    <row r="49" ht="26" customHeight="1">
      <c r="A49" s="26" t="inlineStr">
        <is>
          <t>REAL-239</t>
        </is>
      </c>
      <c r="B49" s="26" t="inlineStr">
        <is>
          <t>6.2</t>
        </is>
      </c>
      <c r="C49" s="23" t="inlineStr">
        <is>
          <t>6.3</t>
        </is>
      </c>
      <c r="D49" s="27" t="inlineStr">
        <is>
          <t>S4.4 Anomaly &amp; Outlier Detection</t>
        </is>
      </c>
      <c r="E49" s="27" t="inlineStr"/>
      <c r="F49" s="20" t="inlineStr"/>
      <c r="G49" s="20" t="inlineStr"/>
      <c r="H49" s="18" t="n"/>
      <c r="I49" s="19">
        <f>IF(COUNTIFS('3. Enablement evidence'!$A$2:$A$400,$A49,'3. Enablement evidence'!$D$2:$D$400,"Generic")=0,"",IF(COUNTIFS('3. Enablement evidence'!$A$2:$A$400,$A49,'3. Enablement evidence'!$D$2:$D$400,"Generic",'3. Enablement evidence'!$G$2:$G$400,"Yes")+COUNTIFS('3. Enablement evidence'!$A$2:$A$400,$A49,'3. Enablement evidence'!$D$2:$D$400,"Generic",'3. Enablement evidence'!$G$2:$G$400,"No")+COUNTIFS('3. Enablement evidence'!$A$2:$A$400,$A49,'3. Enablement evidence'!$D$2:$D$400,"Generic",'3. Enablement evidence'!$G$2:$G$400,"Partial")=0,"no evidence",IF(COUNTIFS('3. Enablement evidence'!$A$2:$A$400,$A49,'3. Enablement evidence'!$D$2:$D$400,"Generic",'3. Enablement evidence'!$G$2:$G$400,"Yes")+COUNTIFS('3. Enablement evidence'!$A$2:$A$400,$A49,'3. Enablement evidence'!$D$2:$D$400,"Generic",'3. Enablement evidence'!$G$2:$G$400,"No")+COUNTIFS('3. Enablement evidence'!$A$2:$A$400,$A49,'3. Enablement evidence'!$D$2:$D$400,"Generic",'3. Enablement evidence'!$G$2:$G$400,"Partial")&lt;COUNTIFS('3. Enablement evidence'!$A$2:$A$400,$A49,'3. Enablement evidence'!$D$2:$D$400,"Generic"),"incomplete "&amp;COUNTIFS('3. Enablement evidence'!$A$2:$A$400,$A49,'3. Enablement evidence'!$D$2:$D$400,"Generic",'3. Enablement evidence'!$G$2:$G$400,"Yes")&amp;"/"&amp;COUNTIFS('3. Enablement evidence'!$A$2:$A$400,$A49,'3. Enablement evidence'!$D$2:$D$400,"Generic"),IF(COUNTIFS('3. Enablement evidence'!$A$2:$A$400,$A49,'3. Enablement evidence'!$D$2:$D$400,"Generic",'3. Enablement evidence'!$G$2:$G$400,"Yes")&gt;=8,4,IF(AND(COUNTIFS('3. Enablement evidence'!$A$2:$A$400,$A49,'3. Enablement evidence'!$C$2:$C$400,"Published standard",'3. Enablement evidence'!$G$2:$G$400,"Yes")=1,COUNTIFS('3. Enablement evidence'!$A$2:$A$400,$A49,'3. Enablement evidence'!$C$2:$C$400,"Architecture pattern document",'3. Enablement evidence'!$G$2:$G$400,"Yes")+COUNTIFS('3. Enablement evidence'!$A$2:$A$400,$A49,'3. Enablement evidence'!$C$2:$C$400,"Reference architecture",'3. Enablement evidence'!$G$2:$G$400,"Yes")&gt;=1),3,IF(COUNTIFS('3. Enablement evidence'!$A$2:$A$400,$A49,'3. Enablement evidence'!$D$2:$D$400,"Generic",'3. Enablement evidence'!$G$2:$G$400,"Yes")&gt;=1,2,1))))))</f>
        <v/>
      </c>
      <c r="J49" s="20" t="inlineStr"/>
      <c r="K49" s="23" t="inlineStr">
        <is>
          <t>Candidate</t>
        </is>
      </c>
      <c r="L49" s="24" t="inlineStr"/>
      <c r="M49" s="25" t="inlineStr"/>
      <c r="N49" s="20" t="inlineStr"/>
      <c r="O49" s="14" t="inlineStr"/>
    </row>
    <row r="50" ht="26" customHeight="1">
      <c r="A50" s="26" t="inlineStr">
        <is>
          <t>REAL-240</t>
        </is>
      </c>
      <c r="B50" s="26" t="inlineStr"/>
      <c r="C50" s="23" t="inlineStr"/>
      <c r="D50" s="27" t="inlineStr">
        <is>
          <t>S4.5 Clustering &amp; Segmentation</t>
        </is>
      </c>
      <c r="E50" s="27" t="inlineStr"/>
      <c r="F50" s="20" t="inlineStr"/>
      <c r="G50" s="20" t="inlineStr"/>
      <c r="H50" s="18" t="n"/>
      <c r="I50" s="19">
        <f>IF(COUNTIFS('3. Enablement evidence'!$A$2:$A$400,$A50,'3. Enablement evidence'!$D$2:$D$400,"Generic")=0,"",IF(COUNTIFS('3. Enablement evidence'!$A$2:$A$400,$A50,'3. Enablement evidence'!$D$2:$D$400,"Generic",'3. Enablement evidence'!$G$2:$G$400,"Yes")+COUNTIFS('3. Enablement evidence'!$A$2:$A$400,$A50,'3. Enablement evidence'!$D$2:$D$400,"Generic",'3. Enablement evidence'!$G$2:$G$400,"No")+COUNTIFS('3. Enablement evidence'!$A$2:$A$400,$A50,'3. Enablement evidence'!$D$2:$D$400,"Generic",'3. Enablement evidence'!$G$2:$G$400,"Partial")=0,"no evidence",IF(COUNTIFS('3. Enablement evidence'!$A$2:$A$400,$A50,'3. Enablement evidence'!$D$2:$D$400,"Generic",'3. Enablement evidence'!$G$2:$G$400,"Yes")+COUNTIFS('3. Enablement evidence'!$A$2:$A$400,$A50,'3. Enablement evidence'!$D$2:$D$400,"Generic",'3. Enablement evidence'!$G$2:$G$400,"No")+COUNTIFS('3. Enablement evidence'!$A$2:$A$400,$A50,'3. Enablement evidence'!$D$2:$D$400,"Generic",'3. Enablement evidence'!$G$2:$G$400,"Partial")&lt;COUNTIFS('3. Enablement evidence'!$A$2:$A$400,$A50,'3. Enablement evidence'!$D$2:$D$400,"Generic"),"incomplete "&amp;COUNTIFS('3. Enablement evidence'!$A$2:$A$400,$A50,'3. Enablement evidence'!$D$2:$D$400,"Generic",'3. Enablement evidence'!$G$2:$G$400,"Yes")&amp;"/"&amp;COUNTIFS('3. Enablement evidence'!$A$2:$A$400,$A50,'3. Enablement evidence'!$D$2:$D$400,"Generic"),IF(COUNTIFS('3. Enablement evidence'!$A$2:$A$400,$A50,'3. Enablement evidence'!$D$2:$D$400,"Generic",'3. Enablement evidence'!$G$2:$G$400,"Yes")&gt;=8,4,IF(AND(COUNTIFS('3. Enablement evidence'!$A$2:$A$400,$A50,'3. Enablement evidence'!$C$2:$C$400,"Published standard",'3. Enablement evidence'!$G$2:$G$400,"Yes")=1,COUNTIFS('3. Enablement evidence'!$A$2:$A$400,$A50,'3. Enablement evidence'!$C$2:$C$400,"Architecture pattern document",'3. Enablement evidence'!$G$2:$G$400,"Yes")+COUNTIFS('3. Enablement evidence'!$A$2:$A$400,$A50,'3. Enablement evidence'!$C$2:$C$400,"Reference architecture",'3. Enablement evidence'!$G$2:$G$400,"Yes")&gt;=1),3,IF(COUNTIFS('3. Enablement evidence'!$A$2:$A$400,$A50,'3. Enablement evidence'!$D$2:$D$400,"Generic",'3. Enablement evidence'!$G$2:$G$400,"Yes")&gt;=1,2,1))))))</f>
        <v/>
      </c>
      <c r="J50" s="20" t="inlineStr"/>
      <c r="K50" s="23" t="inlineStr">
        <is>
          <t>Candidate</t>
        </is>
      </c>
      <c r="L50" s="24" t="inlineStr"/>
      <c r="M50" s="25" t="inlineStr"/>
      <c r="N50" s="20" t="inlineStr"/>
      <c r="O50" s="14" t="inlineStr"/>
    </row>
    <row r="51" ht="26" customHeight="1">
      <c r="A51" s="26" t="inlineStr">
        <is>
          <t>REAL-241</t>
        </is>
      </c>
      <c r="B51" s="26" t="inlineStr"/>
      <c r="C51" s="23" t="inlineStr"/>
      <c r="D51" s="27" t="inlineStr">
        <is>
          <t>S4.6 Optimization &amp; Allocation</t>
        </is>
      </c>
      <c r="E51" s="27" t="inlineStr"/>
      <c r="F51" s="20" t="inlineStr"/>
      <c r="G51" s="20" t="inlineStr"/>
      <c r="H51" s="18" t="n"/>
      <c r="I51" s="19">
        <f>IF(COUNTIFS('3. Enablement evidence'!$A$2:$A$400,$A51,'3. Enablement evidence'!$D$2:$D$400,"Generic")=0,"",IF(COUNTIFS('3. Enablement evidence'!$A$2:$A$400,$A51,'3. Enablement evidence'!$D$2:$D$400,"Generic",'3. Enablement evidence'!$G$2:$G$400,"Yes")+COUNTIFS('3. Enablement evidence'!$A$2:$A$400,$A51,'3. Enablement evidence'!$D$2:$D$400,"Generic",'3. Enablement evidence'!$G$2:$G$400,"No")+COUNTIFS('3. Enablement evidence'!$A$2:$A$400,$A51,'3. Enablement evidence'!$D$2:$D$400,"Generic",'3. Enablement evidence'!$G$2:$G$400,"Partial")=0,"no evidence",IF(COUNTIFS('3. Enablement evidence'!$A$2:$A$400,$A51,'3. Enablement evidence'!$D$2:$D$400,"Generic",'3. Enablement evidence'!$G$2:$G$400,"Yes")+COUNTIFS('3. Enablement evidence'!$A$2:$A$400,$A51,'3. Enablement evidence'!$D$2:$D$400,"Generic",'3. Enablement evidence'!$G$2:$G$400,"No")+COUNTIFS('3. Enablement evidence'!$A$2:$A$400,$A51,'3. Enablement evidence'!$D$2:$D$400,"Generic",'3. Enablement evidence'!$G$2:$G$400,"Partial")&lt;COUNTIFS('3. Enablement evidence'!$A$2:$A$400,$A51,'3. Enablement evidence'!$D$2:$D$400,"Generic"),"incomplete "&amp;COUNTIFS('3. Enablement evidence'!$A$2:$A$400,$A51,'3. Enablement evidence'!$D$2:$D$400,"Generic",'3. Enablement evidence'!$G$2:$G$400,"Yes")&amp;"/"&amp;COUNTIFS('3. Enablement evidence'!$A$2:$A$400,$A51,'3. Enablement evidence'!$D$2:$D$400,"Generic"),IF(COUNTIFS('3. Enablement evidence'!$A$2:$A$400,$A51,'3. Enablement evidence'!$D$2:$D$400,"Generic",'3. Enablement evidence'!$G$2:$G$400,"Yes")&gt;=8,4,IF(AND(COUNTIFS('3. Enablement evidence'!$A$2:$A$400,$A51,'3. Enablement evidence'!$C$2:$C$400,"Published standard",'3. Enablement evidence'!$G$2:$G$400,"Yes")=1,COUNTIFS('3. Enablement evidence'!$A$2:$A$400,$A51,'3. Enablement evidence'!$C$2:$C$400,"Architecture pattern document",'3. Enablement evidence'!$G$2:$G$400,"Yes")+COUNTIFS('3. Enablement evidence'!$A$2:$A$400,$A51,'3. Enablement evidence'!$C$2:$C$400,"Reference architecture",'3. Enablement evidence'!$G$2:$G$400,"Yes")&gt;=1),3,IF(COUNTIFS('3. Enablement evidence'!$A$2:$A$400,$A51,'3. Enablement evidence'!$D$2:$D$400,"Generic",'3. Enablement evidence'!$G$2:$G$400,"Yes")&gt;=1,2,1))))))</f>
        <v/>
      </c>
      <c r="J51" s="20" t="inlineStr"/>
      <c r="K51" s="23" t="inlineStr">
        <is>
          <t>Candidate</t>
        </is>
      </c>
      <c r="L51" s="24" t="inlineStr"/>
      <c r="M51" s="25" t="inlineStr"/>
      <c r="N51" s="20" t="inlineStr"/>
      <c r="O51" s="14" t="inlineStr"/>
    </row>
    <row r="52" ht="26" customHeight="1">
      <c r="A52" s="26" t="inlineStr">
        <is>
          <t>REAL-242</t>
        </is>
      </c>
      <c r="B52" s="26" t="inlineStr">
        <is>
          <t>2.4</t>
        </is>
      </c>
      <c r="C52" s="23" t="inlineStr">
        <is>
          <t>7.1</t>
        </is>
      </c>
      <c r="D52" s="27" t="inlineStr">
        <is>
          <t>S4.7 Rules &amp; Policy Decisioning</t>
        </is>
      </c>
      <c r="E52" s="27" t="inlineStr"/>
      <c r="F52" s="20" t="inlineStr"/>
      <c r="G52" s="20" t="inlineStr"/>
      <c r="H52" s="18" t="n"/>
      <c r="I52" s="19">
        <f>IF(COUNTIFS('3. Enablement evidence'!$A$2:$A$400,$A52,'3. Enablement evidence'!$D$2:$D$400,"Generic")=0,"",IF(COUNTIFS('3. Enablement evidence'!$A$2:$A$400,$A52,'3. Enablement evidence'!$D$2:$D$400,"Generic",'3. Enablement evidence'!$G$2:$G$400,"Yes")+COUNTIFS('3. Enablement evidence'!$A$2:$A$400,$A52,'3. Enablement evidence'!$D$2:$D$400,"Generic",'3. Enablement evidence'!$G$2:$G$400,"No")+COUNTIFS('3. Enablement evidence'!$A$2:$A$400,$A52,'3. Enablement evidence'!$D$2:$D$400,"Generic",'3. Enablement evidence'!$G$2:$G$400,"Partial")=0,"no evidence",IF(COUNTIFS('3. Enablement evidence'!$A$2:$A$400,$A52,'3. Enablement evidence'!$D$2:$D$400,"Generic",'3. Enablement evidence'!$G$2:$G$400,"Yes")+COUNTIFS('3. Enablement evidence'!$A$2:$A$400,$A52,'3. Enablement evidence'!$D$2:$D$400,"Generic",'3. Enablement evidence'!$G$2:$G$400,"No")+COUNTIFS('3. Enablement evidence'!$A$2:$A$400,$A52,'3. Enablement evidence'!$D$2:$D$400,"Generic",'3. Enablement evidence'!$G$2:$G$400,"Partial")&lt;COUNTIFS('3. Enablement evidence'!$A$2:$A$400,$A52,'3. Enablement evidence'!$D$2:$D$400,"Generic"),"incomplete "&amp;COUNTIFS('3. Enablement evidence'!$A$2:$A$400,$A52,'3. Enablement evidence'!$D$2:$D$400,"Generic",'3. Enablement evidence'!$G$2:$G$400,"Yes")&amp;"/"&amp;COUNTIFS('3. Enablement evidence'!$A$2:$A$400,$A52,'3. Enablement evidence'!$D$2:$D$400,"Generic"),IF(COUNTIFS('3. Enablement evidence'!$A$2:$A$400,$A52,'3. Enablement evidence'!$D$2:$D$400,"Generic",'3. Enablement evidence'!$G$2:$G$400,"Yes")&gt;=8,4,IF(AND(COUNTIFS('3. Enablement evidence'!$A$2:$A$400,$A52,'3. Enablement evidence'!$C$2:$C$400,"Published standard",'3. Enablement evidence'!$G$2:$G$400,"Yes")=1,COUNTIFS('3. Enablement evidence'!$A$2:$A$400,$A52,'3. Enablement evidence'!$C$2:$C$400,"Architecture pattern document",'3. Enablement evidence'!$G$2:$G$400,"Yes")+COUNTIFS('3. Enablement evidence'!$A$2:$A$400,$A52,'3. Enablement evidence'!$C$2:$C$400,"Reference architecture",'3. Enablement evidence'!$G$2:$G$400,"Yes")&gt;=1),3,IF(COUNTIFS('3. Enablement evidence'!$A$2:$A$400,$A52,'3. Enablement evidence'!$D$2:$D$400,"Generic",'3. Enablement evidence'!$G$2:$G$400,"Yes")&gt;=1,2,1))))))</f>
        <v/>
      </c>
      <c r="J52" s="20" t="inlineStr"/>
      <c r="K52" s="23" t="inlineStr">
        <is>
          <t>Candidate</t>
        </is>
      </c>
      <c r="L52" s="24" t="inlineStr"/>
      <c r="M52" s="25" t="inlineStr"/>
      <c r="N52" s="20" t="inlineStr"/>
      <c r="O52" s="14" t="inlineStr"/>
    </row>
    <row r="53" ht="26" customHeight="1">
      <c r="A53" s="26" t="inlineStr">
        <is>
          <t>REAL-243</t>
        </is>
      </c>
      <c r="B53" s="26" t="inlineStr">
        <is>
          <t>4.4</t>
        </is>
      </c>
      <c r="C53" s="23" t="inlineStr"/>
      <c r="D53" s="27" t="inlineStr">
        <is>
          <t>S4.8 Planning &amp; Task Decomposition</t>
        </is>
      </c>
      <c r="E53" s="27" t="inlineStr"/>
      <c r="F53" s="20" t="inlineStr"/>
      <c r="G53" s="20" t="inlineStr"/>
      <c r="H53" s="18" t="n"/>
      <c r="I53" s="19">
        <f>IF(COUNTIFS('3. Enablement evidence'!$A$2:$A$400,$A53,'3. Enablement evidence'!$D$2:$D$400,"Generic")=0,"",IF(COUNTIFS('3. Enablement evidence'!$A$2:$A$400,$A53,'3. Enablement evidence'!$D$2:$D$400,"Generic",'3. Enablement evidence'!$G$2:$G$400,"Yes")+COUNTIFS('3. Enablement evidence'!$A$2:$A$400,$A53,'3. Enablement evidence'!$D$2:$D$400,"Generic",'3. Enablement evidence'!$G$2:$G$400,"No")+COUNTIFS('3. Enablement evidence'!$A$2:$A$400,$A53,'3. Enablement evidence'!$D$2:$D$400,"Generic",'3. Enablement evidence'!$G$2:$G$400,"Partial")=0,"no evidence",IF(COUNTIFS('3. Enablement evidence'!$A$2:$A$400,$A53,'3. Enablement evidence'!$D$2:$D$400,"Generic",'3. Enablement evidence'!$G$2:$G$400,"Yes")+COUNTIFS('3. Enablement evidence'!$A$2:$A$400,$A53,'3. Enablement evidence'!$D$2:$D$400,"Generic",'3. Enablement evidence'!$G$2:$G$400,"No")+COUNTIFS('3. Enablement evidence'!$A$2:$A$400,$A53,'3. Enablement evidence'!$D$2:$D$400,"Generic",'3. Enablement evidence'!$G$2:$G$400,"Partial")&lt;COUNTIFS('3. Enablement evidence'!$A$2:$A$400,$A53,'3. Enablement evidence'!$D$2:$D$400,"Generic"),"incomplete "&amp;COUNTIFS('3. Enablement evidence'!$A$2:$A$400,$A53,'3. Enablement evidence'!$D$2:$D$400,"Generic",'3. Enablement evidence'!$G$2:$G$400,"Yes")&amp;"/"&amp;COUNTIFS('3. Enablement evidence'!$A$2:$A$400,$A53,'3. Enablement evidence'!$D$2:$D$400,"Generic"),IF(COUNTIFS('3. Enablement evidence'!$A$2:$A$400,$A53,'3. Enablement evidence'!$D$2:$D$400,"Generic",'3. Enablement evidence'!$G$2:$G$400,"Yes")&gt;=8,4,IF(AND(COUNTIFS('3. Enablement evidence'!$A$2:$A$400,$A53,'3. Enablement evidence'!$C$2:$C$400,"Published standard",'3. Enablement evidence'!$G$2:$G$400,"Yes")=1,COUNTIFS('3. Enablement evidence'!$A$2:$A$400,$A53,'3. Enablement evidence'!$C$2:$C$400,"Architecture pattern document",'3. Enablement evidence'!$G$2:$G$400,"Yes")+COUNTIFS('3. Enablement evidence'!$A$2:$A$400,$A53,'3. Enablement evidence'!$C$2:$C$400,"Reference architecture",'3. Enablement evidence'!$G$2:$G$400,"Yes")&gt;=1),3,IF(COUNTIFS('3. Enablement evidence'!$A$2:$A$400,$A53,'3. Enablement evidence'!$D$2:$D$400,"Generic",'3. Enablement evidence'!$G$2:$G$400,"Yes")&gt;=1,2,1))))))</f>
        <v/>
      </c>
      <c r="J53" s="20" t="inlineStr"/>
      <c r="K53" s="23" t="inlineStr">
        <is>
          <t>Candidate</t>
        </is>
      </c>
      <c r="L53" s="24" t="inlineStr"/>
      <c r="M53" s="25" t="inlineStr"/>
      <c r="N53" s="20" t="inlineStr"/>
      <c r="O53" s="14" t="inlineStr"/>
    </row>
    <row r="54" ht="26" customHeight="1">
      <c r="A54" s="26" t="inlineStr">
        <is>
          <t>REAL-244</t>
        </is>
      </c>
      <c r="B54" s="26" t="inlineStr">
        <is>
          <t>4.6</t>
        </is>
      </c>
      <c r="C54" s="23" t="inlineStr">
        <is>
          <t>6.3</t>
        </is>
      </c>
      <c r="D54" s="27" t="inlineStr">
        <is>
          <t>S4.9 Model-Based Evaluation</t>
        </is>
      </c>
      <c r="E54" s="27" t="inlineStr"/>
      <c r="F54" s="20" t="inlineStr"/>
      <c r="G54" s="20" t="inlineStr"/>
      <c r="H54" s="18" t="n"/>
      <c r="I54" s="19">
        <f>IF(COUNTIFS('3. Enablement evidence'!$A$2:$A$400,$A54,'3. Enablement evidence'!$D$2:$D$400,"Generic")=0,"",IF(COUNTIFS('3. Enablement evidence'!$A$2:$A$400,$A54,'3. Enablement evidence'!$D$2:$D$400,"Generic",'3. Enablement evidence'!$G$2:$G$400,"Yes")+COUNTIFS('3. Enablement evidence'!$A$2:$A$400,$A54,'3. Enablement evidence'!$D$2:$D$400,"Generic",'3. Enablement evidence'!$G$2:$G$400,"No")+COUNTIFS('3. Enablement evidence'!$A$2:$A$400,$A54,'3. Enablement evidence'!$D$2:$D$400,"Generic",'3. Enablement evidence'!$G$2:$G$400,"Partial")=0,"no evidence",IF(COUNTIFS('3. Enablement evidence'!$A$2:$A$400,$A54,'3. Enablement evidence'!$D$2:$D$400,"Generic",'3. Enablement evidence'!$G$2:$G$400,"Yes")+COUNTIFS('3. Enablement evidence'!$A$2:$A$400,$A54,'3. Enablement evidence'!$D$2:$D$400,"Generic",'3. Enablement evidence'!$G$2:$G$400,"No")+COUNTIFS('3. Enablement evidence'!$A$2:$A$400,$A54,'3. Enablement evidence'!$D$2:$D$400,"Generic",'3. Enablement evidence'!$G$2:$G$400,"Partial")&lt;COUNTIFS('3. Enablement evidence'!$A$2:$A$400,$A54,'3. Enablement evidence'!$D$2:$D$400,"Generic"),"incomplete "&amp;COUNTIFS('3. Enablement evidence'!$A$2:$A$400,$A54,'3. Enablement evidence'!$D$2:$D$400,"Generic",'3. Enablement evidence'!$G$2:$G$400,"Yes")&amp;"/"&amp;COUNTIFS('3. Enablement evidence'!$A$2:$A$400,$A54,'3. Enablement evidence'!$D$2:$D$400,"Generic"),IF(COUNTIFS('3. Enablement evidence'!$A$2:$A$400,$A54,'3. Enablement evidence'!$D$2:$D$400,"Generic",'3. Enablement evidence'!$G$2:$G$400,"Yes")&gt;=8,4,IF(AND(COUNTIFS('3. Enablement evidence'!$A$2:$A$400,$A54,'3. Enablement evidence'!$C$2:$C$400,"Published standard",'3. Enablement evidence'!$G$2:$G$400,"Yes")=1,COUNTIFS('3. Enablement evidence'!$A$2:$A$400,$A54,'3. Enablement evidence'!$C$2:$C$400,"Architecture pattern document",'3. Enablement evidence'!$G$2:$G$400,"Yes")+COUNTIFS('3. Enablement evidence'!$A$2:$A$400,$A54,'3. Enablement evidence'!$C$2:$C$400,"Reference architecture",'3. Enablement evidence'!$G$2:$G$400,"Yes")&gt;=1),3,IF(COUNTIFS('3. Enablement evidence'!$A$2:$A$400,$A54,'3. Enablement evidence'!$D$2:$D$400,"Generic",'3. Enablement evidence'!$G$2:$G$400,"Yes")&gt;=1,2,1))))))</f>
        <v/>
      </c>
      <c r="J54" s="20" t="inlineStr"/>
      <c r="K54" s="23" t="inlineStr">
        <is>
          <t>Candidate</t>
        </is>
      </c>
      <c r="L54" s="24" t="inlineStr"/>
      <c r="M54" s="25" t="inlineStr"/>
      <c r="N54" s="20" t="inlineStr"/>
      <c r="O54" s="14" t="inlineStr"/>
    </row>
    <row r="55" ht="26" customHeight="1">
      <c r="A55" s="26" t="inlineStr">
        <is>
          <t>REAL-245</t>
        </is>
      </c>
      <c r="B55" s="26" t="inlineStr">
        <is>
          <t>4.6</t>
        </is>
      </c>
      <c r="C55" s="23" t="inlineStr">
        <is>
          <t>7.2</t>
        </is>
      </c>
      <c r="D55" s="27" t="inlineStr">
        <is>
          <t>S4.10 Formal &amp; Verifiable Reasoning Checks</t>
        </is>
      </c>
      <c r="E55" s="27" t="inlineStr"/>
      <c r="F55" s="20" t="inlineStr"/>
      <c r="G55" s="20" t="inlineStr"/>
      <c r="H55" s="18" t="n"/>
      <c r="I55" s="19">
        <f>IF(COUNTIFS('3. Enablement evidence'!$A$2:$A$400,$A55,'3. Enablement evidence'!$D$2:$D$400,"Generic")=0,"",IF(COUNTIFS('3. Enablement evidence'!$A$2:$A$400,$A55,'3. Enablement evidence'!$D$2:$D$400,"Generic",'3. Enablement evidence'!$G$2:$G$400,"Yes")+COUNTIFS('3. Enablement evidence'!$A$2:$A$400,$A55,'3. Enablement evidence'!$D$2:$D$400,"Generic",'3. Enablement evidence'!$G$2:$G$400,"No")+COUNTIFS('3. Enablement evidence'!$A$2:$A$400,$A55,'3. Enablement evidence'!$D$2:$D$400,"Generic",'3. Enablement evidence'!$G$2:$G$400,"Partial")=0,"no evidence",IF(COUNTIFS('3. Enablement evidence'!$A$2:$A$400,$A55,'3. Enablement evidence'!$D$2:$D$400,"Generic",'3. Enablement evidence'!$G$2:$G$400,"Yes")+COUNTIFS('3. Enablement evidence'!$A$2:$A$400,$A55,'3. Enablement evidence'!$D$2:$D$400,"Generic",'3. Enablement evidence'!$G$2:$G$400,"No")+COUNTIFS('3. Enablement evidence'!$A$2:$A$400,$A55,'3. Enablement evidence'!$D$2:$D$400,"Generic",'3. Enablement evidence'!$G$2:$G$400,"Partial")&lt;COUNTIFS('3. Enablement evidence'!$A$2:$A$400,$A55,'3. Enablement evidence'!$D$2:$D$400,"Generic"),"incomplete "&amp;COUNTIFS('3. Enablement evidence'!$A$2:$A$400,$A55,'3. Enablement evidence'!$D$2:$D$400,"Generic",'3. Enablement evidence'!$G$2:$G$400,"Yes")&amp;"/"&amp;COUNTIFS('3. Enablement evidence'!$A$2:$A$400,$A55,'3. Enablement evidence'!$D$2:$D$400,"Generic"),IF(COUNTIFS('3. Enablement evidence'!$A$2:$A$400,$A55,'3. Enablement evidence'!$D$2:$D$400,"Generic",'3. Enablement evidence'!$G$2:$G$400,"Yes")&gt;=8,4,IF(AND(COUNTIFS('3. Enablement evidence'!$A$2:$A$400,$A55,'3. Enablement evidence'!$C$2:$C$400,"Published standard",'3. Enablement evidence'!$G$2:$G$400,"Yes")=1,COUNTIFS('3. Enablement evidence'!$A$2:$A$400,$A55,'3. Enablement evidence'!$C$2:$C$400,"Architecture pattern document",'3. Enablement evidence'!$G$2:$G$400,"Yes")+COUNTIFS('3. Enablement evidence'!$A$2:$A$400,$A55,'3. Enablement evidence'!$C$2:$C$400,"Reference architecture",'3. Enablement evidence'!$G$2:$G$400,"Yes")&gt;=1),3,IF(COUNTIFS('3. Enablement evidence'!$A$2:$A$400,$A55,'3. Enablement evidence'!$D$2:$D$400,"Generic",'3. Enablement evidence'!$G$2:$G$400,"Yes")&gt;=1,2,1))))))</f>
        <v/>
      </c>
      <c r="J55" s="20" t="inlineStr"/>
      <c r="K55" s="23" t="inlineStr">
        <is>
          <t>Candidate</t>
        </is>
      </c>
      <c r="L55" s="24" t="inlineStr"/>
      <c r="M55" s="25" t="inlineStr"/>
      <c r="N55" s="20" t="inlineStr"/>
      <c r="O55" s="14" t="inlineStr"/>
    </row>
    <row r="56" ht="26" customHeight="1">
      <c r="A56" s="26" t="inlineStr">
        <is>
          <t>REAL-246</t>
        </is>
      </c>
      <c r="B56" s="26" t="inlineStr">
        <is>
          <t>4.4</t>
        </is>
      </c>
      <c r="C56" s="23" t="inlineStr">
        <is>
          <t>6.1</t>
        </is>
      </c>
      <c r="D56" s="27" t="inlineStr">
        <is>
          <t>S5.1 Agent Runtime &amp; Execution</t>
        </is>
      </c>
      <c r="E56" s="27" t="inlineStr"/>
      <c r="F56" s="20" t="inlineStr"/>
      <c r="G56" s="20" t="inlineStr"/>
      <c r="H56" s="18" t="n"/>
      <c r="I56" s="19">
        <f>IF(COUNTIFS('3. Enablement evidence'!$A$2:$A$400,$A56,'3. Enablement evidence'!$D$2:$D$400,"Generic")=0,"",IF(COUNTIFS('3. Enablement evidence'!$A$2:$A$400,$A56,'3. Enablement evidence'!$D$2:$D$400,"Generic",'3. Enablement evidence'!$G$2:$G$400,"Yes")+COUNTIFS('3. Enablement evidence'!$A$2:$A$400,$A56,'3. Enablement evidence'!$D$2:$D$400,"Generic",'3. Enablement evidence'!$G$2:$G$400,"No")+COUNTIFS('3. Enablement evidence'!$A$2:$A$400,$A56,'3. Enablement evidence'!$D$2:$D$400,"Generic",'3. Enablement evidence'!$G$2:$G$400,"Partial")=0,"no evidence",IF(COUNTIFS('3. Enablement evidence'!$A$2:$A$400,$A56,'3. Enablement evidence'!$D$2:$D$400,"Generic",'3. Enablement evidence'!$G$2:$G$400,"Yes")+COUNTIFS('3. Enablement evidence'!$A$2:$A$400,$A56,'3. Enablement evidence'!$D$2:$D$400,"Generic",'3. Enablement evidence'!$G$2:$G$400,"No")+COUNTIFS('3. Enablement evidence'!$A$2:$A$400,$A56,'3. Enablement evidence'!$D$2:$D$400,"Generic",'3. Enablement evidence'!$G$2:$G$400,"Partial")&lt;COUNTIFS('3. Enablement evidence'!$A$2:$A$400,$A56,'3. Enablement evidence'!$D$2:$D$400,"Generic"),"incomplete "&amp;COUNTIFS('3. Enablement evidence'!$A$2:$A$400,$A56,'3. Enablement evidence'!$D$2:$D$400,"Generic",'3. Enablement evidence'!$G$2:$G$400,"Yes")&amp;"/"&amp;COUNTIFS('3. Enablement evidence'!$A$2:$A$400,$A56,'3. Enablement evidence'!$D$2:$D$400,"Generic"),IF(COUNTIFS('3. Enablement evidence'!$A$2:$A$400,$A56,'3. Enablement evidence'!$D$2:$D$400,"Generic",'3. Enablement evidence'!$G$2:$G$400,"Yes")&gt;=8,4,IF(AND(COUNTIFS('3. Enablement evidence'!$A$2:$A$400,$A56,'3. Enablement evidence'!$C$2:$C$400,"Published standard",'3. Enablement evidence'!$G$2:$G$400,"Yes")=1,COUNTIFS('3. Enablement evidence'!$A$2:$A$400,$A56,'3. Enablement evidence'!$C$2:$C$400,"Architecture pattern document",'3. Enablement evidence'!$G$2:$G$400,"Yes")+COUNTIFS('3. Enablement evidence'!$A$2:$A$400,$A56,'3. Enablement evidence'!$C$2:$C$400,"Reference architecture",'3. Enablement evidence'!$G$2:$G$400,"Yes")&gt;=1),3,IF(COUNTIFS('3. Enablement evidence'!$A$2:$A$400,$A56,'3. Enablement evidence'!$D$2:$D$400,"Generic",'3. Enablement evidence'!$G$2:$G$400,"Yes")&gt;=1,2,1))))))</f>
        <v/>
      </c>
      <c r="J56" s="20" t="inlineStr"/>
      <c r="K56" s="23" t="inlineStr">
        <is>
          <t>Candidate</t>
        </is>
      </c>
      <c r="L56" s="24" t="inlineStr"/>
      <c r="M56" s="25" t="inlineStr"/>
      <c r="N56" s="20" t="inlineStr"/>
      <c r="O56" s="14" t="inlineStr"/>
    </row>
    <row r="57" ht="26" customHeight="1">
      <c r="A57" s="26" t="inlineStr">
        <is>
          <t>REAL-247</t>
        </is>
      </c>
      <c r="B57" s="26" t="inlineStr">
        <is>
          <t>4.4</t>
        </is>
      </c>
      <c r="C57" s="23" t="inlineStr">
        <is>
          <t>4.5</t>
        </is>
      </c>
      <c r="D57" s="27" t="inlineStr">
        <is>
          <t>S5.3 Tool &amp; Function Calling</t>
        </is>
      </c>
      <c r="E57" s="27" t="inlineStr"/>
      <c r="F57" s="20" t="inlineStr"/>
      <c r="G57" s="20" t="inlineStr"/>
      <c r="H57" s="18" t="n"/>
      <c r="I57" s="19">
        <f>IF(COUNTIFS('3. Enablement evidence'!$A$2:$A$400,$A57,'3. Enablement evidence'!$D$2:$D$400,"Generic")=0,"",IF(COUNTIFS('3. Enablement evidence'!$A$2:$A$400,$A57,'3. Enablement evidence'!$D$2:$D$400,"Generic",'3. Enablement evidence'!$G$2:$G$400,"Yes")+COUNTIFS('3. Enablement evidence'!$A$2:$A$400,$A57,'3. Enablement evidence'!$D$2:$D$400,"Generic",'3. Enablement evidence'!$G$2:$G$400,"No")+COUNTIFS('3. Enablement evidence'!$A$2:$A$400,$A57,'3. Enablement evidence'!$D$2:$D$400,"Generic",'3. Enablement evidence'!$G$2:$G$400,"Partial")=0,"no evidence",IF(COUNTIFS('3. Enablement evidence'!$A$2:$A$400,$A57,'3. Enablement evidence'!$D$2:$D$400,"Generic",'3. Enablement evidence'!$G$2:$G$400,"Yes")+COUNTIFS('3. Enablement evidence'!$A$2:$A$400,$A57,'3. Enablement evidence'!$D$2:$D$400,"Generic",'3. Enablement evidence'!$G$2:$G$400,"No")+COUNTIFS('3. Enablement evidence'!$A$2:$A$400,$A57,'3. Enablement evidence'!$D$2:$D$400,"Generic",'3. Enablement evidence'!$G$2:$G$400,"Partial")&lt;COUNTIFS('3. Enablement evidence'!$A$2:$A$400,$A57,'3. Enablement evidence'!$D$2:$D$400,"Generic"),"incomplete "&amp;COUNTIFS('3. Enablement evidence'!$A$2:$A$400,$A57,'3. Enablement evidence'!$D$2:$D$400,"Generic",'3. Enablement evidence'!$G$2:$G$400,"Yes")&amp;"/"&amp;COUNTIFS('3. Enablement evidence'!$A$2:$A$400,$A57,'3. Enablement evidence'!$D$2:$D$400,"Generic"),IF(COUNTIFS('3. Enablement evidence'!$A$2:$A$400,$A57,'3. Enablement evidence'!$D$2:$D$400,"Generic",'3. Enablement evidence'!$G$2:$G$400,"Yes")&gt;=8,4,IF(AND(COUNTIFS('3. Enablement evidence'!$A$2:$A$400,$A57,'3. Enablement evidence'!$C$2:$C$400,"Published standard",'3. Enablement evidence'!$G$2:$G$400,"Yes")=1,COUNTIFS('3. Enablement evidence'!$A$2:$A$400,$A57,'3. Enablement evidence'!$C$2:$C$400,"Architecture pattern document",'3. Enablement evidence'!$G$2:$G$400,"Yes")+COUNTIFS('3. Enablement evidence'!$A$2:$A$400,$A57,'3. Enablement evidence'!$C$2:$C$400,"Reference architecture",'3. Enablement evidence'!$G$2:$G$400,"Yes")&gt;=1),3,IF(COUNTIFS('3. Enablement evidence'!$A$2:$A$400,$A57,'3. Enablement evidence'!$D$2:$D$400,"Generic",'3. Enablement evidence'!$G$2:$G$400,"Yes")&gt;=1,2,1))))))</f>
        <v/>
      </c>
      <c r="J57" s="20" t="inlineStr"/>
      <c r="K57" s="23" t="inlineStr">
        <is>
          <t>Candidate</t>
        </is>
      </c>
      <c r="L57" s="24" t="inlineStr"/>
      <c r="M57" s="25" t="inlineStr"/>
      <c r="N57" s="20" t="inlineStr"/>
      <c r="O57" s="14" t="inlineStr"/>
    </row>
    <row r="58" ht="26" customHeight="1">
      <c r="A58" s="26" t="inlineStr">
        <is>
          <t>REAL-248</t>
        </is>
      </c>
      <c r="B58" s="26" t="inlineStr">
        <is>
          <t>2.5</t>
        </is>
      </c>
      <c r="C58" s="23" t="inlineStr">
        <is>
          <t>7.2</t>
        </is>
      </c>
      <c r="D58" s="27" t="inlineStr">
        <is>
          <t>S5.10 Human-in-the-Loop Interrupt &amp; Approval</t>
        </is>
      </c>
      <c r="E58" s="27" t="inlineStr"/>
      <c r="F58" s="20" t="inlineStr"/>
      <c r="G58" s="20" t="inlineStr"/>
      <c r="H58" s="18" t="n"/>
      <c r="I58" s="19">
        <f>IF(COUNTIFS('3. Enablement evidence'!$A$2:$A$400,$A58,'3. Enablement evidence'!$D$2:$D$400,"Generic")=0,"",IF(COUNTIFS('3. Enablement evidence'!$A$2:$A$400,$A58,'3. Enablement evidence'!$D$2:$D$400,"Generic",'3. Enablement evidence'!$G$2:$G$400,"Yes")+COUNTIFS('3. Enablement evidence'!$A$2:$A$400,$A58,'3. Enablement evidence'!$D$2:$D$400,"Generic",'3. Enablement evidence'!$G$2:$G$400,"No")+COUNTIFS('3. Enablement evidence'!$A$2:$A$400,$A58,'3. Enablement evidence'!$D$2:$D$400,"Generic",'3. Enablement evidence'!$G$2:$G$400,"Partial")=0,"no evidence",IF(COUNTIFS('3. Enablement evidence'!$A$2:$A$400,$A58,'3. Enablement evidence'!$D$2:$D$400,"Generic",'3. Enablement evidence'!$G$2:$G$400,"Yes")+COUNTIFS('3. Enablement evidence'!$A$2:$A$400,$A58,'3. Enablement evidence'!$D$2:$D$400,"Generic",'3. Enablement evidence'!$G$2:$G$400,"No")+COUNTIFS('3. Enablement evidence'!$A$2:$A$400,$A58,'3. Enablement evidence'!$D$2:$D$400,"Generic",'3. Enablement evidence'!$G$2:$G$400,"Partial")&lt;COUNTIFS('3. Enablement evidence'!$A$2:$A$400,$A58,'3. Enablement evidence'!$D$2:$D$400,"Generic"),"incomplete "&amp;COUNTIFS('3. Enablement evidence'!$A$2:$A$400,$A58,'3. Enablement evidence'!$D$2:$D$400,"Generic",'3. Enablement evidence'!$G$2:$G$400,"Yes")&amp;"/"&amp;COUNTIFS('3. Enablement evidence'!$A$2:$A$400,$A58,'3. Enablement evidence'!$D$2:$D$400,"Generic"),IF(COUNTIFS('3. Enablement evidence'!$A$2:$A$400,$A58,'3. Enablement evidence'!$D$2:$D$400,"Generic",'3. Enablement evidence'!$G$2:$G$400,"Yes")&gt;=8,4,IF(AND(COUNTIFS('3. Enablement evidence'!$A$2:$A$400,$A58,'3. Enablement evidence'!$C$2:$C$400,"Published standard",'3. Enablement evidence'!$G$2:$G$400,"Yes")=1,COUNTIFS('3. Enablement evidence'!$A$2:$A$400,$A58,'3. Enablement evidence'!$C$2:$C$400,"Architecture pattern document",'3. Enablement evidence'!$G$2:$G$400,"Yes")+COUNTIFS('3. Enablement evidence'!$A$2:$A$400,$A58,'3. Enablement evidence'!$C$2:$C$400,"Reference architecture",'3. Enablement evidence'!$G$2:$G$400,"Yes")&gt;=1),3,IF(COUNTIFS('3. Enablement evidence'!$A$2:$A$400,$A58,'3. Enablement evidence'!$D$2:$D$400,"Generic",'3. Enablement evidence'!$G$2:$G$400,"Yes")&gt;=1,2,1))))))</f>
        <v/>
      </c>
      <c r="J58" s="20" t="inlineStr"/>
      <c r="K58" s="23" t="inlineStr">
        <is>
          <t>Candidate</t>
        </is>
      </c>
      <c r="L58" s="24" t="inlineStr"/>
      <c r="M58" s="25" t="inlineStr"/>
      <c r="N58" s="20" t="inlineStr"/>
      <c r="O58" s="14" t="inlineStr"/>
    </row>
    <row r="59" ht="26" customHeight="1">
      <c r="A59" s="26" t="inlineStr">
        <is>
          <t>REAL-249</t>
        </is>
      </c>
      <c r="B59" s="26" t="inlineStr">
        <is>
          <t>4.4</t>
        </is>
      </c>
      <c r="C59" s="23" t="inlineStr">
        <is>
          <t>7.4</t>
        </is>
      </c>
      <c r="D59" s="27" t="inlineStr">
        <is>
          <t>S5.12 Sandboxed Code Execution</t>
        </is>
      </c>
      <c r="E59" s="27" t="inlineStr"/>
      <c r="F59" s="20" t="inlineStr"/>
      <c r="G59" s="20" t="inlineStr"/>
      <c r="H59" s="18" t="n"/>
      <c r="I59" s="19">
        <f>IF(COUNTIFS('3. Enablement evidence'!$A$2:$A$400,$A59,'3. Enablement evidence'!$D$2:$D$400,"Generic")=0,"",IF(COUNTIFS('3. Enablement evidence'!$A$2:$A$400,$A59,'3. Enablement evidence'!$D$2:$D$400,"Generic",'3. Enablement evidence'!$G$2:$G$400,"Yes")+COUNTIFS('3. Enablement evidence'!$A$2:$A$400,$A59,'3. Enablement evidence'!$D$2:$D$400,"Generic",'3. Enablement evidence'!$G$2:$G$400,"No")+COUNTIFS('3. Enablement evidence'!$A$2:$A$400,$A59,'3. Enablement evidence'!$D$2:$D$400,"Generic",'3. Enablement evidence'!$G$2:$G$400,"Partial")=0,"no evidence",IF(COUNTIFS('3. Enablement evidence'!$A$2:$A$400,$A59,'3. Enablement evidence'!$D$2:$D$400,"Generic",'3. Enablement evidence'!$G$2:$G$400,"Yes")+COUNTIFS('3. Enablement evidence'!$A$2:$A$400,$A59,'3. Enablement evidence'!$D$2:$D$400,"Generic",'3. Enablement evidence'!$G$2:$G$400,"No")+COUNTIFS('3. Enablement evidence'!$A$2:$A$400,$A59,'3. Enablement evidence'!$D$2:$D$400,"Generic",'3. Enablement evidence'!$G$2:$G$400,"Partial")&lt;COUNTIFS('3. Enablement evidence'!$A$2:$A$400,$A59,'3. Enablement evidence'!$D$2:$D$400,"Generic"),"incomplete "&amp;COUNTIFS('3. Enablement evidence'!$A$2:$A$400,$A59,'3. Enablement evidence'!$D$2:$D$400,"Generic",'3. Enablement evidence'!$G$2:$G$400,"Yes")&amp;"/"&amp;COUNTIFS('3. Enablement evidence'!$A$2:$A$400,$A59,'3. Enablement evidence'!$D$2:$D$400,"Generic"),IF(COUNTIFS('3. Enablement evidence'!$A$2:$A$400,$A59,'3. Enablement evidence'!$D$2:$D$400,"Generic",'3. Enablement evidence'!$G$2:$G$400,"Yes")&gt;=8,4,IF(AND(COUNTIFS('3. Enablement evidence'!$A$2:$A$400,$A59,'3. Enablement evidence'!$C$2:$C$400,"Published standard",'3. Enablement evidence'!$G$2:$G$400,"Yes")=1,COUNTIFS('3. Enablement evidence'!$A$2:$A$400,$A59,'3. Enablement evidence'!$C$2:$C$400,"Architecture pattern document",'3. Enablement evidence'!$G$2:$G$400,"Yes")+COUNTIFS('3. Enablement evidence'!$A$2:$A$400,$A59,'3. Enablement evidence'!$C$2:$C$400,"Reference architecture",'3. Enablement evidence'!$G$2:$G$400,"Yes")&gt;=1),3,IF(COUNTIFS('3. Enablement evidence'!$A$2:$A$400,$A59,'3. Enablement evidence'!$D$2:$D$400,"Generic",'3. Enablement evidence'!$G$2:$G$400,"Yes")&gt;=1,2,1))))))</f>
        <v/>
      </c>
      <c r="J59" s="20" t="inlineStr"/>
      <c r="K59" s="23" t="inlineStr">
        <is>
          <t>Candidate</t>
        </is>
      </c>
      <c r="L59" s="24" t="inlineStr"/>
      <c r="M59" s="25" t="inlineStr"/>
      <c r="N59" s="20" t="inlineStr"/>
      <c r="O59" s="14" t="inlineStr"/>
    </row>
    <row r="60" ht="26" customHeight="1">
      <c r="A60" s="26" t="inlineStr">
        <is>
          <t>REAL-250</t>
        </is>
      </c>
      <c r="B60" s="26" t="inlineStr">
        <is>
          <t>5.2</t>
        </is>
      </c>
      <c r="C60" s="23" t="inlineStr"/>
      <c r="D60" s="27" t="inlineStr">
        <is>
          <t>S6.1 Model Gateway &amp; Unified Inference API</t>
        </is>
      </c>
      <c r="E60" s="27" t="inlineStr"/>
      <c r="F60" s="20" t="inlineStr"/>
      <c r="G60" s="20" t="inlineStr"/>
      <c r="H60" s="18" t="n"/>
      <c r="I60" s="19">
        <f>IF(COUNTIFS('3. Enablement evidence'!$A$2:$A$400,$A60,'3. Enablement evidence'!$D$2:$D$400,"Generic")=0,"",IF(COUNTIFS('3. Enablement evidence'!$A$2:$A$400,$A60,'3. Enablement evidence'!$D$2:$D$400,"Generic",'3. Enablement evidence'!$G$2:$G$400,"Yes")+COUNTIFS('3. Enablement evidence'!$A$2:$A$400,$A60,'3. Enablement evidence'!$D$2:$D$400,"Generic",'3. Enablement evidence'!$G$2:$G$400,"No")+COUNTIFS('3. Enablement evidence'!$A$2:$A$400,$A60,'3. Enablement evidence'!$D$2:$D$400,"Generic",'3. Enablement evidence'!$G$2:$G$400,"Partial")=0,"no evidence",IF(COUNTIFS('3. Enablement evidence'!$A$2:$A$400,$A60,'3. Enablement evidence'!$D$2:$D$400,"Generic",'3. Enablement evidence'!$G$2:$G$400,"Yes")+COUNTIFS('3. Enablement evidence'!$A$2:$A$400,$A60,'3. Enablement evidence'!$D$2:$D$400,"Generic",'3. Enablement evidence'!$G$2:$G$400,"No")+COUNTIFS('3. Enablement evidence'!$A$2:$A$400,$A60,'3. Enablement evidence'!$D$2:$D$400,"Generic",'3. Enablement evidence'!$G$2:$G$400,"Partial")&lt;COUNTIFS('3. Enablement evidence'!$A$2:$A$400,$A60,'3. Enablement evidence'!$D$2:$D$400,"Generic"),"incomplete "&amp;COUNTIFS('3. Enablement evidence'!$A$2:$A$400,$A60,'3. Enablement evidence'!$D$2:$D$400,"Generic",'3. Enablement evidence'!$G$2:$G$400,"Yes")&amp;"/"&amp;COUNTIFS('3. Enablement evidence'!$A$2:$A$400,$A60,'3. Enablement evidence'!$D$2:$D$400,"Generic"),IF(COUNTIFS('3. Enablement evidence'!$A$2:$A$400,$A60,'3. Enablement evidence'!$D$2:$D$400,"Generic",'3. Enablement evidence'!$G$2:$G$400,"Yes")&gt;=8,4,IF(AND(COUNTIFS('3. Enablement evidence'!$A$2:$A$400,$A60,'3. Enablement evidence'!$C$2:$C$400,"Published standard",'3. Enablement evidence'!$G$2:$G$400,"Yes")=1,COUNTIFS('3. Enablement evidence'!$A$2:$A$400,$A60,'3. Enablement evidence'!$C$2:$C$400,"Architecture pattern document",'3. Enablement evidence'!$G$2:$G$400,"Yes")+COUNTIFS('3. Enablement evidence'!$A$2:$A$400,$A60,'3. Enablement evidence'!$C$2:$C$400,"Reference architecture",'3. Enablement evidence'!$G$2:$G$400,"Yes")&gt;=1),3,IF(COUNTIFS('3. Enablement evidence'!$A$2:$A$400,$A60,'3. Enablement evidence'!$D$2:$D$400,"Generic",'3. Enablement evidence'!$G$2:$G$400,"Yes")&gt;=1,2,1))))))</f>
        <v/>
      </c>
      <c r="J60" s="20" t="inlineStr"/>
      <c r="K60" s="23" t="inlineStr">
        <is>
          <t>Candidate</t>
        </is>
      </c>
      <c r="L60" s="24" t="inlineStr"/>
      <c r="M60" s="25" t="inlineStr"/>
      <c r="N60" s="20" t="inlineStr"/>
      <c r="O60" s="14" t="inlineStr"/>
    </row>
    <row r="61" ht="26" customHeight="1">
      <c r="A61" s="26" t="inlineStr">
        <is>
          <t>REAL-251</t>
        </is>
      </c>
      <c r="B61" s="26" t="inlineStr">
        <is>
          <t>5.2</t>
        </is>
      </c>
      <c r="C61" s="23" t="inlineStr">
        <is>
          <t>5.5, 7.4</t>
        </is>
      </c>
      <c r="D61" s="27" t="inlineStr">
        <is>
          <t>S6.5 MCP Gateway</t>
        </is>
      </c>
      <c r="E61" s="27" t="inlineStr"/>
      <c r="F61" s="20" t="inlineStr"/>
      <c r="G61" s="20" t="inlineStr"/>
      <c r="H61" s="18" t="n"/>
      <c r="I61" s="19">
        <f>IF(COUNTIFS('3. Enablement evidence'!$A$2:$A$400,$A61,'3. Enablement evidence'!$D$2:$D$400,"Generic")=0,"",IF(COUNTIFS('3. Enablement evidence'!$A$2:$A$400,$A61,'3. Enablement evidence'!$D$2:$D$400,"Generic",'3. Enablement evidence'!$G$2:$G$400,"Yes")+COUNTIFS('3. Enablement evidence'!$A$2:$A$400,$A61,'3. Enablement evidence'!$D$2:$D$400,"Generic",'3. Enablement evidence'!$G$2:$G$400,"No")+COUNTIFS('3. Enablement evidence'!$A$2:$A$400,$A61,'3. Enablement evidence'!$D$2:$D$400,"Generic",'3. Enablement evidence'!$G$2:$G$400,"Partial")=0,"no evidence",IF(COUNTIFS('3. Enablement evidence'!$A$2:$A$400,$A61,'3. Enablement evidence'!$D$2:$D$400,"Generic",'3. Enablement evidence'!$G$2:$G$400,"Yes")+COUNTIFS('3. Enablement evidence'!$A$2:$A$400,$A61,'3. Enablement evidence'!$D$2:$D$400,"Generic",'3. Enablement evidence'!$G$2:$G$400,"No")+COUNTIFS('3. Enablement evidence'!$A$2:$A$400,$A61,'3. Enablement evidence'!$D$2:$D$400,"Generic",'3. Enablement evidence'!$G$2:$G$400,"Partial")&lt;COUNTIFS('3. Enablement evidence'!$A$2:$A$400,$A61,'3. Enablement evidence'!$D$2:$D$400,"Generic"),"incomplete "&amp;COUNTIFS('3. Enablement evidence'!$A$2:$A$400,$A61,'3. Enablement evidence'!$D$2:$D$400,"Generic",'3. Enablement evidence'!$G$2:$G$400,"Yes")&amp;"/"&amp;COUNTIFS('3. Enablement evidence'!$A$2:$A$400,$A61,'3. Enablement evidence'!$D$2:$D$400,"Generic"),IF(COUNTIFS('3. Enablement evidence'!$A$2:$A$400,$A61,'3. Enablement evidence'!$D$2:$D$400,"Generic",'3. Enablement evidence'!$G$2:$G$400,"Yes")&gt;=8,4,IF(AND(COUNTIFS('3. Enablement evidence'!$A$2:$A$400,$A61,'3. Enablement evidence'!$C$2:$C$400,"Published standard",'3. Enablement evidence'!$G$2:$G$400,"Yes")=1,COUNTIFS('3. Enablement evidence'!$A$2:$A$400,$A61,'3. Enablement evidence'!$C$2:$C$400,"Architecture pattern document",'3. Enablement evidence'!$G$2:$G$400,"Yes")+COUNTIFS('3. Enablement evidence'!$A$2:$A$400,$A61,'3. Enablement evidence'!$C$2:$C$400,"Reference architecture",'3. Enablement evidence'!$G$2:$G$400,"Yes")&gt;=1),3,IF(COUNTIFS('3. Enablement evidence'!$A$2:$A$400,$A61,'3. Enablement evidence'!$D$2:$D$400,"Generic",'3. Enablement evidence'!$G$2:$G$400,"Yes")&gt;=1,2,1))))))</f>
        <v/>
      </c>
      <c r="J61" s="20" t="inlineStr"/>
      <c r="K61" s="23" t="inlineStr">
        <is>
          <t>Candidate</t>
        </is>
      </c>
      <c r="L61" s="24" t="inlineStr"/>
      <c r="M61" s="25" t="inlineStr"/>
      <c r="N61" s="20" t="inlineStr"/>
      <c r="O61" s="14" t="inlineStr"/>
    </row>
    <row r="62" ht="26" customHeight="1">
      <c r="A62" s="26" t="inlineStr">
        <is>
          <t>REAL-252</t>
        </is>
      </c>
      <c r="B62" s="26" t="inlineStr">
        <is>
          <t>4.5</t>
        </is>
      </c>
      <c r="C62" s="23" t="inlineStr">
        <is>
          <t>7.4</t>
        </is>
      </c>
      <c r="D62" s="27" t="inlineStr">
        <is>
          <t>S6.8 Identity Propagation &amp; Delegated Authorization</t>
        </is>
      </c>
      <c r="E62" s="27" t="inlineStr"/>
      <c r="F62" s="20" t="inlineStr"/>
      <c r="G62" s="20" t="inlineStr"/>
      <c r="H62" s="18" t="n"/>
      <c r="I62" s="19">
        <f>IF(COUNTIFS('3. Enablement evidence'!$A$2:$A$400,$A62,'3. Enablement evidence'!$D$2:$D$400,"Generic")=0,"",IF(COUNTIFS('3. Enablement evidence'!$A$2:$A$400,$A62,'3. Enablement evidence'!$D$2:$D$400,"Generic",'3. Enablement evidence'!$G$2:$G$400,"Yes")+COUNTIFS('3. Enablement evidence'!$A$2:$A$400,$A62,'3. Enablement evidence'!$D$2:$D$400,"Generic",'3. Enablement evidence'!$G$2:$G$400,"No")+COUNTIFS('3. Enablement evidence'!$A$2:$A$400,$A62,'3. Enablement evidence'!$D$2:$D$400,"Generic",'3. Enablement evidence'!$G$2:$G$400,"Partial")=0,"no evidence",IF(COUNTIFS('3. Enablement evidence'!$A$2:$A$400,$A62,'3. Enablement evidence'!$D$2:$D$400,"Generic",'3. Enablement evidence'!$G$2:$G$400,"Yes")+COUNTIFS('3. Enablement evidence'!$A$2:$A$400,$A62,'3. Enablement evidence'!$D$2:$D$400,"Generic",'3. Enablement evidence'!$G$2:$G$400,"No")+COUNTIFS('3. Enablement evidence'!$A$2:$A$400,$A62,'3. Enablement evidence'!$D$2:$D$400,"Generic",'3. Enablement evidence'!$G$2:$G$400,"Partial")&lt;COUNTIFS('3. Enablement evidence'!$A$2:$A$400,$A62,'3. Enablement evidence'!$D$2:$D$400,"Generic"),"incomplete "&amp;COUNTIFS('3. Enablement evidence'!$A$2:$A$400,$A62,'3. Enablement evidence'!$D$2:$D$400,"Generic",'3. Enablement evidence'!$G$2:$G$400,"Yes")&amp;"/"&amp;COUNTIFS('3. Enablement evidence'!$A$2:$A$400,$A62,'3. Enablement evidence'!$D$2:$D$400,"Generic"),IF(COUNTIFS('3. Enablement evidence'!$A$2:$A$400,$A62,'3. Enablement evidence'!$D$2:$D$400,"Generic",'3. Enablement evidence'!$G$2:$G$400,"Yes")&gt;=8,4,IF(AND(COUNTIFS('3. Enablement evidence'!$A$2:$A$400,$A62,'3. Enablement evidence'!$C$2:$C$400,"Published standard",'3. Enablement evidence'!$G$2:$G$400,"Yes")=1,COUNTIFS('3. Enablement evidence'!$A$2:$A$400,$A62,'3. Enablement evidence'!$C$2:$C$400,"Architecture pattern document",'3. Enablement evidence'!$G$2:$G$400,"Yes")+COUNTIFS('3. Enablement evidence'!$A$2:$A$400,$A62,'3. Enablement evidence'!$C$2:$C$400,"Reference architecture",'3. Enablement evidence'!$G$2:$G$400,"Yes")&gt;=1),3,IF(COUNTIFS('3. Enablement evidence'!$A$2:$A$400,$A62,'3. Enablement evidence'!$D$2:$D$400,"Generic",'3. Enablement evidence'!$G$2:$G$400,"Yes")&gt;=1,2,1))))))</f>
        <v/>
      </c>
      <c r="J62" s="20" t="inlineStr"/>
      <c r="K62" s="23" t="inlineStr">
        <is>
          <t>Candidate</t>
        </is>
      </c>
      <c r="L62" s="24" t="inlineStr"/>
      <c r="M62" s="25" t="inlineStr"/>
      <c r="N62" s="20" t="inlineStr"/>
      <c r="O62" s="14" t="inlineStr"/>
    </row>
    <row r="63" ht="26" customHeight="1">
      <c r="A63" s="26" t="inlineStr">
        <is>
          <t>REAL-253</t>
        </is>
      </c>
      <c r="B63" s="26" t="inlineStr">
        <is>
          <t>7.2</t>
        </is>
      </c>
      <c r="C63" s="23" t="inlineStr">
        <is>
          <t>7.4</t>
        </is>
      </c>
      <c r="D63" s="27" t="inlineStr">
        <is>
          <t>S7.1 Input Content Filtering</t>
        </is>
      </c>
      <c r="E63" s="27" t="inlineStr"/>
      <c r="F63" s="20" t="inlineStr"/>
      <c r="G63" s="20" t="inlineStr"/>
      <c r="H63" s="18" t="n"/>
      <c r="I63" s="19">
        <f>IF(COUNTIFS('3. Enablement evidence'!$A$2:$A$400,$A63,'3. Enablement evidence'!$D$2:$D$400,"Generic")=0,"",IF(COUNTIFS('3. Enablement evidence'!$A$2:$A$400,$A63,'3. Enablement evidence'!$D$2:$D$400,"Generic",'3. Enablement evidence'!$G$2:$G$400,"Yes")+COUNTIFS('3. Enablement evidence'!$A$2:$A$400,$A63,'3. Enablement evidence'!$D$2:$D$400,"Generic",'3. Enablement evidence'!$G$2:$G$400,"No")+COUNTIFS('3. Enablement evidence'!$A$2:$A$400,$A63,'3. Enablement evidence'!$D$2:$D$400,"Generic",'3. Enablement evidence'!$G$2:$G$400,"Partial")=0,"no evidence",IF(COUNTIFS('3. Enablement evidence'!$A$2:$A$400,$A63,'3. Enablement evidence'!$D$2:$D$400,"Generic",'3. Enablement evidence'!$G$2:$G$400,"Yes")+COUNTIFS('3. Enablement evidence'!$A$2:$A$400,$A63,'3. Enablement evidence'!$D$2:$D$400,"Generic",'3. Enablement evidence'!$G$2:$G$400,"No")+COUNTIFS('3. Enablement evidence'!$A$2:$A$400,$A63,'3. Enablement evidence'!$D$2:$D$400,"Generic",'3. Enablement evidence'!$G$2:$G$400,"Partial")&lt;COUNTIFS('3. Enablement evidence'!$A$2:$A$400,$A63,'3. Enablement evidence'!$D$2:$D$400,"Generic"),"incomplete "&amp;COUNTIFS('3. Enablement evidence'!$A$2:$A$400,$A63,'3. Enablement evidence'!$D$2:$D$400,"Generic",'3. Enablement evidence'!$G$2:$G$400,"Yes")&amp;"/"&amp;COUNTIFS('3. Enablement evidence'!$A$2:$A$400,$A63,'3. Enablement evidence'!$D$2:$D$400,"Generic"),IF(COUNTIFS('3. Enablement evidence'!$A$2:$A$400,$A63,'3. Enablement evidence'!$D$2:$D$400,"Generic",'3. Enablement evidence'!$G$2:$G$400,"Yes")&gt;=8,4,IF(AND(COUNTIFS('3. Enablement evidence'!$A$2:$A$400,$A63,'3. Enablement evidence'!$C$2:$C$400,"Published standard",'3. Enablement evidence'!$G$2:$G$400,"Yes")=1,COUNTIFS('3. Enablement evidence'!$A$2:$A$400,$A63,'3. Enablement evidence'!$C$2:$C$400,"Architecture pattern document",'3. Enablement evidence'!$G$2:$G$400,"Yes")+COUNTIFS('3. Enablement evidence'!$A$2:$A$400,$A63,'3. Enablement evidence'!$C$2:$C$400,"Reference architecture",'3. Enablement evidence'!$G$2:$G$400,"Yes")&gt;=1),3,IF(COUNTIFS('3. Enablement evidence'!$A$2:$A$400,$A63,'3. Enablement evidence'!$D$2:$D$400,"Generic",'3. Enablement evidence'!$G$2:$G$400,"Yes")&gt;=1,2,1))))))</f>
        <v/>
      </c>
      <c r="J63" s="20" t="inlineStr"/>
      <c r="K63" s="23" t="inlineStr">
        <is>
          <t>Candidate</t>
        </is>
      </c>
      <c r="L63" s="24" t="inlineStr"/>
      <c r="M63" s="25" t="inlineStr"/>
      <c r="N63" s="20" t="inlineStr"/>
      <c r="O63" s="14" t="inlineStr"/>
    </row>
    <row r="64" ht="26" customHeight="1">
      <c r="A64" s="26" t="inlineStr">
        <is>
          <t>REAL-254</t>
        </is>
      </c>
      <c r="B64" s="26" t="inlineStr">
        <is>
          <t>7.4</t>
        </is>
      </c>
      <c r="C64" s="23" t="inlineStr"/>
      <c r="D64" s="27" t="inlineStr">
        <is>
          <t>S7.2 Output Content Filtering</t>
        </is>
      </c>
      <c r="E64" s="27" t="inlineStr"/>
      <c r="F64" s="20" t="inlineStr"/>
      <c r="G64" s="20" t="inlineStr"/>
      <c r="H64" s="18" t="n"/>
      <c r="I64" s="19">
        <f>IF(COUNTIFS('3. Enablement evidence'!$A$2:$A$400,$A64,'3. Enablement evidence'!$D$2:$D$400,"Generic")=0,"",IF(COUNTIFS('3. Enablement evidence'!$A$2:$A$400,$A64,'3. Enablement evidence'!$D$2:$D$400,"Generic",'3. Enablement evidence'!$G$2:$G$400,"Yes")+COUNTIFS('3. Enablement evidence'!$A$2:$A$400,$A64,'3. Enablement evidence'!$D$2:$D$400,"Generic",'3. Enablement evidence'!$G$2:$G$400,"No")+COUNTIFS('3. Enablement evidence'!$A$2:$A$400,$A64,'3. Enablement evidence'!$D$2:$D$400,"Generic",'3. Enablement evidence'!$G$2:$G$400,"Partial")=0,"no evidence",IF(COUNTIFS('3. Enablement evidence'!$A$2:$A$400,$A64,'3. Enablement evidence'!$D$2:$D$400,"Generic",'3. Enablement evidence'!$G$2:$G$400,"Yes")+COUNTIFS('3. Enablement evidence'!$A$2:$A$400,$A64,'3. Enablement evidence'!$D$2:$D$400,"Generic",'3. Enablement evidence'!$G$2:$G$400,"No")+COUNTIFS('3. Enablement evidence'!$A$2:$A$400,$A64,'3. Enablement evidence'!$D$2:$D$400,"Generic",'3. Enablement evidence'!$G$2:$G$400,"Partial")&lt;COUNTIFS('3. Enablement evidence'!$A$2:$A$400,$A64,'3. Enablement evidence'!$D$2:$D$400,"Generic"),"incomplete "&amp;COUNTIFS('3. Enablement evidence'!$A$2:$A$400,$A64,'3. Enablement evidence'!$D$2:$D$400,"Generic",'3. Enablement evidence'!$G$2:$G$400,"Yes")&amp;"/"&amp;COUNTIFS('3. Enablement evidence'!$A$2:$A$400,$A64,'3. Enablement evidence'!$D$2:$D$400,"Generic"),IF(COUNTIFS('3. Enablement evidence'!$A$2:$A$400,$A64,'3. Enablement evidence'!$D$2:$D$400,"Generic",'3. Enablement evidence'!$G$2:$G$400,"Yes")&gt;=8,4,IF(AND(COUNTIFS('3. Enablement evidence'!$A$2:$A$400,$A64,'3. Enablement evidence'!$C$2:$C$400,"Published standard",'3. Enablement evidence'!$G$2:$G$400,"Yes")=1,COUNTIFS('3. Enablement evidence'!$A$2:$A$400,$A64,'3. Enablement evidence'!$C$2:$C$400,"Architecture pattern document",'3. Enablement evidence'!$G$2:$G$400,"Yes")+COUNTIFS('3. Enablement evidence'!$A$2:$A$400,$A64,'3. Enablement evidence'!$C$2:$C$400,"Reference architecture",'3. Enablement evidence'!$G$2:$G$400,"Yes")&gt;=1),3,IF(COUNTIFS('3. Enablement evidence'!$A$2:$A$400,$A64,'3. Enablement evidence'!$D$2:$D$400,"Generic",'3. Enablement evidence'!$G$2:$G$400,"Yes")&gt;=1,2,1))))))</f>
        <v/>
      </c>
      <c r="J64" s="20" t="inlineStr"/>
      <c r="K64" s="23" t="inlineStr">
        <is>
          <t>Candidate</t>
        </is>
      </c>
      <c r="L64" s="24" t="inlineStr"/>
      <c r="M64" s="25" t="inlineStr"/>
      <c r="N64" s="20" t="inlineStr"/>
      <c r="O64" s="14" t="inlineStr"/>
    </row>
    <row r="65" ht="26" customHeight="1">
      <c r="A65" s="26" t="inlineStr">
        <is>
          <t>REAL-255</t>
        </is>
      </c>
      <c r="B65" s="26" t="inlineStr">
        <is>
          <t>3.1</t>
        </is>
      </c>
      <c r="C65" s="23" t="inlineStr">
        <is>
          <t>7.5</t>
        </is>
      </c>
      <c r="D65" s="27" t="inlineStr">
        <is>
          <t>S7.3 Sensitive Data Redaction &amp; Masking</t>
        </is>
      </c>
      <c r="E65" s="27" t="inlineStr"/>
      <c r="F65" s="20" t="inlineStr"/>
      <c r="G65" s="20" t="inlineStr"/>
      <c r="H65" s="18" t="n"/>
      <c r="I65" s="19">
        <f>IF(COUNTIFS('3. Enablement evidence'!$A$2:$A$400,$A65,'3. Enablement evidence'!$D$2:$D$400,"Generic")=0,"",IF(COUNTIFS('3. Enablement evidence'!$A$2:$A$400,$A65,'3. Enablement evidence'!$D$2:$D$400,"Generic",'3. Enablement evidence'!$G$2:$G$400,"Yes")+COUNTIFS('3. Enablement evidence'!$A$2:$A$400,$A65,'3. Enablement evidence'!$D$2:$D$400,"Generic",'3. Enablement evidence'!$G$2:$G$400,"No")+COUNTIFS('3. Enablement evidence'!$A$2:$A$400,$A65,'3. Enablement evidence'!$D$2:$D$400,"Generic",'3. Enablement evidence'!$G$2:$G$400,"Partial")=0,"no evidence",IF(COUNTIFS('3. Enablement evidence'!$A$2:$A$400,$A65,'3. Enablement evidence'!$D$2:$D$400,"Generic",'3. Enablement evidence'!$G$2:$G$400,"Yes")+COUNTIFS('3. Enablement evidence'!$A$2:$A$400,$A65,'3. Enablement evidence'!$D$2:$D$400,"Generic",'3. Enablement evidence'!$G$2:$G$400,"No")+COUNTIFS('3. Enablement evidence'!$A$2:$A$400,$A65,'3. Enablement evidence'!$D$2:$D$400,"Generic",'3. Enablement evidence'!$G$2:$G$400,"Partial")&lt;COUNTIFS('3. Enablement evidence'!$A$2:$A$400,$A65,'3. Enablement evidence'!$D$2:$D$400,"Generic"),"incomplete "&amp;COUNTIFS('3. Enablement evidence'!$A$2:$A$400,$A65,'3. Enablement evidence'!$D$2:$D$400,"Generic",'3. Enablement evidence'!$G$2:$G$400,"Yes")&amp;"/"&amp;COUNTIFS('3. Enablement evidence'!$A$2:$A$400,$A65,'3. Enablement evidence'!$D$2:$D$400,"Generic"),IF(COUNTIFS('3. Enablement evidence'!$A$2:$A$400,$A65,'3. Enablement evidence'!$D$2:$D$400,"Generic",'3. Enablement evidence'!$G$2:$G$400,"Yes")&gt;=8,4,IF(AND(COUNTIFS('3. Enablement evidence'!$A$2:$A$400,$A65,'3. Enablement evidence'!$C$2:$C$400,"Published standard",'3. Enablement evidence'!$G$2:$G$400,"Yes")=1,COUNTIFS('3. Enablement evidence'!$A$2:$A$400,$A65,'3. Enablement evidence'!$C$2:$C$400,"Architecture pattern document",'3. Enablement evidence'!$G$2:$G$400,"Yes")+COUNTIFS('3. Enablement evidence'!$A$2:$A$400,$A65,'3. Enablement evidence'!$C$2:$C$400,"Reference architecture",'3. Enablement evidence'!$G$2:$G$400,"Yes")&gt;=1),3,IF(COUNTIFS('3. Enablement evidence'!$A$2:$A$400,$A65,'3. Enablement evidence'!$D$2:$D$400,"Generic",'3. Enablement evidence'!$G$2:$G$400,"Yes")&gt;=1,2,1))))))</f>
        <v/>
      </c>
      <c r="J65" s="20" t="inlineStr"/>
      <c r="K65" s="23" t="inlineStr">
        <is>
          <t>Candidate</t>
        </is>
      </c>
      <c r="L65" s="24" t="inlineStr"/>
      <c r="M65" s="25" t="inlineStr"/>
      <c r="N65" s="20" t="inlineStr"/>
      <c r="O65" s="14" t="inlineStr"/>
    </row>
    <row r="66" ht="26" customHeight="1">
      <c r="A66" s="26" t="inlineStr">
        <is>
          <t>REAL-256</t>
        </is>
      </c>
      <c r="B66" s="26" t="inlineStr">
        <is>
          <t>7.4</t>
        </is>
      </c>
      <c r="C66" s="23" t="inlineStr"/>
      <c r="D66" s="27" t="inlineStr">
        <is>
          <t>S7.4 Prompt Injection &amp; Jailbreak Detection</t>
        </is>
      </c>
      <c r="E66" s="27" t="inlineStr"/>
      <c r="F66" s="20" t="inlineStr"/>
      <c r="G66" s="20" t="inlineStr"/>
      <c r="H66" s="18" t="n"/>
      <c r="I66" s="19">
        <f>IF(COUNTIFS('3. Enablement evidence'!$A$2:$A$400,$A66,'3. Enablement evidence'!$D$2:$D$400,"Generic")=0,"",IF(COUNTIFS('3. Enablement evidence'!$A$2:$A$400,$A66,'3. Enablement evidence'!$D$2:$D$400,"Generic",'3. Enablement evidence'!$G$2:$G$400,"Yes")+COUNTIFS('3. Enablement evidence'!$A$2:$A$400,$A66,'3. Enablement evidence'!$D$2:$D$400,"Generic",'3. Enablement evidence'!$G$2:$G$400,"No")+COUNTIFS('3. Enablement evidence'!$A$2:$A$400,$A66,'3. Enablement evidence'!$D$2:$D$400,"Generic",'3. Enablement evidence'!$G$2:$G$400,"Partial")=0,"no evidence",IF(COUNTIFS('3. Enablement evidence'!$A$2:$A$400,$A66,'3. Enablement evidence'!$D$2:$D$400,"Generic",'3. Enablement evidence'!$G$2:$G$400,"Yes")+COUNTIFS('3. Enablement evidence'!$A$2:$A$400,$A66,'3. Enablement evidence'!$D$2:$D$400,"Generic",'3. Enablement evidence'!$G$2:$G$400,"No")+COUNTIFS('3. Enablement evidence'!$A$2:$A$400,$A66,'3. Enablement evidence'!$D$2:$D$400,"Generic",'3. Enablement evidence'!$G$2:$G$400,"Partial")&lt;COUNTIFS('3. Enablement evidence'!$A$2:$A$400,$A66,'3. Enablement evidence'!$D$2:$D$400,"Generic"),"incomplete "&amp;COUNTIFS('3. Enablement evidence'!$A$2:$A$400,$A66,'3. Enablement evidence'!$D$2:$D$400,"Generic",'3. Enablement evidence'!$G$2:$G$400,"Yes")&amp;"/"&amp;COUNTIFS('3. Enablement evidence'!$A$2:$A$400,$A66,'3. Enablement evidence'!$D$2:$D$400,"Generic"),IF(COUNTIFS('3. Enablement evidence'!$A$2:$A$400,$A66,'3. Enablement evidence'!$D$2:$D$400,"Generic",'3. Enablement evidence'!$G$2:$G$400,"Yes")&gt;=8,4,IF(AND(COUNTIFS('3. Enablement evidence'!$A$2:$A$400,$A66,'3. Enablement evidence'!$C$2:$C$400,"Published standard",'3. Enablement evidence'!$G$2:$G$400,"Yes")=1,COUNTIFS('3. Enablement evidence'!$A$2:$A$400,$A66,'3. Enablement evidence'!$C$2:$C$400,"Architecture pattern document",'3. Enablement evidence'!$G$2:$G$400,"Yes")+COUNTIFS('3. Enablement evidence'!$A$2:$A$400,$A66,'3. Enablement evidence'!$C$2:$C$400,"Reference architecture",'3. Enablement evidence'!$G$2:$G$400,"Yes")&gt;=1),3,IF(COUNTIFS('3. Enablement evidence'!$A$2:$A$400,$A66,'3. Enablement evidence'!$D$2:$D$400,"Generic",'3. Enablement evidence'!$G$2:$G$400,"Yes")&gt;=1,2,1))))))</f>
        <v/>
      </c>
      <c r="J66" s="20" t="inlineStr"/>
      <c r="K66" s="23" t="inlineStr">
        <is>
          <t>Candidate</t>
        </is>
      </c>
      <c r="L66" s="24" t="inlineStr"/>
      <c r="M66" s="25" t="inlineStr"/>
      <c r="N66" s="20" t="inlineStr"/>
      <c r="O66" s="14" t="inlineStr"/>
    </row>
    <row r="67" ht="26" customHeight="1">
      <c r="A67" s="26" t="inlineStr">
        <is>
          <t>REAL-257</t>
        </is>
      </c>
      <c r="B67" s="26" t="inlineStr">
        <is>
          <t>3.6</t>
        </is>
      </c>
      <c r="C67" s="23" t="inlineStr">
        <is>
          <t>6.3</t>
        </is>
      </c>
      <c r="D67" s="27" t="inlineStr">
        <is>
          <t>S7.5 Groundedness &amp; Hallucination Detection</t>
        </is>
      </c>
      <c r="E67" s="27" t="inlineStr"/>
      <c r="F67" s="20" t="inlineStr"/>
      <c r="G67" s="20" t="inlineStr"/>
      <c r="H67" s="18" t="n"/>
      <c r="I67" s="19">
        <f>IF(COUNTIFS('3. Enablement evidence'!$A$2:$A$400,$A67,'3. Enablement evidence'!$D$2:$D$400,"Generic")=0,"",IF(COUNTIFS('3. Enablement evidence'!$A$2:$A$400,$A67,'3. Enablement evidence'!$D$2:$D$400,"Generic",'3. Enablement evidence'!$G$2:$G$400,"Yes")+COUNTIFS('3. Enablement evidence'!$A$2:$A$400,$A67,'3. Enablement evidence'!$D$2:$D$400,"Generic",'3. Enablement evidence'!$G$2:$G$400,"No")+COUNTIFS('3. Enablement evidence'!$A$2:$A$400,$A67,'3. Enablement evidence'!$D$2:$D$400,"Generic",'3. Enablement evidence'!$G$2:$G$400,"Partial")=0,"no evidence",IF(COUNTIFS('3. Enablement evidence'!$A$2:$A$400,$A67,'3. Enablement evidence'!$D$2:$D$400,"Generic",'3. Enablement evidence'!$G$2:$G$400,"Yes")+COUNTIFS('3. Enablement evidence'!$A$2:$A$400,$A67,'3. Enablement evidence'!$D$2:$D$400,"Generic",'3. Enablement evidence'!$G$2:$G$400,"No")+COUNTIFS('3. Enablement evidence'!$A$2:$A$400,$A67,'3. Enablement evidence'!$D$2:$D$400,"Generic",'3. Enablement evidence'!$G$2:$G$400,"Partial")&lt;COUNTIFS('3. Enablement evidence'!$A$2:$A$400,$A67,'3. Enablement evidence'!$D$2:$D$400,"Generic"),"incomplete "&amp;COUNTIFS('3. Enablement evidence'!$A$2:$A$400,$A67,'3. Enablement evidence'!$D$2:$D$400,"Generic",'3. Enablement evidence'!$G$2:$G$400,"Yes")&amp;"/"&amp;COUNTIFS('3. Enablement evidence'!$A$2:$A$400,$A67,'3. Enablement evidence'!$D$2:$D$400,"Generic"),IF(COUNTIFS('3. Enablement evidence'!$A$2:$A$400,$A67,'3. Enablement evidence'!$D$2:$D$400,"Generic",'3. Enablement evidence'!$G$2:$G$400,"Yes")&gt;=8,4,IF(AND(COUNTIFS('3. Enablement evidence'!$A$2:$A$400,$A67,'3. Enablement evidence'!$C$2:$C$400,"Published standard",'3. Enablement evidence'!$G$2:$G$400,"Yes")=1,COUNTIFS('3. Enablement evidence'!$A$2:$A$400,$A67,'3. Enablement evidence'!$C$2:$C$400,"Architecture pattern document",'3. Enablement evidence'!$G$2:$G$400,"Yes")+COUNTIFS('3. Enablement evidence'!$A$2:$A$400,$A67,'3. Enablement evidence'!$C$2:$C$400,"Reference architecture",'3. Enablement evidence'!$G$2:$G$400,"Yes")&gt;=1),3,IF(COUNTIFS('3. Enablement evidence'!$A$2:$A$400,$A67,'3. Enablement evidence'!$D$2:$D$400,"Generic",'3. Enablement evidence'!$G$2:$G$400,"Yes")&gt;=1,2,1))))))</f>
        <v/>
      </c>
      <c r="J67" s="20" t="inlineStr"/>
      <c r="K67" s="23" t="inlineStr">
        <is>
          <t>Candidate</t>
        </is>
      </c>
      <c r="L67" s="24" t="inlineStr"/>
      <c r="M67" s="25" t="inlineStr"/>
      <c r="N67" s="20" t="inlineStr"/>
      <c r="O67" s="14" t="inlineStr"/>
    </row>
    <row r="68" ht="26" customHeight="1">
      <c r="A68" s="26" t="inlineStr">
        <is>
          <t>REAL-258</t>
        </is>
      </c>
      <c r="B68" s="26" t="inlineStr">
        <is>
          <t>4.4</t>
        </is>
      </c>
      <c r="C68" s="23" t="inlineStr">
        <is>
          <t>7.1</t>
        </is>
      </c>
      <c r="D68" s="27" t="inlineStr">
        <is>
          <t>S7.6 Topic &amp; Scope Enforcement</t>
        </is>
      </c>
      <c r="E68" s="27" t="inlineStr"/>
      <c r="F68" s="20" t="inlineStr"/>
      <c r="G68" s="20" t="inlineStr"/>
      <c r="H68" s="18" t="n"/>
      <c r="I68" s="19">
        <f>IF(COUNTIFS('3. Enablement evidence'!$A$2:$A$400,$A68,'3. Enablement evidence'!$D$2:$D$400,"Generic")=0,"",IF(COUNTIFS('3. Enablement evidence'!$A$2:$A$400,$A68,'3. Enablement evidence'!$D$2:$D$400,"Generic",'3. Enablement evidence'!$G$2:$G$400,"Yes")+COUNTIFS('3. Enablement evidence'!$A$2:$A$400,$A68,'3. Enablement evidence'!$D$2:$D$400,"Generic",'3. Enablement evidence'!$G$2:$G$400,"No")+COUNTIFS('3. Enablement evidence'!$A$2:$A$400,$A68,'3. Enablement evidence'!$D$2:$D$400,"Generic",'3. Enablement evidence'!$G$2:$G$400,"Partial")=0,"no evidence",IF(COUNTIFS('3. Enablement evidence'!$A$2:$A$400,$A68,'3. Enablement evidence'!$D$2:$D$400,"Generic",'3. Enablement evidence'!$G$2:$G$400,"Yes")+COUNTIFS('3. Enablement evidence'!$A$2:$A$400,$A68,'3. Enablement evidence'!$D$2:$D$400,"Generic",'3. Enablement evidence'!$G$2:$G$400,"No")+COUNTIFS('3. Enablement evidence'!$A$2:$A$400,$A68,'3. Enablement evidence'!$D$2:$D$400,"Generic",'3. Enablement evidence'!$G$2:$G$400,"Partial")&lt;COUNTIFS('3. Enablement evidence'!$A$2:$A$400,$A68,'3. Enablement evidence'!$D$2:$D$400,"Generic"),"incomplete "&amp;COUNTIFS('3. Enablement evidence'!$A$2:$A$400,$A68,'3. Enablement evidence'!$D$2:$D$400,"Generic",'3. Enablement evidence'!$G$2:$G$400,"Yes")&amp;"/"&amp;COUNTIFS('3. Enablement evidence'!$A$2:$A$400,$A68,'3. Enablement evidence'!$D$2:$D$400,"Generic"),IF(COUNTIFS('3. Enablement evidence'!$A$2:$A$400,$A68,'3. Enablement evidence'!$D$2:$D$400,"Generic",'3. Enablement evidence'!$G$2:$G$400,"Yes")&gt;=8,4,IF(AND(COUNTIFS('3. Enablement evidence'!$A$2:$A$400,$A68,'3. Enablement evidence'!$C$2:$C$400,"Published standard",'3. Enablement evidence'!$G$2:$G$400,"Yes")=1,COUNTIFS('3. Enablement evidence'!$A$2:$A$400,$A68,'3. Enablement evidence'!$C$2:$C$400,"Architecture pattern document",'3. Enablement evidence'!$G$2:$G$400,"Yes")+COUNTIFS('3. Enablement evidence'!$A$2:$A$400,$A68,'3. Enablement evidence'!$C$2:$C$400,"Reference architecture",'3. Enablement evidence'!$G$2:$G$400,"Yes")&gt;=1),3,IF(COUNTIFS('3. Enablement evidence'!$A$2:$A$400,$A68,'3. Enablement evidence'!$D$2:$D$400,"Generic",'3. Enablement evidence'!$G$2:$G$400,"Yes")&gt;=1,2,1))))))</f>
        <v/>
      </c>
      <c r="J68" s="20" t="inlineStr"/>
      <c r="K68" s="23" t="inlineStr">
        <is>
          <t>Candidate</t>
        </is>
      </c>
      <c r="L68" s="24" t="inlineStr"/>
      <c r="M68" s="25" t="inlineStr"/>
      <c r="N68" s="20" t="inlineStr"/>
      <c r="O68" s="14" t="inlineStr"/>
    </row>
    <row r="69" ht="26" customHeight="1">
      <c r="A69" s="26" t="inlineStr">
        <is>
          <t>REAL-259</t>
        </is>
      </c>
      <c r="B69" s="26" t="inlineStr">
        <is>
          <t>7.5</t>
        </is>
      </c>
      <c r="C69" s="23" t="inlineStr">
        <is>
          <t>7.6</t>
        </is>
      </c>
      <c r="D69" s="27" t="inlineStr">
        <is>
          <t>S7.7 Protected Material &amp; IP Leakage Detection</t>
        </is>
      </c>
      <c r="E69" s="27" t="inlineStr"/>
      <c r="F69" s="20" t="inlineStr"/>
      <c r="G69" s="20" t="inlineStr"/>
      <c r="H69" s="18" t="n"/>
      <c r="I69" s="19">
        <f>IF(COUNTIFS('3. Enablement evidence'!$A$2:$A$400,$A69,'3. Enablement evidence'!$D$2:$D$400,"Generic")=0,"",IF(COUNTIFS('3. Enablement evidence'!$A$2:$A$400,$A69,'3. Enablement evidence'!$D$2:$D$400,"Generic",'3. Enablement evidence'!$G$2:$G$400,"Yes")+COUNTIFS('3. Enablement evidence'!$A$2:$A$400,$A69,'3. Enablement evidence'!$D$2:$D$400,"Generic",'3. Enablement evidence'!$G$2:$G$400,"No")+COUNTIFS('3. Enablement evidence'!$A$2:$A$400,$A69,'3. Enablement evidence'!$D$2:$D$400,"Generic",'3. Enablement evidence'!$G$2:$G$400,"Partial")=0,"no evidence",IF(COUNTIFS('3. Enablement evidence'!$A$2:$A$400,$A69,'3. Enablement evidence'!$D$2:$D$400,"Generic",'3. Enablement evidence'!$G$2:$G$400,"Yes")+COUNTIFS('3. Enablement evidence'!$A$2:$A$400,$A69,'3. Enablement evidence'!$D$2:$D$400,"Generic",'3. Enablement evidence'!$G$2:$G$400,"No")+COUNTIFS('3. Enablement evidence'!$A$2:$A$400,$A69,'3. Enablement evidence'!$D$2:$D$400,"Generic",'3. Enablement evidence'!$G$2:$G$400,"Partial")&lt;COUNTIFS('3. Enablement evidence'!$A$2:$A$400,$A69,'3. Enablement evidence'!$D$2:$D$400,"Generic"),"incomplete "&amp;COUNTIFS('3. Enablement evidence'!$A$2:$A$400,$A69,'3. Enablement evidence'!$D$2:$D$400,"Generic",'3. Enablement evidence'!$G$2:$G$400,"Yes")&amp;"/"&amp;COUNTIFS('3. Enablement evidence'!$A$2:$A$400,$A69,'3. Enablement evidence'!$D$2:$D$400,"Generic"),IF(COUNTIFS('3. Enablement evidence'!$A$2:$A$400,$A69,'3. Enablement evidence'!$D$2:$D$400,"Generic",'3. Enablement evidence'!$G$2:$G$400,"Yes")&gt;=8,4,IF(AND(COUNTIFS('3. Enablement evidence'!$A$2:$A$400,$A69,'3. Enablement evidence'!$C$2:$C$400,"Published standard",'3. Enablement evidence'!$G$2:$G$400,"Yes")=1,COUNTIFS('3. Enablement evidence'!$A$2:$A$400,$A69,'3. Enablement evidence'!$C$2:$C$400,"Architecture pattern document",'3. Enablement evidence'!$G$2:$G$400,"Yes")+COUNTIFS('3. Enablement evidence'!$A$2:$A$400,$A69,'3. Enablement evidence'!$C$2:$C$400,"Reference architecture",'3. Enablement evidence'!$G$2:$G$400,"Yes")&gt;=1),3,IF(COUNTIFS('3. Enablement evidence'!$A$2:$A$400,$A69,'3. Enablement evidence'!$D$2:$D$400,"Generic",'3. Enablement evidence'!$G$2:$G$400,"Yes")&gt;=1,2,1))))))</f>
        <v/>
      </c>
      <c r="J69" s="20" t="inlineStr"/>
      <c r="K69" s="23" t="inlineStr">
        <is>
          <t>Candidate</t>
        </is>
      </c>
      <c r="L69" s="24" t="inlineStr"/>
      <c r="M69" s="25" t="inlineStr"/>
      <c r="N69" s="20" t="inlineStr"/>
      <c r="O69" s="14" t="inlineStr"/>
    </row>
    <row r="70" ht="26" customHeight="1">
      <c r="A70" s="26" t="inlineStr">
        <is>
          <t>REAL-260</t>
        </is>
      </c>
      <c r="B70" s="26" t="inlineStr">
        <is>
          <t>6.2</t>
        </is>
      </c>
      <c r="C70" s="23" t="inlineStr">
        <is>
          <t>7.2</t>
        </is>
      </c>
      <c r="D70" s="27" t="inlineStr">
        <is>
          <t>S7.8 Agent Action &amp; Task Adherence Monitoring</t>
        </is>
      </c>
      <c r="E70" s="27" t="inlineStr"/>
      <c r="F70" s="20" t="inlineStr"/>
      <c r="G70" s="20" t="inlineStr"/>
      <c r="H70" s="18" t="n"/>
      <c r="I70" s="19">
        <f>IF(COUNTIFS('3. Enablement evidence'!$A$2:$A$400,$A70,'3. Enablement evidence'!$D$2:$D$400,"Generic")=0,"",IF(COUNTIFS('3. Enablement evidence'!$A$2:$A$400,$A70,'3. Enablement evidence'!$D$2:$D$400,"Generic",'3. Enablement evidence'!$G$2:$G$400,"Yes")+COUNTIFS('3. Enablement evidence'!$A$2:$A$400,$A70,'3. Enablement evidence'!$D$2:$D$400,"Generic",'3. Enablement evidence'!$G$2:$G$400,"No")+COUNTIFS('3. Enablement evidence'!$A$2:$A$400,$A70,'3. Enablement evidence'!$D$2:$D$400,"Generic",'3. Enablement evidence'!$G$2:$G$400,"Partial")=0,"no evidence",IF(COUNTIFS('3. Enablement evidence'!$A$2:$A$400,$A70,'3. Enablement evidence'!$D$2:$D$400,"Generic",'3. Enablement evidence'!$G$2:$G$400,"Yes")+COUNTIFS('3. Enablement evidence'!$A$2:$A$400,$A70,'3. Enablement evidence'!$D$2:$D$400,"Generic",'3. Enablement evidence'!$G$2:$G$400,"No")+COUNTIFS('3. Enablement evidence'!$A$2:$A$400,$A70,'3. Enablement evidence'!$D$2:$D$400,"Generic",'3. Enablement evidence'!$G$2:$G$400,"Partial")&lt;COUNTIFS('3. Enablement evidence'!$A$2:$A$400,$A70,'3. Enablement evidence'!$D$2:$D$400,"Generic"),"incomplete "&amp;COUNTIFS('3. Enablement evidence'!$A$2:$A$400,$A70,'3. Enablement evidence'!$D$2:$D$400,"Generic",'3. Enablement evidence'!$G$2:$G$400,"Yes")&amp;"/"&amp;COUNTIFS('3. Enablement evidence'!$A$2:$A$400,$A70,'3. Enablement evidence'!$D$2:$D$400,"Generic"),IF(COUNTIFS('3. Enablement evidence'!$A$2:$A$400,$A70,'3. Enablement evidence'!$D$2:$D$400,"Generic",'3. Enablement evidence'!$G$2:$G$400,"Yes")&gt;=8,4,IF(AND(COUNTIFS('3. Enablement evidence'!$A$2:$A$400,$A70,'3. Enablement evidence'!$C$2:$C$400,"Published standard",'3. Enablement evidence'!$G$2:$G$400,"Yes")=1,COUNTIFS('3. Enablement evidence'!$A$2:$A$400,$A70,'3. Enablement evidence'!$C$2:$C$400,"Architecture pattern document",'3. Enablement evidence'!$G$2:$G$400,"Yes")+COUNTIFS('3. Enablement evidence'!$A$2:$A$400,$A70,'3. Enablement evidence'!$C$2:$C$400,"Reference architecture",'3. Enablement evidence'!$G$2:$G$400,"Yes")&gt;=1),3,IF(COUNTIFS('3. Enablement evidence'!$A$2:$A$400,$A70,'3. Enablement evidence'!$D$2:$D$400,"Generic",'3. Enablement evidence'!$G$2:$G$400,"Yes")&gt;=1,2,1))))))</f>
        <v/>
      </c>
      <c r="J70" s="20" t="inlineStr"/>
      <c r="K70" s="23" t="inlineStr">
        <is>
          <t>Candidate</t>
        </is>
      </c>
      <c r="L70" s="24" t="inlineStr"/>
      <c r="M70" s="25" t="inlineStr"/>
      <c r="N70" s="20" t="inlineStr"/>
      <c r="O70" s="14" t="inlineStr"/>
    </row>
    <row r="71" ht="26" customHeight="1">
      <c r="A71" s="26" t="inlineStr">
        <is>
          <t>REAL-261</t>
        </is>
      </c>
      <c r="B71" s="26" t="inlineStr">
        <is>
          <t>5.5</t>
        </is>
      </c>
      <c r="C71" s="23" t="inlineStr">
        <is>
          <t>6.4, 7.4</t>
        </is>
      </c>
      <c r="D71" s="27" t="inlineStr">
        <is>
          <t>S7.13 Emergency Stop &amp; Capability Revocation</t>
        </is>
      </c>
      <c r="E71" s="27" t="inlineStr"/>
      <c r="F71" s="20" t="inlineStr"/>
      <c r="G71" s="20" t="inlineStr"/>
      <c r="H71" s="18" t="n"/>
      <c r="I71" s="19">
        <f>IF(COUNTIFS('3. Enablement evidence'!$A$2:$A$400,$A71,'3. Enablement evidence'!$D$2:$D$400,"Generic")=0,"",IF(COUNTIFS('3. Enablement evidence'!$A$2:$A$400,$A71,'3. Enablement evidence'!$D$2:$D$400,"Generic",'3. Enablement evidence'!$G$2:$G$400,"Yes")+COUNTIFS('3. Enablement evidence'!$A$2:$A$400,$A71,'3. Enablement evidence'!$D$2:$D$400,"Generic",'3. Enablement evidence'!$G$2:$G$400,"No")+COUNTIFS('3. Enablement evidence'!$A$2:$A$400,$A71,'3. Enablement evidence'!$D$2:$D$400,"Generic",'3. Enablement evidence'!$G$2:$G$400,"Partial")=0,"no evidence",IF(COUNTIFS('3. Enablement evidence'!$A$2:$A$400,$A71,'3. Enablement evidence'!$D$2:$D$400,"Generic",'3. Enablement evidence'!$G$2:$G$400,"Yes")+COUNTIFS('3. Enablement evidence'!$A$2:$A$400,$A71,'3. Enablement evidence'!$D$2:$D$400,"Generic",'3. Enablement evidence'!$G$2:$G$400,"No")+COUNTIFS('3. Enablement evidence'!$A$2:$A$400,$A71,'3. Enablement evidence'!$D$2:$D$400,"Generic",'3. Enablement evidence'!$G$2:$G$400,"Partial")&lt;COUNTIFS('3. Enablement evidence'!$A$2:$A$400,$A71,'3. Enablement evidence'!$D$2:$D$400,"Generic"),"incomplete "&amp;COUNTIFS('3. Enablement evidence'!$A$2:$A$400,$A71,'3. Enablement evidence'!$D$2:$D$400,"Generic",'3. Enablement evidence'!$G$2:$G$400,"Yes")&amp;"/"&amp;COUNTIFS('3. Enablement evidence'!$A$2:$A$400,$A71,'3. Enablement evidence'!$D$2:$D$400,"Generic"),IF(COUNTIFS('3. Enablement evidence'!$A$2:$A$400,$A71,'3. Enablement evidence'!$D$2:$D$400,"Generic",'3. Enablement evidence'!$G$2:$G$400,"Yes")&gt;=8,4,IF(AND(COUNTIFS('3. Enablement evidence'!$A$2:$A$400,$A71,'3. Enablement evidence'!$C$2:$C$400,"Published standard",'3. Enablement evidence'!$G$2:$G$400,"Yes")=1,COUNTIFS('3. Enablement evidence'!$A$2:$A$400,$A71,'3. Enablement evidence'!$C$2:$C$400,"Architecture pattern document",'3. Enablement evidence'!$G$2:$G$400,"Yes")+COUNTIFS('3. Enablement evidence'!$A$2:$A$400,$A71,'3. Enablement evidence'!$C$2:$C$400,"Reference architecture",'3. Enablement evidence'!$G$2:$G$400,"Yes")&gt;=1),3,IF(COUNTIFS('3. Enablement evidence'!$A$2:$A$400,$A71,'3. Enablement evidence'!$D$2:$D$400,"Generic",'3. Enablement evidence'!$G$2:$G$400,"Yes")&gt;=1,2,1))))))</f>
        <v/>
      </c>
      <c r="J71" s="20" t="inlineStr"/>
      <c r="K71" s="23" t="inlineStr">
        <is>
          <t>Candidate</t>
        </is>
      </c>
      <c r="L71" s="24" t="inlineStr"/>
      <c r="M71" s="25" t="inlineStr"/>
      <c r="N71" s="20" t="inlineStr"/>
      <c r="O71" s="14" t="inlineStr"/>
    </row>
    <row r="72" ht="26" customHeight="1">
      <c r="A72" s="26" t="inlineStr">
        <is>
          <t>REAL-262</t>
        </is>
      </c>
      <c r="B72" s="26" t="inlineStr">
        <is>
          <t>7.4</t>
        </is>
      </c>
      <c r="C72" s="23" t="inlineStr"/>
      <c r="D72" s="27" t="inlineStr">
        <is>
          <t>S7.14 Adversarial Test Harness</t>
        </is>
      </c>
      <c r="E72" s="27" t="inlineStr"/>
      <c r="F72" s="20" t="inlineStr"/>
      <c r="G72" s="20" t="inlineStr"/>
      <c r="H72" s="18" t="n"/>
      <c r="I72" s="19">
        <f>IF(COUNTIFS('3. Enablement evidence'!$A$2:$A$400,$A72,'3. Enablement evidence'!$D$2:$D$400,"Generic")=0,"",IF(COUNTIFS('3. Enablement evidence'!$A$2:$A$400,$A72,'3. Enablement evidence'!$D$2:$D$400,"Generic",'3. Enablement evidence'!$G$2:$G$400,"Yes")+COUNTIFS('3. Enablement evidence'!$A$2:$A$400,$A72,'3. Enablement evidence'!$D$2:$D$400,"Generic",'3. Enablement evidence'!$G$2:$G$400,"No")+COUNTIFS('3. Enablement evidence'!$A$2:$A$400,$A72,'3. Enablement evidence'!$D$2:$D$400,"Generic",'3. Enablement evidence'!$G$2:$G$400,"Partial")=0,"no evidence",IF(COUNTIFS('3. Enablement evidence'!$A$2:$A$400,$A72,'3. Enablement evidence'!$D$2:$D$400,"Generic",'3. Enablement evidence'!$G$2:$G$400,"Yes")+COUNTIFS('3. Enablement evidence'!$A$2:$A$400,$A72,'3. Enablement evidence'!$D$2:$D$400,"Generic",'3. Enablement evidence'!$G$2:$G$400,"No")+COUNTIFS('3. Enablement evidence'!$A$2:$A$400,$A72,'3. Enablement evidence'!$D$2:$D$400,"Generic",'3. Enablement evidence'!$G$2:$G$400,"Partial")&lt;COUNTIFS('3. Enablement evidence'!$A$2:$A$400,$A72,'3. Enablement evidence'!$D$2:$D$400,"Generic"),"incomplete "&amp;COUNTIFS('3. Enablement evidence'!$A$2:$A$400,$A72,'3. Enablement evidence'!$D$2:$D$400,"Generic",'3. Enablement evidence'!$G$2:$G$400,"Yes")&amp;"/"&amp;COUNTIFS('3. Enablement evidence'!$A$2:$A$400,$A72,'3. Enablement evidence'!$D$2:$D$400,"Generic"),IF(COUNTIFS('3. Enablement evidence'!$A$2:$A$400,$A72,'3. Enablement evidence'!$D$2:$D$400,"Generic",'3. Enablement evidence'!$G$2:$G$400,"Yes")&gt;=8,4,IF(AND(COUNTIFS('3. Enablement evidence'!$A$2:$A$400,$A72,'3. Enablement evidence'!$C$2:$C$400,"Published standard",'3. Enablement evidence'!$G$2:$G$400,"Yes")=1,COUNTIFS('3. Enablement evidence'!$A$2:$A$400,$A72,'3. Enablement evidence'!$C$2:$C$400,"Architecture pattern document",'3. Enablement evidence'!$G$2:$G$400,"Yes")+COUNTIFS('3. Enablement evidence'!$A$2:$A$400,$A72,'3. Enablement evidence'!$C$2:$C$400,"Reference architecture",'3. Enablement evidence'!$G$2:$G$400,"Yes")&gt;=1),3,IF(COUNTIFS('3. Enablement evidence'!$A$2:$A$400,$A72,'3. Enablement evidence'!$D$2:$D$400,"Generic",'3. Enablement evidence'!$G$2:$G$400,"Yes")&gt;=1,2,1))))))</f>
        <v/>
      </c>
      <c r="J72" s="20" t="inlineStr"/>
      <c r="K72" s="23" t="inlineStr">
        <is>
          <t>Candidate</t>
        </is>
      </c>
      <c r="L72" s="24" t="inlineStr"/>
      <c r="M72" s="25" t="inlineStr"/>
      <c r="N72" s="20" t="inlineStr"/>
      <c r="O72" s="14" t="inlineStr"/>
    </row>
    <row r="73" ht="26" customHeight="1">
      <c r="A73" s="26" t="inlineStr">
        <is>
          <t>REAL-263</t>
        </is>
      </c>
      <c r="B73" s="26" t="inlineStr">
        <is>
          <t>5.1</t>
        </is>
      </c>
      <c r="C73" s="23" t="inlineStr">
        <is>
          <t>6.1</t>
        </is>
      </c>
      <c r="D73" s="27" t="inlineStr">
        <is>
          <t>S8.3 Model Serving &amp; Inference Runtime</t>
        </is>
      </c>
      <c r="E73" s="27" t="inlineStr"/>
      <c r="F73" s="20" t="inlineStr"/>
      <c r="G73" s="20" t="inlineStr"/>
      <c r="H73" s="18" t="n"/>
      <c r="I73" s="19">
        <f>IF(COUNTIFS('3. Enablement evidence'!$A$2:$A$400,$A73,'3. Enablement evidence'!$D$2:$D$400,"Generic")=0,"",IF(COUNTIFS('3. Enablement evidence'!$A$2:$A$400,$A73,'3. Enablement evidence'!$D$2:$D$400,"Generic",'3. Enablement evidence'!$G$2:$G$400,"Yes")+COUNTIFS('3. Enablement evidence'!$A$2:$A$400,$A73,'3. Enablement evidence'!$D$2:$D$400,"Generic",'3. Enablement evidence'!$G$2:$G$400,"No")+COUNTIFS('3. Enablement evidence'!$A$2:$A$400,$A73,'3. Enablement evidence'!$D$2:$D$400,"Generic",'3. Enablement evidence'!$G$2:$G$400,"Partial")=0,"no evidence",IF(COUNTIFS('3. Enablement evidence'!$A$2:$A$400,$A73,'3. Enablement evidence'!$D$2:$D$400,"Generic",'3. Enablement evidence'!$G$2:$G$400,"Yes")+COUNTIFS('3. Enablement evidence'!$A$2:$A$400,$A73,'3. Enablement evidence'!$D$2:$D$400,"Generic",'3. Enablement evidence'!$G$2:$G$400,"No")+COUNTIFS('3. Enablement evidence'!$A$2:$A$400,$A73,'3. Enablement evidence'!$D$2:$D$400,"Generic",'3. Enablement evidence'!$G$2:$G$400,"Partial")&lt;COUNTIFS('3. Enablement evidence'!$A$2:$A$400,$A73,'3. Enablement evidence'!$D$2:$D$400,"Generic"),"incomplete "&amp;COUNTIFS('3. Enablement evidence'!$A$2:$A$400,$A73,'3. Enablement evidence'!$D$2:$D$400,"Generic",'3. Enablement evidence'!$G$2:$G$400,"Yes")&amp;"/"&amp;COUNTIFS('3. Enablement evidence'!$A$2:$A$400,$A73,'3. Enablement evidence'!$D$2:$D$400,"Generic"),IF(COUNTIFS('3. Enablement evidence'!$A$2:$A$400,$A73,'3. Enablement evidence'!$D$2:$D$400,"Generic",'3. Enablement evidence'!$G$2:$G$400,"Yes")&gt;=8,4,IF(AND(COUNTIFS('3. Enablement evidence'!$A$2:$A$400,$A73,'3. Enablement evidence'!$C$2:$C$400,"Published standard",'3. Enablement evidence'!$G$2:$G$400,"Yes")=1,COUNTIFS('3. Enablement evidence'!$A$2:$A$400,$A73,'3. Enablement evidence'!$C$2:$C$400,"Architecture pattern document",'3. Enablement evidence'!$G$2:$G$400,"Yes")+COUNTIFS('3. Enablement evidence'!$A$2:$A$400,$A73,'3. Enablement evidence'!$C$2:$C$400,"Reference architecture",'3. Enablement evidence'!$G$2:$G$400,"Yes")&gt;=1),3,IF(COUNTIFS('3. Enablement evidence'!$A$2:$A$400,$A73,'3. Enablement evidence'!$D$2:$D$400,"Generic",'3. Enablement evidence'!$G$2:$G$400,"Yes")&gt;=1,2,1))))))</f>
        <v/>
      </c>
      <c r="J73" s="20" t="inlineStr"/>
      <c r="K73" s="23" t="inlineStr">
        <is>
          <t>Candidate</t>
        </is>
      </c>
      <c r="L73" s="24" t="inlineStr"/>
      <c r="M73" s="25" t="inlineStr"/>
      <c r="N73" s="20" t="inlineStr"/>
      <c r="O73" s="14" t="inlineStr"/>
    </row>
    <row r="74" ht="26" customHeight="1">
      <c r="A74" s="26" t="inlineStr">
        <is>
          <t>REAL-264</t>
        </is>
      </c>
      <c r="B74" s="26" t="inlineStr">
        <is>
          <t>6.1</t>
        </is>
      </c>
      <c r="C74" s="23" t="inlineStr">
        <is>
          <t>6.5</t>
        </is>
      </c>
      <c r="D74" s="27" t="inlineStr">
        <is>
          <t>S8.4 Batch &amp; Asynchronous Inference</t>
        </is>
      </c>
      <c r="E74" s="27" t="inlineStr"/>
      <c r="F74" s="20" t="inlineStr"/>
      <c r="G74" s="20" t="inlineStr"/>
      <c r="H74" s="18" t="n"/>
      <c r="I74" s="19">
        <f>IF(COUNTIFS('3. Enablement evidence'!$A$2:$A$400,$A74,'3. Enablement evidence'!$D$2:$D$400,"Generic")=0,"",IF(COUNTIFS('3. Enablement evidence'!$A$2:$A$400,$A74,'3. Enablement evidence'!$D$2:$D$400,"Generic",'3. Enablement evidence'!$G$2:$G$400,"Yes")+COUNTIFS('3. Enablement evidence'!$A$2:$A$400,$A74,'3. Enablement evidence'!$D$2:$D$400,"Generic",'3. Enablement evidence'!$G$2:$G$400,"No")+COUNTIFS('3. Enablement evidence'!$A$2:$A$400,$A74,'3. Enablement evidence'!$D$2:$D$400,"Generic",'3. Enablement evidence'!$G$2:$G$400,"Partial")=0,"no evidence",IF(COUNTIFS('3. Enablement evidence'!$A$2:$A$400,$A74,'3. Enablement evidence'!$D$2:$D$400,"Generic",'3. Enablement evidence'!$G$2:$G$400,"Yes")+COUNTIFS('3. Enablement evidence'!$A$2:$A$400,$A74,'3. Enablement evidence'!$D$2:$D$400,"Generic",'3. Enablement evidence'!$G$2:$G$400,"No")+COUNTIFS('3. Enablement evidence'!$A$2:$A$400,$A74,'3. Enablement evidence'!$D$2:$D$400,"Generic",'3. Enablement evidence'!$G$2:$G$400,"Partial")&lt;COUNTIFS('3. Enablement evidence'!$A$2:$A$400,$A74,'3. Enablement evidence'!$D$2:$D$400,"Generic"),"incomplete "&amp;COUNTIFS('3. Enablement evidence'!$A$2:$A$400,$A74,'3. Enablement evidence'!$D$2:$D$400,"Generic",'3. Enablement evidence'!$G$2:$G$400,"Yes")&amp;"/"&amp;COUNTIFS('3. Enablement evidence'!$A$2:$A$400,$A74,'3. Enablement evidence'!$D$2:$D$400,"Generic"),IF(COUNTIFS('3. Enablement evidence'!$A$2:$A$400,$A74,'3. Enablement evidence'!$D$2:$D$400,"Generic",'3. Enablement evidence'!$G$2:$G$400,"Yes")&gt;=8,4,IF(AND(COUNTIFS('3. Enablement evidence'!$A$2:$A$400,$A74,'3. Enablement evidence'!$C$2:$C$400,"Published standard",'3. Enablement evidence'!$G$2:$G$400,"Yes")=1,COUNTIFS('3. Enablement evidence'!$A$2:$A$400,$A74,'3. Enablement evidence'!$C$2:$C$400,"Architecture pattern document",'3. Enablement evidence'!$G$2:$G$400,"Yes")+COUNTIFS('3. Enablement evidence'!$A$2:$A$400,$A74,'3. Enablement evidence'!$C$2:$C$400,"Reference architecture",'3. Enablement evidence'!$G$2:$G$400,"Yes")&gt;=1),3,IF(COUNTIFS('3. Enablement evidence'!$A$2:$A$400,$A74,'3. Enablement evidence'!$D$2:$D$400,"Generic",'3. Enablement evidence'!$G$2:$G$400,"Yes")&gt;=1,2,1))))))</f>
        <v/>
      </c>
      <c r="J74" s="20" t="inlineStr"/>
      <c r="K74" s="23" t="inlineStr">
        <is>
          <t>Candidate</t>
        </is>
      </c>
      <c r="L74" s="24" t="inlineStr"/>
      <c r="M74" s="25" t="inlineStr"/>
      <c r="N74" s="20" t="inlineStr"/>
      <c r="O74" s="14" t="inlineStr"/>
    </row>
    <row r="75" ht="26" customHeight="1">
      <c r="A75" s="26" t="inlineStr">
        <is>
          <t>REAL-265</t>
        </is>
      </c>
      <c r="B75" s="26" t="inlineStr">
        <is>
          <t>4.2</t>
        </is>
      </c>
      <c r="C75" s="23" t="inlineStr"/>
      <c r="D75" s="27" t="inlineStr">
        <is>
          <t>S8.5 Fine-Tuning &amp; Adaptation</t>
        </is>
      </c>
      <c r="E75" s="27" t="inlineStr"/>
      <c r="F75" s="20" t="inlineStr"/>
      <c r="G75" s="20" t="inlineStr"/>
      <c r="H75" s="18" t="n"/>
      <c r="I75" s="19">
        <f>IF(COUNTIFS('3. Enablement evidence'!$A$2:$A$400,$A75,'3. Enablement evidence'!$D$2:$D$400,"Generic")=0,"",IF(COUNTIFS('3. Enablement evidence'!$A$2:$A$400,$A75,'3. Enablement evidence'!$D$2:$D$400,"Generic",'3. Enablement evidence'!$G$2:$G$400,"Yes")+COUNTIFS('3. Enablement evidence'!$A$2:$A$400,$A75,'3. Enablement evidence'!$D$2:$D$400,"Generic",'3. Enablement evidence'!$G$2:$G$400,"No")+COUNTIFS('3. Enablement evidence'!$A$2:$A$400,$A75,'3. Enablement evidence'!$D$2:$D$400,"Generic",'3. Enablement evidence'!$G$2:$G$400,"Partial")=0,"no evidence",IF(COUNTIFS('3. Enablement evidence'!$A$2:$A$400,$A75,'3. Enablement evidence'!$D$2:$D$400,"Generic",'3. Enablement evidence'!$G$2:$G$400,"Yes")+COUNTIFS('3. Enablement evidence'!$A$2:$A$400,$A75,'3. Enablement evidence'!$D$2:$D$400,"Generic",'3. Enablement evidence'!$G$2:$G$400,"No")+COUNTIFS('3. Enablement evidence'!$A$2:$A$400,$A75,'3. Enablement evidence'!$D$2:$D$400,"Generic",'3. Enablement evidence'!$G$2:$G$400,"Partial")&lt;COUNTIFS('3. Enablement evidence'!$A$2:$A$400,$A75,'3. Enablement evidence'!$D$2:$D$400,"Generic"),"incomplete "&amp;COUNTIFS('3. Enablement evidence'!$A$2:$A$400,$A75,'3. Enablement evidence'!$D$2:$D$400,"Generic",'3. Enablement evidence'!$G$2:$G$400,"Yes")&amp;"/"&amp;COUNTIFS('3. Enablement evidence'!$A$2:$A$400,$A75,'3. Enablement evidence'!$D$2:$D$400,"Generic"),IF(COUNTIFS('3. Enablement evidence'!$A$2:$A$400,$A75,'3. Enablement evidence'!$D$2:$D$400,"Generic",'3. Enablement evidence'!$G$2:$G$400,"Yes")&gt;=8,4,IF(AND(COUNTIFS('3. Enablement evidence'!$A$2:$A$400,$A75,'3. Enablement evidence'!$C$2:$C$400,"Published standard",'3. Enablement evidence'!$G$2:$G$400,"Yes")=1,COUNTIFS('3. Enablement evidence'!$A$2:$A$400,$A75,'3. Enablement evidence'!$C$2:$C$400,"Architecture pattern document",'3. Enablement evidence'!$G$2:$G$400,"Yes")+COUNTIFS('3. Enablement evidence'!$A$2:$A$400,$A75,'3. Enablement evidence'!$C$2:$C$400,"Reference architecture",'3. Enablement evidence'!$G$2:$G$400,"Yes")&gt;=1),3,IF(COUNTIFS('3. Enablement evidence'!$A$2:$A$400,$A75,'3. Enablement evidence'!$D$2:$D$400,"Generic",'3. Enablement evidence'!$G$2:$G$400,"Yes")&gt;=1,2,1))))))</f>
        <v/>
      </c>
      <c r="J75" s="20" t="inlineStr"/>
      <c r="K75" s="23" t="inlineStr">
        <is>
          <t>Candidate</t>
        </is>
      </c>
      <c r="L75" s="24" t="inlineStr"/>
      <c r="M75" s="25" t="inlineStr"/>
      <c r="N75" s="20" t="inlineStr"/>
      <c r="O75" s="14" t="inlineStr"/>
    </row>
    <row r="76" ht="26" customHeight="1">
      <c r="A76" s="26" t="inlineStr">
        <is>
          <t>REAL-266</t>
        </is>
      </c>
      <c r="B76" s="26" t="inlineStr">
        <is>
          <t>4.2</t>
        </is>
      </c>
      <c r="C76" s="23" t="inlineStr">
        <is>
          <t>6.5</t>
        </is>
      </c>
      <c r="D76" s="27" t="inlineStr">
        <is>
          <t>S8.6 Model Distillation &amp; Compression</t>
        </is>
      </c>
      <c r="E76" s="27" t="inlineStr"/>
      <c r="F76" s="20" t="inlineStr"/>
      <c r="G76" s="20" t="inlineStr"/>
      <c r="H76" s="18" t="n"/>
      <c r="I76" s="19">
        <f>IF(COUNTIFS('3. Enablement evidence'!$A$2:$A$400,$A76,'3. Enablement evidence'!$D$2:$D$400,"Generic")=0,"",IF(COUNTIFS('3. Enablement evidence'!$A$2:$A$400,$A76,'3. Enablement evidence'!$D$2:$D$400,"Generic",'3. Enablement evidence'!$G$2:$G$400,"Yes")+COUNTIFS('3. Enablement evidence'!$A$2:$A$400,$A76,'3. Enablement evidence'!$D$2:$D$400,"Generic",'3. Enablement evidence'!$G$2:$G$400,"No")+COUNTIFS('3. Enablement evidence'!$A$2:$A$400,$A76,'3. Enablement evidence'!$D$2:$D$400,"Generic",'3. Enablement evidence'!$G$2:$G$400,"Partial")=0,"no evidence",IF(COUNTIFS('3. Enablement evidence'!$A$2:$A$400,$A76,'3. Enablement evidence'!$D$2:$D$400,"Generic",'3. Enablement evidence'!$G$2:$G$400,"Yes")+COUNTIFS('3. Enablement evidence'!$A$2:$A$400,$A76,'3. Enablement evidence'!$D$2:$D$400,"Generic",'3. Enablement evidence'!$G$2:$G$400,"No")+COUNTIFS('3. Enablement evidence'!$A$2:$A$400,$A76,'3. Enablement evidence'!$D$2:$D$400,"Generic",'3. Enablement evidence'!$G$2:$G$400,"Partial")&lt;COUNTIFS('3. Enablement evidence'!$A$2:$A$400,$A76,'3. Enablement evidence'!$D$2:$D$400,"Generic"),"incomplete "&amp;COUNTIFS('3. Enablement evidence'!$A$2:$A$400,$A76,'3. Enablement evidence'!$D$2:$D$400,"Generic",'3. Enablement evidence'!$G$2:$G$400,"Yes")&amp;"/"&amp;COUNTIFS('3. Enablement evidence'!$A$2:$A$400,$A76,'3. Enablement evidence'!$D$2:$D$400,"Generic"),IF(COUNTIFS('3. Enablement evidence'!$A$2:$A$400,$A76,'3. Enablement evidence'!$D$2:$D$400,"Generic",'3. Enablement evidence'!$G$2:$G$400,"Yes")&gt;=8,4,IF(AND(COUNTIFS('3. Enablement evidence'!$A$2:$A$400,$A76,'3. Enablement evidence'!$C$2:$C$400,"Published standard",'3. Enablement evidence'!$G$2:$G$400,"Yes")=1,COUNTIFS('3. Enablement evidence'!$A$2:$A$400,$A76,'3. Enablement evidence'!$C$2:$C$400,"Architecture pattern document",'3. Enablement evidence'!$G$2:$G$400,"Yes")+COUNTIFS('3. Enablement evidence'!$A$2:$A$400,$A76,'3. Enablement evidence'!$C$2:$C$400,"Reference architecture",'3. Enablement evidence'!$G$2:$G$400,"Yes")&gt;=1),3,IF(COUNTIFS('3. Enablement evidence'!$A$2:$A$400,$A76,'3. Enablement evidence'!$D$2:$D$400,"Generic",'3. Enablement evidence'!$G$2:$G$400,"Yes")&gt;=1,2,1))))))</f>
        <v/>
      </c>
      <c r="J76" s="20" t="inlineStr"/>
      <c r="K76" s="23" t="inlineStr">
        <is>
          <t>Candidate</t>
        </is>
      </c>
      <c r="L76" s="24" t="inlineStr"/>
      <c r="M76" s="25" t="inlineStr"/>
      <c r="N76" s="20" t="inlineStr"/>
      <c r="O76" s="14" t="inlineStr"/>
    </row>
    <row r="77" ht="26" customHeight="1">
      <c r="A77" s="26" t="inlineStr">
        <is>
          <t>REAL-267</t>
        </is>
      </c>
      <c r="B77" s="26" t="inlineStr">
        <is>
          <t>4.6</t>
        </is>
      </c>
      <c r="C77" s="23" t="inlineStr"/>
      <c r="D77" s="27" t="inlineStr">
        <is>
          <t>S8.15 Evaluation Harness &amp; Benchmarking</t>
        </is>
      </c>
      <c r="E77" s="27" t="inlineStr"/>
      <c r="F77" s="20" t="inlineStr"/>
      <c r="G77" s="20" t="inlineStr"/>
      <c r="H77" s="18" t="n"/>
      <c r="I77" s="19">
        <f>IF(COUNTIFS('3. Enablement evidence'!$A$2:$A$400,$A77,'3. Enablement evidence'!$D$2:$D$400,"Generic")=0,"",IF(COUNTIFS('3. Enablement evidence'!$A$2:$A$400,$A77,'3. Enablement evidence'!$D$2:$D$400,"Generic",'3. Enablement evidence'!$G$2:$G$400,"Yes")+COUNTIFS('3. Enablement evidence'!$A$2:$A$400,$A77,'3. Enablement evidence'!$D$2:$D$400,"Generic",'3. Enablement evidence'!$G$2:$G$400,"No")+COUNTIFS('3. Enablement evidence'!$A$2:$A$400,$A77,'3. Enablement evidence'!$D$2:$D$400,"Generic",'3. Enablement evidence'!$G$2:$G$400,"Partial")=0,"no evidence",IF(COUNTIFS('3. Enablement evidence'!$A$2:$A$400,$A77,'3. Enablement evidence'!$D$2:$D$400,"Generic",'3. Enablement evidence'!$G$2:$G$400,"Yes")+COUNTIFS('3. Enablement evidence'!$A$2:$A$400,$A77,'3. Enablement evidence'!$D$2:$D$400,"Generic",'3. Enablement evidence'!$G$2:$G$400,"No")+COUNTIFS('3. Enablement evidence'!$A$2:$A$400,$A77,'3. Enablement evidence'!$D$2:$D$400,"Generic",'3. Enablement evidence'!$G$2:$G$400,"Partial")&lt;COUNTIFS('3. Enablement evidence'!$A$2:$A$400,$A77,'3. Enablement evidence'!$D$2:$D$400,"Generic"),"incomplete "&amp;COUNTIFS('3. Enablement evidence'!$A$2:$A$400,$A77,'3. Enablement evidence'!$D$2:$D$400,"Generic",'3. Enablement evidence'!$G$2:$G$400,"Yes")&amp;"/"&amp;COUNTIFS('3. Enablement evidence'!$A$2:$A$400,$A77,'3. Enablement evidence'!$D$2:$D$400,"Generic"),IF(COUNTIFS('3. Enablement evidence'!$A$2:$A$400,$A77,'3. Enablement evidence'!$D$2:$D$400,"Generic",'3. Enablement evidence'!$G$2:$G$400,"Yes")&gt;=8,4,IF(AND(COUNTIFS('3. Enablement evidence'!$A$2:$A$400,$A77,'3. Enablement evidence'!$C$2:$C$400,"Published standard",'3. Enablement evidence'!$G$2:$G$400,"Yes")=1,COUNTIFS('3. Enablement evidence'!$A$2:$A$400,$A77,'3. Enablement evidence'!$C$2:$C$400,"Architecture pattern document",'3. Enablement evidence'!$G$2:$G$400,"Yes")+COUNTIFS('3. Enablement evidence'!$A$2:$A$400,$A77,'3. Enablement evidence'!$C$2:$C$400,"Reference architecture",'3. Enablement evidence'!$G$2:$G$400,"Yes")&gt;=1),3,IF(COUNTIFS('3. Enablement evidence'!$A$2:$A$400,$A77,'3. Enablement evidence'!$D$2:$D$400,"Generic",'3. Enablement evidence'!$G$2:$G$400,"Yes")&gt;=1,2,1))))))</f>
        <v/>
      </c>
      <c r="J77" s="20" t="inlineStr"/>
      <c r="K77" s="23" t="inlineStr">
        <is>
          <t>Candidate</t>
        </is>
      </c>
      <c r="L77" s="24" t="inlineStr"/>
      <c r="M77" s="25" t="inlineStr"/>
      <c r="N77" s="20" t="inlineStr"/>
      <c r="O77" s="14" t="inlineStr"/>
    </row>
    <row r="78" ht="26" customHeight="1">
      <c r="A78" s="26" t="inlineStr">
        <is>
          <t>REAL-268</t>
        </is>
      </c>
      <c r="B78" s="26" t="inlineStr">
        <is>
          <t>5.4</t>
        </is>
      </c>
      <c r="C78" s="23" t="inlineStr">
        <is>
          <t>6.1</t>
        </is>
      </c>
      <c r="D78" s="27" t="inlineStr">
        <is>
          <t>S8.16 Edge &amp; On-Device Inference</t>
        </is>
      </c>
      <c r="E78" s="27" t="inlineStr"/>
      <c r="F78" s="20" t="inlineStr"/>
      <c r="G78" s="20" t="inlineStr"/>
      <c r="H78" s="18" t="n"/>
      <c r="I78" s="19">
        <f>IF(COUNTIFS('3. Enablement evidence'!$A$2:$A$400,$A78,'3. Enablement evidence'!$D$2:$D$400,"Generic")=0,"",IF(COUNTIFS('3. Enablement evidence'!$A$2:$A$400,$A78,'3. Enablement evidence'!$D$2:$D$400,"Generic",'3. Enablement evidence'!$G$2:$G$400,"Yes")+COUNTIFS('3. Enablement evidence'!$A$2:$A$400,$A78,'3. Enablement evidence'!$D$2:$D$400,"Generic",'3. Enablement evidence'!$G$2:$G$400,"No")+COUNTIFS('3. Enablement evidence'!$A$2:$A$400,$A78,'3. Enablement evidence'!$D$2:$D$400,"Generic",'3. Enablement evidence'!$G$2:$G$400,"Partial")=0,"no evidence",IF(COUNTIFS('3. Enablement evidence'!$A$2:$A$400,$A78,'3. Enablement evidence'!$D$2:$D$400,"Generic",'3. Enablement evidence'!$G$2:$G$400,"Yes")+COUNTIFS('3. Enablement evidence'!$A$2:$A$400,$A78,'3. Enablement evidence'!$D$2:$D$400,"Generic",'3. Enablement evidence'!$G$2:$G$400,"No")+COUNTIFS('3. Enablement evidence'!$A$2:$A$400,$A78,'3. Enablement evidence'!$D$2:$D$400,"Generic",'3. Enablement evidence'!$G$2:$G$400,"Partial")&lt;COUNTIFS('3. Enablement evidence'!$A$2:$A$400,$A78,'3. Enablement evidence'!$D$2:$D$400,"Generic"),"incomplete "&amp;COUNTIFS('3. Enablement evidence'!$A$2:$A$400,$A78,'3. Enablement evidence'!$D$2:$D$400,"Generic",'3. Enablement evidence'!$G$2:$G$400,"Yes")&amp;"/"&amp;COUNTIFS('3. Enablement evidence'!$A$2:$A$400,$A78,'3. Enablement evidence'!$D$2:$D$400,"Generic"),IF(COUNTIFS('3. Enablement evidence'!$A$2:$A$400,$A78,'3. Enablement evidence'!$D$2:$D$400,"Generic",'3. Enablement evidence'!$G$2:$G$400,"Yes")&gt;=8,4,IF(AND(COUNTIFS('3. Enablement evidence'!$A$2:$A$400,$A78,'3. Enablement evidence'!$C$2:$C$400,"Published standard",'3. Enablement evidence'!$G$2:$G$400,"Yes")=1,COUNTIFS('3. Enablement evidence'!$A$2:$A$400,$A78,'3. Enablement evidence'!$C$2:$C$400,"Architecture pattern document",'3. Enablement evidence'!$G$2:$G$400,"Yes")+COUNTIFS('3. Enablement evidence'!$A$2:$A$400,$A78,'3. Enablement evidence'!$C$2:$C$400,"Reference architecture",'3. Enablement evidence'!$G$2:$G$400,"Yes")&gt;=1),3,IF(COUNTIFS('3. Enablement evidence'!$A$2:$A$400,$A78,'3. Enablement evidence'!$D$2:$D$400,"Generic",'3. Enablement evidence'!$G$2:$G$400,"Yes")&gt;=1,2,1))))))</f>
        <v/>
      </c>
      <c r="J78" s="20" t="inlineStr"/>
      <c r="K78" s="23" t="inlineStr">
        <is>
          <t>Candidate</t>
        </is>
      </c>
      <c r="L78" s="24" t="inlineStr"/>
      <c r="M78" s="25" t="inlineStr"/>
      <c r="N78" s="20" t="inlineStr"/>
      <c r="O78" s="14" t="inlineStr"/>
    </row>
    <row r="79" ht="26" customHeight="1">
      <c r="A79" s="26" t="inlineStr">
        <is>
          <t>REAL-269</t>
        </is>
      </c>
      <c r="B79" s="26" t="inlineStr">
        <is>
          <t>4.2</t>
        </is>
      </c>
      <c r="C79" s="23" t="inlineStr">
        <is>
          <t>7.4</t>
        </is>
      </c>
      <c r="D79" s="27" t="inlineStr">
        <is>
          <t>S8.18 Model &amp; Artifact Integrity Verification</t>
        </is>
      </c>
      <c r="E79" s="27" t="inlineStr"/>
      <c r="F79" s="20" t="inlineStr"/>
      <c r="G79" s="20" t="inlineStr"/>
      <c r="H79" s="18" t="n"/>
      <c r="I79" s="19">
        <f>IF(COUNTIFS('3. Enablement evidence'!$A$2:$A$400,$A79,'3. Enablement evidence'!$D$2:$D$400,"Generic")=0,"",IF(COUNTIFS('3. Enablement evidence'!$A$2:$A$400,$A79,'3. Enablement evidence'!$D$2:$D$400,"Generic",'3. Enablement evidence'!$G$2:$G$400,"Yes")+COUNTIFS('3. Enablement evidence'!$A$2:$A$400,$A79,'3. Enablement evidence'!$D$2:$D$400,"Generic",'3. Enablement evidence'!$G$2:$G$400,"No")+COUNTIFS('3. Enablement evidence'!$A$2:$A$400,$A79,'3. Enablement evidence'!$D$2:$D$400,"Generic",'3. Enablement evidence'!$G$2:$G$400,"Partial")=0,"no evidence",IF(COUNTIFS('3. Enablement evidence'!$A$2:$A$400,$A79,'3. Enablement evidence'!$D$2:$D$400,"Generic",'3. Enablement evidence'!$G$2:$G$400,"Yes")+COUNTIFS('3. Enablement evidence'!$A$2:$A$400,$A79,'3. Enablement evidence'!$D$2:$D$400,"Generic",'3. Enablement evidence'!$G$2:$G$400,"No")+COUNTIFS('3. Enablement evidence'!$A$2:$A$400,$A79,'3. Enablement evidence'!$D$2:$D$400,"Generic",'3. Enablement evidence'!$G$2:$G$400,"Partial")&lt;COUNTIFS('3. Enablement evidence'!$A$2:$A$400,$A79,'3. Enablement evidence'!$D$2:$D$400,"Generic"),"incomplete "&amp;COUNTIFS('3. Enablement evidence'!$A$2:$A$400,$A79,'3. Enablement evidence'!$D$2:$D$400,"Generic",'3. Enablement evidence'!$G$2:$G$400,"Yes")&amp;"/"&amp;COUNTIFS('3. Enablement evidence'!$A$2:$A$400,$A79,'3. Enablement evidence'!$D$2:$D$400,"Generic"),IF(COUNTIFS('3. Enablement evidence'!$A$2:$A$400,$A79,'3. Enablement evidence'!$D$2:$D$400,"Generic",'3. Enablement evidence'!$G$2:$G$400,"Yes")&gt;=8,4,IF(AND(COUNTIFS('3. Enablement evidence'!$A$2:$A$400,$A79,'3. Enablement evidence'!$C$2:$C$400,"Published standard",'3. Enablement evidence'!$G$2:$G$400,"Yes")=1,COUNTIFS('3. Enablement evidence'!$A$2:$A$400,$A79,'3. Enablement evidence'!$C$2:$C$400,"Architecture pattern document",'3. Enablement evidence'!$G$2:$G$400,"Yes")+COUNTIFS('3. Enablement evidence'!$A$2:$A$400,$A79,'3. Enablement evidence'!$C$2:$C$400,"Reference architecture",'3. Enablement evidence'!$G$2:$G$400,"Yes")&gt;=1),3,IF(COUNTIFS('3. Enablement evidence'!$A$2:$A$400,$A79,'3. Enablement evidence'!$D$2:$D$400,"Generic",'3. Enablement evidence'!$G$2:$G$400,"Yes")&gt;=1,2,1))))))</f>
        <v/>
      </c>
      <c r="J79" s="20" t="inlineStr"/>
      <c r="K79" s="23" t="inlineStr">
        <is>
          <t>Candidate</t>
        </is>
      </c>
      <c r="L79" s="24" t="inlineStr"/>
      <c r="M79" s="25" t="inlineStr"/>
      <c r="N79" s="20" t="inlineStr"/>
      <c r="O79" s="14" t="inlineStr"/>
    </row>
    <row r="80" ht="26" customHeight="1">
      <c r="A80" s="26" t="inlineStr">
        <is>
          <t>REAL-270</t>
        </is>
      </c>
      <c r="B80" s="26" t="inlineStr">
        <is>
          <t>3.1</t>
        </is>
      </c>
      <c r="C80" s="23" t="inlineStr">
        <is>
          <t>7.5</t>
        </is>
      </c>
      <c r="D80" s="27" t="inlineStr">
        <is>
          <t>S8.19 Subject Data Location &amp; Purge</t>
        </is>
      </c>
      <c r="E80" s="27" t="inlineStr"/>
      <c r="F80" s="20" t="inlineStr"/>
      <c r="G80" s="20" t="inlineStr"/>
      <c r="H80" s="18" t="n"/>
      <c r="I80" s="19">
        <f>IF(COUNTIFS('3. Enablement evidence'!$A$2:$A$400,$A80,'3. Enablement evidence'!$D$2:$D$400,"Generic")=0,"",IF(COUNTIFS('3. Enablement evidence'!$A$2:$A$400,$A80,'3. Enablement evidence'!$D$2:$D$400,"Generic",'3. Enablement evidence'!$G$2:$G$400,"Yes")+COUNTIFS('3. Enablement evidence'!$A$2:$A$400,$A80,'3. Enablement evidence'!$D$2:$D$400,"Generic",'3. Enablement evidence'!$G$2:$G$400,"No")+COUNTIFS('3. Enablement evidence'!$A$2:$A$400,$A80,'3. Enablement evidence'!$D$2:$D$400,"Generic",'3. Enablement evidence'!$G$2:$G$400,"Partial")=0,"no evidence",IF(COUNTIFS('3. Enablement evidence'!$A$2:$A$400,$A80,'3. Enablement evidence'!$D$2:$D$400,"Generic",'3. Enablement evidence'!$G$2:$G$400,"Yes")+COUNTIFS('3. Enablement evidence'!$A$2:$A$400,$A80,'3. Enablement evidence'!$D$2:$D$400,"Generic",'3. Enablement evidence'!$G$2:$G$400,"No")+COUNTIFS('3. Enablement evidence'!$A$2:$A$400,$A80,'3. Enablement evidence'!$D$2:$D$400,"Generic",'3. Enablement evidence'!$G$2:$G$400,"Partial")&lt;COUNTIFS('3. Enablement evidence'!$A$2:$A$400,$A80,'3. Enablement evidence'!$D$2:$D$400,"Generic"),"incomplete "&amp;COUNTIFS('3. Enablement evidence'!$A$2:$A$400,$A80,'3. Enablement evidence'!$D$2:$D$400,"Generic",'3. Enablement evidence'!$G$2:$G$400,"Yes")&amp;"/"&amp;COUNTIFS('3. Enablement evidence'!$A$2:$A$400,$A80,'3. Enablement evidence'!$D$2:$D$400,"Generic"),IF(COUNTIFS('3. Enablement evidence'!$A$2:$A$400,$A80,'3. Enablement evidence'!$D$2:$D$400,"Generic",'3. Enablement evidence'!$G$2:$G$400,"Yes")&gt;=8,4,IF(AND(COUNTIFS('3. Enablement evidence'!$A$2:$A$400,$A80,'3. Enablement evidence'!$C$2:$C$400,"Published standard",'3. Enablement evidence'!$G$2:$G$400,"Yes")=1,COUNTIFS('3. Enablement evidence'!$A$2:$A$400,$A80,'3. Enablement evidence'!$C$2:$C$400,"Architecture pattern document",'3. Enablement evidence'!$G$2:$G$400,"Yes")+COUNTIFS('3. Enablement evidence'!$A$2:$A$400,$A80,'3. Enablement evidence'!$C$2:$C$400,"Reference architecture",'3. Enablement evidence'!$G$2:$G$400,"Yes")&gt;=1),3,IF(COUNTIFS('3. Enablement evidence'!$A$2:$A$400,$A80,'3. Enablement evidence'!$D$2:$D$400,"Generic",'3. Enablement evidence'!$G$2:$G$400,"Yes")&gt;=1,2,1))))))</f>
        <v/>
      </c>
      <c r="J80" s="20" t="inlineStr"/>
      <c r="K80" s="23" t="inlineStr">
        <is>
          <t>Candidate</t>
        </is>
      </c>
      <c r="L80" s="24" t="inlineStr"/>
      <c r="M80" s="25" t="inlineStr"/>
      <c r="N80" s="20" t="inlineStr"/>
      <c r="O80" s="14" t="inlineStr"/>
    </row>
    <row r="81" ht="26" customHeight="1">
      <c r="A81" s="26" t="inlineStr">
        <is>
          <t>REAL-271</t>
        </is>
      </c>
      <c r="B81" s="26" t="inlineStr">
        <is>
          <t>4.2</t>
        </is>
      </c>
      <c r="C81" s="23" t="inlineStr">
        <is>
          <t>7.2</t>
        </is>
      </c>
      <c r="D81" s="27" t="inlineStr">
        <is>
          <t>S8.21 Model Documentation Generation</t>
        </is>
      </c>
      <c r="E81" s="27" t="inlineStr"/>
      <c r="F81" s="20" t="inlineStr"/>
      <c r="G81" s="20" t="inlineStr"/>
      <c r="H81" s="18" t="n"/>
      <c r="I81" s="19">
        <f>IF(COUNTIFS('3. Enablement evidence'!$A$2:$A$400,$A81,'3. Enablement evidence'!$D$2:$D$400,"Generic")=0,"",IF(COUNTIFS('3. Enablement evidence'!$A$2:$A$400,$A81,'3. Enablement evidence'!$D$2:$D$400,"Generic",'3. Enablement evidence'!$G$2:$G$400,"Yes")+COUNTIFS('3. Enablement evidence'!$A$2:$A$400,$A81,'3. Enablement evidence'!$D$2:$D$400,"Generic",'3. Enablement evidence'!$G$2:$G$400,"No")+COUNTIFS('3. Enablement evidence'!$A$2:$A$400,$A81,'3. Enablement evidence'!$D$2:$D$400,"Generic",'3. Enablement evidence'!$G$2:$G$400,"Partial")=0,"no evidence",IF(COUNTIFS('3. Enablement evidence'!$A$2:$A$400,$A81,'3. Enablement evidence'!$D$2:$D$400,"Generic",'3. Enablement evidence'!$G$2:$G$400,"Yes")+COUNTIFS('3. Enablement evidence'!$A$2:$A$400,$A81,'3. Enablement evidence'!$D$2:$D$400,"Generic",'3. Enablement evidence'!$G$2:$G$400,"No")+COUNTIFS('3. Enablement evidence'!$A$2:$A$400,$A81,'3. Enablement evidence'!$D$2:$D$400,"Generic",'3. Enablement evidence'!$G$2:$G$400,"Partial")&lt;COUNTIFS('3. Enablement evidence'!$A$2:$A$400,$A81,'3. Enablement evidence'!$D$2:$D$400,"Generic"),"incomplete "&amp;COUNTIFS('3. Enablement evidence'!$A$2:$A$400,$A81,'3. Enablement evidence'!$D$2:$D$400,"Generic",'3. Enablement evidence'!$G$2:$G$400,"Yes")&amp;"/"&amp;COUNTIFS('3. Enablement evidence'!$A$2:$A$400,$A81,'3. Enablement evidence'!$D$2:$D$400,"Generic"),IF(COUNTIFS('3. Enablement evidence'!$A$2:$A$400,$A81,'3. Enablement evidence'!$D$2:$D$400,"Generic",'3. Enablement evidence'!$G$2:$G$400,"Yes")&gt;=8,4,IF(AND(COUNTIFS('3. Enablement evidence'!$A$2:$A$400,$A81,'3. Enablement evidence'!$C$2:$C$400,"Published standard",'3. Enablement evidence'!$G$2:$G$400,"Yes")=1,COUNTIFS('3. Enablement evidence'!$A$2:$A$400,$A81,'3. Enablement evidence'!$C$2:$C$400,"Architecture pattern document",'3. Enablement evidence'!$G$2:$G$400,"Yes")+COUNTIFS('3. Enablement evidence'!$A$2:$A$400,$A81,'3. Enablement evidence'!$C$2:$C$400,"Reference architecture",'3. Enablement evidence'!$G$2:$G$400,"Yes")&gt;=1),3,IF(COUNTIFS('3. Enablement evidence'!$A$2:$A$400,$A81,'3. Enablement evidence'!$D$2:$D$400,"Generic",'3. Enablement evidence'!$G$2:$G$400,"Yes")&gt;=1,2,1))))))</f>
        <v/>
      </c>
      <c r="J81" s="20" t="inlineStr"/>
      <c r="K81" s="23" t="inlineStr">
        <is>
          <t>Candidate</t>
        </is>
      </c>
      <c r="L81" s="24" t="inlineStr"/>
      <c r="M81" s="25" t="inlineStr"/>
      <c r="N81" s="20" t="inlineStr"/>
      <c r="O81" s="14" t="inlineStr"/>
    </row>
    <row r="82" ht="26" customHeight="1">
      <c r="A82" s="26" t="inlineStr">
        <is>
          <t>REAL-272</t>
        </is>
      </c>
      <c r="B82" s="26" t="inlineStr">
        <is>
          <t>4.1</t>
        </is>
      </c>
      <c r="C82" s="23" t="inlineStr">
        <is>
          <t>4.6</t>
        </is>
      </c>
      <c r="D82" s="27" t="inlineStr">
        <is>
          <t>S8.24 Conformance Test Harness</t>
        </is>
      </c>
      <c r="E82" s="27" t="inlineStr"/>
      <c r="F82" s="20" t="inlineStr"/>
      <c r="G82" s="20" t="inlineStr"/>
      <c r="H82" s="18" t="n"/>
      <c r="I82" s="19">
        <f>IF(COUNTIFS('3. Enablement evidence'!$A$2:$A$400,$A82,'3. Enablement evidence'!$D$2:$D$400,"Generic")=0,"",IF(COUNTIFS('3. Enablement evidence'!$A$2:$A$400,$A82,'3. Enablement evidence'!$D$2:$D$400,"Generic",'3. Enablement evidence'!$G$2:$G$400,"Yes")+COUNTIFS('3. Enablement evidence'!$A$2:$A$400,$A82,'3. Enablement evidence'!$D$2:$D$400,"Generic",'3. Enablement evidence'!$G$2:$G$400,"No")+COUNTIFS('3. Enablement evidence'!$A$2:$A$400,$A82,'3. Enablement evidence'!$D$2:$D$400,"Generic",'3. Enablement evidence'!$G$2:$G$400,"Partial")=0,"no evidence",IF(COUNTIFS('3. Enablement evidence'!$A$2:$A$400,$A82,'3. Enablement evidence'!$D$2:$D$400,"Generic",'3. Enablement evidence'!$G$2:$G$400,"Yes")+COUNTIFS('3. Enablement evidence'!$A$2:$A$400,$A82,'3. Enablement evidence'!$D$2:$D$400,"Generic",'3. Enablement evidence'!$G$2:$G$400,"No")+COUNTIFS('3. Enablement evidence'!$A$2:$A$400,$A82,'3. Enablement evidence'!$D$2:$D$400,"Generic",'3. Enablement evidence'!$G$2:$G$400,"Partial")&lt;COUNTIFS('3. Enablement evidence'!$A$2:$A$400,$A82,'3. Enablement evidence'!$D$2:$D$400,"Generic"),"incomplete "&amp;COUNTIFS('3. Enablement evidence'!$A$2:$A$400,$A82,'3. Enablement evidence'!$D$2:$D$400,"Generic",'3. Enablement evidence'!$G$2:$G$400,"Yes")&amp;"/"&amp;COUNTIFS('3. Enablement evidence'!$A$2:$A$400,$A82,'3. Enablement evidence'!$D$2:$D$400,"Generic"),IF(COUNTIFS('3. Enablement evidence'!$A$2:$A$400,$A82,'3. Enablement evidence'!$D$2:$D$400,"Generic",'3. Enablement evidence'!$G$2:$G$400,"Yes")&gt;=8,4,IF(AND(COUNTIFS('3. Enablement evidence'!$A$2:$A$400,$A82,'3. Enablement evidence'!$C$2:$C$400,"Published standard",'3. Enablement evidence'!$G$2:$G$400,"Yes")=1,COUNTIFS('3. Enablement evidence'!$A$2:$A$400,$A82,'3. Enablement evidence'!$C$2:$C$400,"Architecture pattern document",'3. Enablement evidence'!$G$2:$G$400,"Yes")+COUNTIFS('3. Enablement evidence'!$A$2:$A$400,$A82,'3. Enablement evidence'!$C$2:$C$400,"Reference architecture",'3. Enablement evidence'!$G$2:$G$400,"Yes")&gt;=1),3,IF(COUNTIFS('3. Enablement evidence'!$A$2:$A$400,$A82,'3. Enablement evidence'!$D$2:$D$400,"Generic",'3. Enablement evidence'!$G$2:$G$400,"Yes")&gt;=1,2,1))))))</f>
        <v/>
      </c>
      <c r="J82" s="20" t="inlineStr"/>
      <c r="K82" s="23" t="inlineStr">
        <is>
          <t>Candidate</t>
        </is>
      </c>
      <c r="L82" s="24" t="inlineStr"/>
      <c r="M82" s="25" t="inlineStr"/>
      <c r="N82" s="20" t="inlineStr"/>
      <c r="O82" s="14" t="inlineStr"/>
    </row>
    <row r="83" ht="26" customHeight="1">
      <c r="A83" s="26" t="inlineStr">
        <is>
          <t>REAL-273</t>
        </is>
      </c>
      <c r="B83" s="26" t="inlineStr">
        <is>
          <t>4.6</t>
        </is>
      </c>
      <c r="C83" s="23" t="inlineStr">
        <is>
          <t>6.3</t>
        </is>
      </c>
      <c r="D83" s="27" t="inlineStr">
        <is>
          <t>S9.6 Production Evaluation &amp; Online Scoring</t>
        </is>
      </c>
      <c r="E83" s="27" t="inlineStr"/>
      <c r="F83" s="20" t="inlineStr"/>
      <c r="G83" s="20" t="inlineStr"/>
      <c r="H83" s="18" t="n"/>
      <c r="I83" s="19">
        <f>IF(COUNTIFS('3. Enablement evidence'!$A$2:$A$400,$A83,'3. Enablement evidence'!$D$2:$D$400,"Generic")=0,"",IF(COUNTIFS('3. Enablement evidence'!$A$2:$A$400,$A83,'3. Enablement evidence'!$D$2:$D$400,"Generic",'3. Enablement evidence'!$G$2:$G$400,"Yes")+COUNTIFS('3. Enablement evidence'!$A$2:$A$400,$A83,'3. Enablement evidence'!$D$2:$D$400,"Generic",'3. Enablement evidence'!$G$2:$G$400,"No")+COUNTIFS('3. Enablement evidence'!$A$2:$A$400,$A83,'3. Enablement evidence'!$D$2:$D$400,"Generic",'3. Enablement evidence'!$G$2:$G$400,"Partial")=0,"no evidence",IF(COUNTIFS('3. Enablement evidence'!$A$2:$A$400,$A83,'3. Enablement evidence'!$D$2:$D$400,"Generic",'3. Enablement evidence'!$G$2:$G$400,"Yes")+COUNTIFS('3. Enablement evidence'!$A$2:$A$400,$A83,'3. Enablement evidence'!$D$2:$D$400,"Generic",'3. Enablement evidence'!$G$2:$G$400,"No")+COUNTIFS('3. Enablement evidence'!$A$2:$A$400,$A83,'3. Enablement evidence'!$D$2:$D$400,"Generic",'3. Enablement evidence'!$G$2:$G$400,"Partial")&lt;COUNTIFS('3. Enablement evidence'!$A$2:$A$400,$A83,'3. Enablement evidence'!$D$2:$D$400,"Generic"),"incomplete "&amp;COUNTIFS('3. Enablement evidence'!$A$2:$A$400,$A83,'3. Enablement evidence'!$D$2:$D$400,"Generic",'3. Enablement evidence'!$G$2:$G$400,"Yes")&amp;"/"&amp;COUNTIFS('3. Enablement evidence'!$A$2:$A$400,$A83,'3. Enablement evidence'!$D$2:$D$400,"Generic"),IF(COUNTIFS('3. Enablement evidence'!$A$2:$A$400,$A83,'3. Enablement evidence'!$D$2:$D$400,"Generic",'3. Enablement evidence'!$G$2:$G$400,"Yes")&gt;=8,4,IF(AND(COUNTIFS('3. Enablement evidence'!$A$2:$A$400,$A83,'3. Enablement evidence'!$C$2:$C$400,"Published standard",'3. Enablement evidence'!$G$2:$G$400,"Yes")=1,COUNTIFS('3. Enablement evidence'!$A$2:$A$400,$A83,'3. Enablement evidence'!$C$2:$C$400,"Architecture pattern document",'3. Enablement evidence'!$G$2:$G$400,"Yes")+COUNTIFS('3. Enablement evidence'!$A$2:$A$400,$A83,'3. Enablement evidence'!$C$2:$C$400,"Reference architecture",'3. Enablement evidence'!$G$2:$G$400,"Yes")&gt;=1),3,IF(COUNTIFS('3. Enablement evidence'!$A$2:$A$400,$A83,'3. Enablement evidence'!$D$2:$D$400,"Generic",'3. Enablement evidence'!$G$2:$G$400,"Yes")&gt;=1,2,1))))))</f>
        <v/>
      </c>
      <c r="J83" s="20" t="inlineStr"/>
      <c r="K83" s="23" t="inlineStr">
        <is>
          <t>Candidate</t>
        </is>
      </c>
      <c r="L83" s="24" t="inlineStr"/>
      <c r="M83" s="25" t="inlineStr"/>
      <c r="N83" s="20" t="inlineStr"/>
      <c r="O83" s="14" t="inlineStr"/>
    </row>
    <row r="84" ht="26" customHeight="1">
      <c r="A84" s="26" t="inlineStr">
        <is>
          <t>REAL-274</t>
        </is>
      </c>
      <c r="B84" s="26" t="inlineStr">
        <is>
          <t>6.3</t>
        </is>
      </c>
      <c r="C84" s="23" t="inlineStr"/>
      <c r="D84" s="27" t="inlineStr">
        <is>
          <t>S9.7 Drift Detection</t>
        </is>
      </c>
      <c r="E84" s="27" t="inlineStr"/>
      <c r="F84" s="20" t="inlineStr"/>
      <c r="G84" s="20" t="inlineStr"/>
      <c r="H84" s="18" t="n"/>
      <c r="I84" s="19">
        <f>IF(COUNTIFS('3. Enablement evidence'!$A$2:$A$400,$A84,'3. Enablement evidence'!$D$2:$D$400,"Generic")=0,"",IF(COUNTIFS('3. Enablement evidence'!$A$2:$A$400,$A84,'3. Enablement evidence'!$D$2:$D$400,"Generic",'3. Enablement evidence'!$G$2:$G$400,"Yes")+COUNTIFS('3. Enablement evidence'!$A$2:$A$400,$A84,'3. Enablement evidence'!$D$2:$D$400,"Generic",'3. Enablement evidence'!$G$2:$G$400,"No")+COUNTIFS('3. Enablement evidence'!$A$2:$A$400,$A84,'3. Enablement evidence'!$D$2:$D$400,"Generic",'3. Enablement evidence'!$G$2:$G$400,"Partial")=0,"no evidence",IF(COUNTIFS('3. Enablement evidence'!$A$2:$A$400,$A84,'3. Enablement evidence'!$D$2:$D$400,"Generic",'3. Enablement evidence'!$G$2:$G$400,"Yes")+COUNTIFS('3. Enablement evidence'!$A$2:$A$400,$A84,'3. Enablement evidence'!$D$2:$D$400,"Generic",'3. Enablement evidence'!$G$2:$G$400,"No")+COUNTIFS('3. Enablement evidence'!$A$2:$A$400,$A84,'3. Enablement evidence'!$D$2:$D$400,"Generic",'3. Enablement evidence'!$G$2:$G$400,"Partial")&lt;COUNTIFS('3. Enablement evidence'!$A$2:$A$400,$A84,'3. Enablement evidence'!$D$2:$D$400,"Generic"),"incomplete "&amp;COUNTIFS('3. Enablement evidence'!$A$2:$A$400,$A84,'3. Enablement evidence'!$D$2:$D$400,"Generic",'3. Enablement evidence'!$G$2:$G$400,"Yes")&amp;"/"&amp;COUNTIFS('3. Enablement evidence'!$A$2:$A$400,$A84,'3. Enablement evidence'!$D$2:$D$400,"Generic"),IF(COUNTIFS('3. Enablement evidence'!$A$2:$A$400,$A84,'3. Enablement evidence'!$D$2:$D$400,"Generic",'3. Enablement evidence'!$G$2:$G$400,"Yes")&gt;=8,4,IF(AND(COUNTIFS('3. Enablement evidence'!$A$2:$A$400,$A84,'3. Enablement evidence'!$C$2:$C$400,"Published standard",'3. Enablement evidence'!$G$2:$G$400,"Yes")=1,COUNTIFS('3. Enablement evidence'!$A$2:$A$400,$A84,'3. Enablement evidence'!$C$2:$C$400,"Architecture pattern document",'3. Enablement evidence'!$G$2:$G$400,"Yes")+COUNTIFS('3. Enablement evidence'!$A$2:$A$400,$A84,'3. Enablement evidence'!$C$2:$C$400,"Reference architecture",'3. Enablement evidence'!$G$2:$G$400,"Yes")&gt;=1),3,IF(COUNTIFS('3. Enablement evidence'!$A$2:$A$400,$A84,'3. Enablement evidence'!$D$2:$D$400,"Generic",'3. Enablement evidence'!$G$2:$G$400,"Yes")&gt;=1,2,1))))))</f>
        <v/>
      </c>
      <c r="J84" s="20" t="inlineStr"/>
      <c r="K84" s="23" t="inlineStr">
        <is>
          <t>Candidate</t>
        </is>
      </c>
      <c r="L84" s="24" t="inlineStr"/>
      <c r="M84" s="25" t="inlineStr"/>
      <c r="N84" s="20" t="inlineStr"/>
      <c r="O84" s="14" t="inlineStr"/>
    </row>
    <row r="85" ht="26" customHeight="1">
      <c r="A85" s="26" t="inlineStr">
        <is>
          <t>REAL-275</t>
        </is>
      </c>
      <c r="B85" s="26" t="inlineStr">
        <is>
          <t>6.3</t>
        </is>
      </c>
      <c r="C85" s="23" t="inlineStr">
        <is>
          <t>7.2</t>
        </is>
      </c>
      <c r="D85" s="27" t="inlineStr">
        <is>
          <t>S9.8 Bias &amp; Fairness Monitoring</t>
        </is>
      </c>
      <c r="E85" s="27" t="inlineStr"/>
      <c r="F85" s="20" t="inlineStr"/>
      <c r="G85" s="20" t="inlineStr"/>
      <c r="H85" s="18" t="n"/>
      <c r="I85" s="19">
        <f>IF(COUNTIFS('3. Enablement evidence'!$A$2:$A$400,$A85,'3. Enablement evidence'!$D$2:$D$400,"Generic")=0,"",IF(COUNTIFS('3. Enablement evidence'!$A$2:$A$400,$A85,'3. Enablement evidence'!$D$2:$D$400,"Generic",'3. Enablement evidence'!$G$2:$G$400,"Yes")+COUNTIFS('3. Enablement evidence'!$A$2:$A$400,$A85,'3. Enablement evidence'!$D$2:$D$400,"Generic",'3. Enablement evidence'!$G$2:$G$400,"No")+COUNTIFS('3. Enablement evidence'!$A$2:$A$400,$A85,'3. Enablement evidence'!$D$2:$D$400,"Generic",'3. Enablement evidence'!$G$2:$G$400,"Partial")=0,"no evidence",IF(COUNTIFS('3. Enablement evidence'!$A$2:$A$400,$A85,'3. Enablement evidence'!$D$2:$D$400,"Generic",'3. Enablement evidence'!$G$2:$G$400,"Yes")+COUNTIFS('3. Enablement evidence'!$A$2:$A$400,$A85,'3. Enablement evidence'!$D$2:$D$400,"Generic",'3. Enablement evidence'!$G$2:$G$400,"No")+COUNTIFS('3. Enablement evidence'!$A$2:$A$400,$A85,'3. Enablement evidence'!$D$2:$D$400,"Generic",'3. Enablement evidence'!$G$2:$G$400,"Partial")&lt;COUNTIFS('3. Enablement evidence'!$A$2:$A$400,$A85,'3. Enablement evidence'!$D$2:$D$400,"Generic"),"incomplete "&amp;COUNTIFS('3. Enablement evidence'!$A$2:$A$400,$A85,'3. Enablement evidence'!$D$2:$D$400,"Generic",'3. Enablement evidence'!$G$2:$G$400,"Yes")&amp;"/"&amp;COUNTIFS('3. Enablement evidence'!$A$2:$A$400,$A85,'3. Enablement evidence'!$D$2:$D$400,"Generic"),IF(COUNTIFS('3. Enablement evidence'!$A$2:$A$400,$A85,'3. Enablement evidence'!$D$2:$D$400,"Generic",'3. Enablement evidence'!$G$2:$G$400,"Yes")&gt;=8,4,IF(AND(COUNTIFS('3. Enablement evidence'!$A$2:$A$400,$A85,'3. Enablement evidence'!$C$2:$C$400,"Published standard",'3. Enablement evidence'!$G$2:$G$400,"Yes")=1,COUNTIFS('3. Enablement evidence'!$A$2:$A$400,$A85,'3. Enablement evidence'!$C$2:$C$400,"Architecture pattern document",'3. Enablement evidence'!$G$2:$G$400,"Yes")+COUNTIFS('3. Enablement evidence'!$A$2:$A$400,$A85,'3. Enablement evidence'!$C$2:$C$400,"Reference architecture",'3. Enablement evidence'!$G$2:$G$400,"Yes")&gt;=1),3,IF(COUNTIFS('3. Enablement evidence'!$A$2:$A$400,$A85,'3. Enablement evidence'!$D$2:$D$400,"Generic",'3. Enablement evidence'!$G$2:$G$400,"Yes")&gt;=1,2,1))))))</f>
        <v/>
      </c>
      <c r="J85" s="20" t="inlineStr"/>
      <c r="K85" s="23" t="inlineStr">
        <is>
          <t>Candidate</t>
        </is>
      </c>
      <c r="L85" s="24" t="inlineStr"/>
      <c r="M85" s="25" t="inlineStr"/>
      <c r="N85" s="20" t="inlineStr"/>
      <c r="O85" s="14" t="inlineStr"/>
    </row>
    <row r="87" ht="62" customHeight="1">
      <c r="A87" s="22" t="inlineStr">
        <is>
          <t>One row per capability x pattern x technology. A technology appears on as many rows as it realizes patterns - that is correct, and a two-tier model cannot express it. Column I recomputes readiness from the GENERIC evidence rows on sheet 3 and reports 'incomplete n/9' until all nine are answered; where it then disagrees with column H the claim is not carried by the evidence. REAL-001 to REAL-008 are populated from the actual IDB asset inventory on sheet 12. REAL-005 is the row to settle first: it decides whether capability 3.6 carries a readiness lead of 2 or of 0.</t>
        </is>
      </c>
    </row>
  </sheetData>
  <autoFilter ref="A1:O85"/>
  <mergeCells count="1">
    <mergeCell ref="A87:O87"/>
  </mergeCells>
  <conditionalFormatting sqref="H2:H85">
    <cfRule type="cellIs" priority="1" operator="equal" dxfId="5">
      <formula>0</formula>
    </cfRule>
    <cfRule type="cellIs" priority="2" operator="equal" dxfId="0">
      <formula>1</formula>
    </cfRule>
    <cfRule type="cellIs" priority="3" operator="equal" dxfId="1">
      <formula>2</formula>
    </cfRule>
    <cfRule type="cellIs" priority="4" operator="equal" dxfId="2">
      <formula>3</formula>
    </cfRule>
    <cfRule type="cellIs" priority="5" operator="equal" dxfId="3">
      <formula>4</formula>
    </cfRule>
    <cfRule type="cellIs" priority="6" operator="equal" dxfId="4">
      <formula>5</formula>
    </cfRule>
  </conditionalFormatting>
  <dataValidations count="4">
    <dataValidation sqref="H2:H85" showDropDown="0" showInputMessage="0" showErrorMessage="1" allowBlank="1" errorTitle="Readiness" error="0 Not available / 1 Available or project-proven / 2 Approved / 3 Standardized / 4 Industrialized / 5 Productized. See sheet 4." type="list">
      <formula1>"0,1,2,3,4,5"</formula1>
    </dataValidation>
    <dataValidation sqref="J2:J85" showDropDown="0" showInputMessage="0" showErrorMessage="0" allowBlank="1" type="list">
      <formula1>"Guidance,Building blocks,Reference implementation,Managed platform,Service / API"</formula1>
    </dataValidation>
    <dataValidation sqref="K2:K85" showDropDown="0" showInputMessage="0" showErrorMessage="0" allowBlank="1" type="list">
      <formula1>"Approved,Conditional,Candidate,Retiring,Not available"</formula1>
    </dataValidation>
    <dataValidation sqref="L2:L85"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54" customWidth="1" min="3" max="3"/>
    <col width="17" customWidth="1" min="4" max="4"/>
    <col width="14" customWidth="1" min="5" max="5"/>
    <col width="11" customWidth="1" min="6" max="6"/>
    <col width="11" customWidth="1" min="7" max="7"/>
    <col width="62" customWidth="1" min="8" max="8"/>
    <col width="26" customWidth="1" min="9" max="9"/>
    <col width="22" customWidth="1" min="10" max="10"/>
  </cols>
  <sheetData>
    <row r="1" ht="32" customHeight="1">
      <c r="A1" s="10" t="inlineStr">
        <is>
          <t>Realization ID</t>
        </is>
      </c>
      <c r="B1" s="10" t="inlineStr">
        <is>
          <t>Realization</t>
        </is>
      </c>
      <c r="C1" s="10" t="inlineStr">
        <is>
          <t>Control</t>
        </is>
      </c>
      <c r="D1" s="10" t="inlineStr">
        <is>
          <t>Type</t>
        </is>
      </c>
      <c r="E1" s="10" t="inlineStr">
        <is>
          <t>Reference block</t>
        </is>
      </c>
      <c r="F1" s="10" t="inlineStr">
        <is>
          <t>Capability</t>
        </is>
      </c>
      <c r="G1" s="10" t="inlineStr">
        <is>
          <t>Status</t>
        </is>
      </c>
      <c r="H1" s="10" t="inlineStr">
        <is>
          <t>Why it matters</t>
        </is>
      </c>
      <c r="I1" s="10" t="inlineStr">
        <is>
          <t>Evidence ref</t>
        </is>
      </c>
      <c r="J1" s="10" t="inlineStr">
        <is>
          <t>Owner</t>
        </is>
      </c>
    </row>
    <row r="2" ht="24" customHeight="1">
      <c r="A2" s="12" t="inlineStr">
        <is>
          <t>REAL-001</t>
        </is>
      </c>
      <c r="B2" s="15" t="inlineStr">
        <is>
          <t>Microsoft Foundry Reference Architecture (RA-02) / Microsoft Foundry</t>
        </is>
      </c>
      <c r="C2" s="15" t="inlineStr">
        <is>
          <t>Published standard</t>
        </is>
      </c>
      <c r="D2" s="16" t="inlineStr">
        <is>
          <t>Generic</t>
        </is>
      </c>
      <c r="E2" s="11" t="inlineStr"/>
      <c r="F2" s="11" t="inlineStr"/>
      <c r="G2" s="18" t="inlineStr">
        <is>
          <t>Yes</t>
        </is>
      </c>
      <c r="H2" s="14" t="inlineStr">
        <is>
          <t>The institutional standard for how this is built.</t>
        </is>
      </c>
      <c r="I2" s="23" t="n"/>
      <c r="J2" s="23" t="n"/>
    </row>
    <row r="3" ht="24" customHeight="1">
      <c r="A3" s="12" t="inlineStr">
        <is>
          <t>REAL-001</t>
        </is>
      </c>
      <c r="B3" s="15" t="inlineStr">
        <is>
          <t>Microsoft Foundry Reference Architecture (RA-02) / Microsoft Foundry</t>
        </is>
      </c>
      <c r="C3" s="15" t="inlineStr">
        <is>
          <t>Architecture pattern document</t>
        </is>
      </c>
      <c r="D3" s="16" t="inlineStr">
        <is>
          <t>Generic</t>
        </is>
      </c>
      <c r="E3" s="11" t="inlineStr"/>
      <c r="F3" s="11" t="inlineStr"/>
      <c r="G3" s="18" t="inlineStr">
        <is>
          <t>Yes</t>
        </is>
      </c>
      <c r="H3" s="14" t="inlineStr">
        <is>
          <t>Problem, context, forces, solution, resulting context - not just a name.</t>
        </is>
      </c>
      <c r="I3" s="23" t="n"/>
      <c r="J3" s="23" t="n"/>
    </row>
    <row r="4" ht="24" customHeight="1">
      <c r="A4" s="12" t="inlineStr">
        <is>
          <t>REAL-001</t>
        </is>
      </c>
      <c r="B4" s="15" t="inlineStr">
        <is>
          <t>Microsoft Foundry Reference Architecture (RA-02) / Microsoft Foundry</t>
        </is>
      </c>
      <c r="C4" s="15" t="inlineStr">
        <is>
          <t>Reference architecture</t>
        </is>
      </c>
      <c r="D4" s="16" t="inlineStr">
        <is>
          <t>Generic</t>
        </is>
      </c>
      <c r="E4" s="11" t="inlineStr"/>
      <c r="F4" s="11" t="inlineStr"/>
      <c r="G4" s="18" t="inlineStr">
        <is>
          <t>Yes</t>
        </is>
      </c>
      <c r="H4" s="14" t="inlineStr">
        <is>
          <t>The worked target design.</t>
        </is>
      </c>
      <c r="I4" s="23" t="n"/>
      <c r="J4" s="23" t="n"/>
    </row>
    <row r="5" ht="24" customHeight="1">
      <c r="A5" s="12" t="inlineStr">
        <is>
          <t>REAL-001</t>
        </is>
      </c>
      <c r="B5" s="15" t="inlineStr">
        <is>
          <t>Microsoft Foundry Reference Architecture (RA-02) / Microsoft Foundry</t>
        </is>
      </c>
      <c r="C5" s="15" t="inlineStr">
        <is>
          <t>Infrastructure as code</t>
        </is>
      </c>
      <c r="D5" s="16" t="inlineStr">
        <is>
          <t>Generic</t>
        </is>
      </c>
      <c r="E5" s="11" t="inlineStr"/>
      <c r="F5" s="11" t="inlineStr"/>
      <c r="G5" s="18" t="inlineStr">
        <is>
          <t>Yes</t>
        </is>
      </c>
      <c r="H5" s="14" t="inlineStr">
        <is>
          <t>Provisioning is repeatable and reviewable.</t>
        </is>
      </c>
      <c r="I5" s="23" t="n"/>
      <c r="J5" s="23" t="n"/>
    </row>
    <row r="6" ht="24" customHeight="1">
      <c r="A6" s="12" t="inlineStr">
        <is>
          <t>REAL-001</t>
        </is>
      </c>
      <c r="B6" s="15" t="inlineStr">
        <is>
          <t>Microsoft Foundry Reference Architecture (RA-02) / Microsoft Foundry</t>
        </is>
      </c>
      <c r="C6" s="15" t="inlineStr">
        <is>
          <t>CI/CD pipeline</t>
        </is>
      </c>
      <c r="D6" s="16" t="inlineStr">
        <is>
          <t>Generic</t>
        </is>
      </c>
      <c r="E6" s="11" t="inlineStr"/>
      <c r="F6" s="11" t="inlineStr"/>
      <c r="G6" s="18" t="n"/>
      <c r="H6" s="14" t="inlineStr">
        <is>
          <t>Change is built and released through a controlled path.</t>
        </is>
      </c>
      <c r="I6" s="23" t="n"/>
      <c r="J6" s="23" t="n"/>
    </row>
    <row r="7" ht="24" customHeight="1">
      <c r="A7" s="12" t="inlineStr">
        <is>
          <t>REAL-001</t>
        </is>
      </c>
      <c r="B7" s="15" t="inlineStr">
        <is>
          <t>Microsoft Foundry Reference Architecture (RA-02) / Microsoft Foundry</t>
        </is>
      </c>
      <c r="C7" s="15" t="inlineStr">
        <is>
          <t>Security baseline</t>
        </is>
      </c>
      <c r="D7" s="16" t="inlineStr">
        <is>
          <t>Generic</t>
        </is>
      </c>
      <c r="E7" s="11" t="inlineStr"/>
      <c r="F7" s="11" t="inlineStr"/>
      <c r="G7" s="18" t="n"/>
      <c r="H7" s="14" t="inlineStr">
        <is>
          <t>Identity, network and data controls applied by default.</t>
        </is>
      </c>
      <c r="I7" s="23" t="n"/>
      <c r="J7" s="23" t="n"/>
    </row>
    <row r="8" ht="24" customHeight="1">
      <c r="A8" s="12" t="inlineStr">
        <is>
          <t>REAL-001</t>
        </is>
      </c>
      <c r="B8" s="15" t="inlineStr">
        <is>
          <t>Microsoft Foundry Reference Architecture (RA-02) / Microsoft Foundry</t>
        </is>
      </c>
      <c r="C8" s="15" t="inlineStr">
        <is>
          <t>Observability wired</t>
        </is>
      </c>
      <c r="D8" s="16" t="inlineStr">
        <is>
          <t>Generic</t>
        </is>
      </c>
      <c r="E8" s="11" t="inlineStr"/>
      <c r="F8" s="11" t="inlineStr"/>
      <c r="G8" s="18" t="n"/>
      <c r="H8" s="14" t="inlineStr">
        <is>
          <t>Telemetry emitted without the team adding it.</t>
        </is>
      </c>
      <c r="I8" s="23" t="n"/>
      <c r="J8" s="23" t="n"/>
    </row>
    <row r="9" ht="24" customHeight="1">
      <c r="A9" s="12" t="inlineStr">
        <is>
          <t>REAL-001</t>
        </is>
      </c>
      <c r="B9" s="15" t="inlineStr">
        <is>
          <t>Microsoft Foundry Reference Architecture (RA-02) / Microsoft Foundry</t>
        </is>
      </c>
      <c r="C9" s="15" t="inlineStr">
        <is>
          <t>Runbook</t>
        </is>
      </c>
      <c r="D9" s="16" t="inlineStr">
        <is>
          <t>Generic</t>
        </is>
      </c>
      <c r="E9" s="11" t="inlineStr"/>
      <c r="F9" s="11" t="inlineStr"/>
      <c r="G9" s="18" t="n"/>
      <c r="H9" s="14" t="inlineStr">
        <is>
          <t>Operations know what to do when it misbehaves.</t>
        </is>
      </c>
      <c r="I9" s="23" t="n"/>
      <c r="J9" s="23" t="n"/>
    </row>
    <row r="10" ht="24" customHeight="1">
      <c r="A10" s="12" t="inlineStr">
        <is>
          <t>REAL-001</t>
        </is>
      </c>
      <c r="B10" s="15" t="inlineStr">
        <is>
          <t>Microsoft Foundry Reference Architecture (RA-02) / Microsoft Foundry</t>
        </is>
      </c>
      <c r="C10" s="15" t="inlineStr">
        <is>
          <t>Support model</t>
        </is>
      </c>
      <c r="D10" s="16" t="inlineStr">
        <is>
          <t>Generic</t>
        </is>
      </c>
      <c r="E10" s="11" t="inlineStr"/>
      <c r="F10" s="11" t="inlineStr"/>
      <c r="G10" s="18" t="n"/>
      <c r="H10" s="14" t="inlineStr">
        <is>
          <t>Someone answers when it breaks.</t>
        </is>
      </c>
      <c r="I10" s="23" t="n"/>
      <c r="J10" s="23" t="n"/>
    </row>
    <row r="11" ht="24" customHeight="1">
      <c r="A11" s="12" t="inlineStr">
        <is>
          <t>REAL-002</t>
        </is>
      </c>
      <c r="B11" s="15" t="inlineStr">
        <is>
          <t>Foundry Agents Reference Architecture (RA-05, PRE-RELEASE) / Microsoft Foundry</t>
        </is>
      </c>
      <c r="C11" s="15" t="inlineStr">
        <is>
          <t>Published standard</t>
        </is>
      </c>
      <c r="D11" s="16" t="inlineStr">
        <is>
          <t>Generic</t>
        </is>
      </c>
      <c r="E11" s="11" t="inlineStr"/>
      <c r="F11" s="11" t="inlineStr"/>
      <c r="G11" s="18" t="inlineStr">
        <is>
          <t>Partial</t>
        </is>
      </c>
      <c r="H11" s="14" t="inlineStr">
        <is>
          <t>The institutional standard for how this is built.</t>
        </is>
      </c>
      <c r="I11" s="23" t="n"/>
      <c r="J11" s="23" t="n"/>
    </row>
    <row r="12" ht="24" customHeight="1">
      <c r="A12" s="12" t="inlineStr">
        <is>
          <t>REAL-002</t>
        </is>
      </c>
      <c r="B12" s="15" t="inlineStr">
        <is>
          <t>Foundry Agents Reference Architecture (RA-05, PRE-RELEASE) / Microsoft Foundry</t>
        </is>
      </c>
      <c r="C12" s="15" t="inlineStr">
        <is>
          <t>Architecture pattern document</t>
        </is>
      </c>
      <c r="D12" s="16" t="inlineStr">
        <is>
          <t>Generic</t>
        </is>
      </c>
      <c r="E12" s="11" t="inlineStr"/>
      <c r="F12" s="11" t="inlineStr"/>
      <c r="G12" s="18" t="inlineStr">
        <is>
          <t>Partial</t>
        </is>
      </c>
      <c r="H12" s="14" t="inlineStr">
        <is>
          <t>Problem, context, forces, solution, resulting context - not just a name.</t>
        </is>
      </c>
      <c r="I12" s="23" t="n"/>
      <c r="J12" s="23" t="n"/>
    </row>
    <row r="13" ht="24" customHeight="1">
      <c r="A13" s="12" t="inlineStr">
        <is>
          <t>REAL-002</t>
        </is>
      </c>
      <c r="B13" s="15" t="inlineStr">
        <is>
          <t>Foundry Agents Reference Architecture (RA-05, PRE-RELEASE) / Microsoft Foundry</t>
        </is>
      </c>
      <c r="C13" s="15" t="inlineStr">
        <is>
          <t>Reference architecture</t>
        </is>
      </c>
      <c r="D13" s="16" t="inlineStr">
        <is>
          <t>Generic</t>
        </is>
      </c>
      <c r="E13" s="11" t="inlineStr"/>
      <c r="F13" s="11" t="inlineStr"/>
      <c r="G13" s="18" t="inlineStr">
        <is>
          <t>Partial</t>
        </is>
      </c>
      <c r="H13" s="14" t="inlineStr">
        <is>
          <t>The worked target design.</t>
        </is>
      </c>
      <c r="I13" s="23" t="n"/>
      <c r="J13" s="23" t="n"/>
    </row>
    <row r="14" ht="24" customHeight="1">
      <c r="A14" s="12" t="inlineStr">
        <is>
          <t>REAL-002</t>
        </is>
      </c>
      <c r="B14" s="15" t="inlineStr">
        <is>
          <t>Foundry Agents Reference Architecture (RA-05, PRE-RELEASE) / Microsoft Foundry</t>
        </is>
      </c>
      <c r="C14" s="15" t="inlineStr">
        <is>
          <t>Infrastructure as code</t>
        </is>
      </c>
      <c r="D14" s="16" t="inlineStr">
        <is>
          <t>Generic</t>
        </is>
      </c>
      <c r="E14" s="11" t="inlineStr"/>
      <c r="F14" s="11" t="inlineStr"/>
      <c r="G14" s="18" t="inlineStr">
        <is>
          <t>Yes</t>
        </is>
      </c>
      <c r="H14" s="14" t="inlineStr">
        <is>
          <t>Provisioning is repeatable and reviewable.</t>
        </is>
      </c>
      <c r="I14" s="23" t="n"/>
      <c r="J14" s="23" t="n"/>
    </row>
    <row r="15" ht="24" customHeight="1">
      <c r="A15" s="12" t="inlineStr">
        <is>
          <t>REAL-002</t>
        </is>
      </c>
      <c r="B15" s="15" t="inlineStr">
        <is>
          <t>Foundry Agents Reference Architecture (RA-05, PRE-RELEASE) / Microsoft Foundry</t>
        </is>
      </c>
      <c r="C15" s="15" t="inlineStr">
        <is>
          <t>CI/CD pipeline</t>
        </is>
      </c>
      <c r="D15" s="16" t="inlineStr">
        <is>
          <t>Generic</t>
        </is>
      </c>
      <c r="E15" s="11" t="inlineStr"/>
      <c r="F15" s="11" t="inlineStr"/>
      <c r="G15" s="18" t="n"/>
      <c r="H15" s="14" t="inlineStr">
        <is>
          <t>Change is built and released through a controlled path.</t>
        </is>
      </c>
      <c r="I15" s="23" t="n"/>
      <c r="J15" s="23" t="n"/>
    </row>
    <row r="16" ht="24" customHeight="1">
      <c r="A16" s="12" t="inlineStr">
        <is>
          <t>REAL-002</t>
        </is>
      </c>
      <c r="B16" s="15" t="inlineStr">
        <is>
          <t>Foundry Agents Reference Architecture (RA-05, PRE-RELEASE) / Microsoft Foundry</t>
        </is>
      </c>
      <c r="C16" s="15" t="inlineStr">
        <is>
          <t>Security baseline</t>
        </is>
      </c>
      <c r="D16" s="16" t="inlineStr">
        <is>
          <t>Generic</t>
        </is>
      </c>
      <c r="E16" s="11" t="inlineStr"/>
      <c r="F16" s="11" t="inlineStr"/>
      <c r="G16" s="18" t="n"/>
      <c r="H16" s="14" t="inlineStr">
        <is>
          <t>Identity, network and data controls applied by default.</t>
        </is>
      </c>
      <c r="I16" s="23" t="n"/>
      <c r="J16" s="23" t="n"/>
    </row>
    <row r="17" ht="24" customHeight="1">
      <c r="A17" s="12" t="inlineStr">
        <is>
          <t>REAL-002</t>
        </is>
      </c>
      <c r="B17" s="15" t="inlineStr">
        <is>
          <t>Foundry Agents Reference Architecture (RA-05, PRE-RELEASE) / Microsoft Foundry</t>
        </is>
      </c>
      <c r="C17" s="15" t="inlineStr">
        <is>
          <t>Observability wired</t>
        </is>
      </c>
      <c r="D17" s="16" t="inlineStr">
        <is>
          <t>Generic</t>
        </is>
      </c>
      <c r="E17" s="11" t="inlineStr"/>
      <c r="F17" s="11" t="inlineStr"/>
      <c r="G17" s="18" t="n"/>
      <c r="H17" s="14" t="inlineStr">
        <is>
          <t>Telemetry emitted without the team adding it.</t>
        </is>
      </c>
      <c r="I17" s="23" t="n"/>
      <c r="J17" s="23" t="n"/>
    </row>
    <row r="18" ht="24" customHeight="1">
      <c r="A18" s="12" t="inlineStr">
        <is>
          <t>REAL-002</t>
        </is>
      </c>
      <c r="B18" s="15" t="inlineStr">
        <is>
          <t>Foundry Agents Reference Architecture (RA-05, PRE-RELEASE) / Microsoft Foundry</t>
        </is>
      </c>
      <c r="C18" s="15" t="inlineStr">
        <is>
          <t>Runbook</t>
        </is>
      </c>
      <c r="D18" s="16" t="inlineStr">
        <is>
          <t>Generic</t>
        </is>
      </c>
      <c r="E18" s="11" t="inlineStr"/>
      <c r="F18" s="11" t="inlineStr"/>
      <c r="G18" s="18" t="n"/>
      <c r="H18" s="14" t="inlineStr">
        <is>
          <t>Operations know what to do when it misbehaves.</t>
        </is>
      </c>
      <c r="I18" s="23" t="n"/>
      <c r="J18" s="23" t="n"/>
    </row>
    <row r="19" ht="24" customHeight="1">
      <c r="A19" s="12" t="inlineStr">
        <is>
          <t>REAL-002</t>
        </is>
      </c>
      <c r="B19" s="15" t="inlineStr">
        <is>
          <t>Foundry Agents Reference Architecture (RA-05, PRE-RELEASE) / Microsoft Foundry</t>
        </is>
      </c>
      <c r="C19" s="15" t="inlineStr">
        <is>
          <t>Support model</t>
        </is>
      </c>
      <c r="D19" s="16" t="inlineStr">
        <is>
          <t>Generic</t>
        </is>
      </c>
      <c r="E19" s="11" t="inlineStr"/>
      <c r="F19" s="11" t="inlineStr"/>
      <c r="G19" s="18" t="n"/>
      <c r="H19" s="14" t="inlineStr">
        <is>
          <t>Someone answers when it breaks.</t>
        </is>
      </c>
      <c r="I19" s="23" t="n"/>
      <c r="J19" s="23" t="n"/>
    </row>
    <row r="20" ht="32" customHeight="1">
      <c r="A20" s="12" t="inlineStr">
        <is>
          <t>REAL-002</t>
        </is>
      </c>
      <c r="B20" s="15" t="inlineStr">
        <is>
          <t>Foundry Agents Reference Architecture (RA-05, PRE-RELEASE) / Microsoft Foundry</t>
        </is>
      </c>
      <c r="C20" s="13" t="inlineStr">
        <is>
          <t>Distinct workload identity per instance, not a shared service principal</t>
        </is>
      </c>
      <c r="D20" s="28" t="inlineStr">
        <is>
          <t>Pattern-specific</t>
        </is>
      </c>
      <c r="E20" s="16" t="inlineStr">
        <is>
          <t>S6.9</t>
        </is>
      </c>
      <c r="F20" s="16" t="inlineStr">
        <is>
          <t>7.4.4</t>
        </is>
      </c>
      <c r="G20" s="18" t="n"/>
      <c r="H20" s="14" t="inlineStr">
        <is>
          <t>A shared service principal makes every agent's actions indistinguishable. Nothing downstream can attribute or revoke.</t>
        </is>
      </c>
      <c r="I20" s="23" t="n"/>
      <c r="J20" s="23" t="n"/>
    </row>
    <row r="21" ht="32" customHeight="1">
      <c r="A21" s="12" t="inlineStr">
        <is>
          <t>REAL-002</t>
        </is>
      </c>
      <c r="B21" s="15" t="inlineStr">
        <is>
          <t>Foundry Agents Reference Architecture (RA-05, PRE-RELEASE) / Microsoft Foundry</t>
        </is>
      </c>
      <c r="C21" s="13" t="inlineStr">
        <is>
          <t>Automatic registration in the AI system / agent inventory</t>
        </is>
      </c>
      <c r="D21" s="28" t="inlineStr">
        <is>
          <t>Pattern-specific</t>
        </is>
      </c>
      <c r="E21" s="16" t="inlineStr">
        <is>
          <t>S6.6</t>
        </is>
      </c>
      <c r="F21" s="16" t="inlineStr">
        <is>
          <t>7.7.2</t>
        </is>
      </c>
      <c r="G21" s="18" t="n"/>
      <c r="H21" s="14" t="inlineStr">
        <is>
          <t>An inventory that depends on teams remembering to register is not an inventory.</t>
        </is>
      </c>
      <c r="I21" s="23" t="n"/>
      <c r="J21" s="23" t="n"/>
    </row>
    <row r="22" ht="32" customHeight="1">
      <c r="A22" s="12" t="inlineStr">
        <is>
          <t>REAL-002</t>
        </is>
      </c>
      <c r="B22" s="15" t="inlineStr">
        <is>
          <t>Foundry Agents Reference Architecture (RA-05, PRE-RELEASE) / Microsoft Foundry</t>
        </is>
      </c>
      <c r="C22" s="13" t="inlineStr">
        <is>
          <t>Tracing and tool-call logging enabled by default</t>
        </is>
      </c>
      <c r="D22" s="28" t="inlineStr">
        <is>
          <t>Pattern-specific</t>
        </is>
      </c>
      <c r="E22" s="16" t="inlineStr">
        <is>
          <t>S9.1</t>
        </is>
      </c>
      <c r="F22" s="16" t="inlineStr">
        <is>
          <t>6.2.2</t>
        </is>
      </c>
      <c r="G22" s="18" t="n"/>
      <c r="H22" s="14" t="inlineStr">
        <is>
          <t>If it is not on by default it will not be there when you need to explain what an agent did.</t>
        </is>
      </c>
      <c r="I22" s="23" t="n"/>
      <c r="J22" s="23" t="n"/>
    </row>
    <row r="23" ht="32" customHeight="1">
      <c r="A23" s="12" t="inlineStr">
        <is>
          <t>REAL-002</t>
        </is>
      </c>
      <c r="B23" s="15" t="inlineStr">
        <is>
          <t>Foundry Agents Reference Architecture (RA-05, PRE-RELEASE) / Microsoft Foundry</t>
        </is>
      </c>
      <c r="C23" s="13" t="inlineStr">
        <is>
          <t>Content filtering and safety controls on by default</t>
        </is>
      </c>
      <c r="D23" s="28" t="inlineStr">
        <is>
          <t>Pattern-specific</t>
        </is>
      </c>
      <c r="E23" s="16" t="inlineStr">
        <is>
          <t>S7.1</t>
        </is>
      </c>
      <c r="F23" s="16" t="inlineStr">
        <is>
          <t>7.4.6</t>
        </is>
      </c>
      <c r="G23" s="18" t="n"/>
      <c r="H23" s="14" t="inlineStr">
        <is>
          <t>Opt-in safety is the control that is missing exactly when it is needed.</t>
        </is>
      </c>
      <c r="I23" s="23" t="n"/>
      <c r="J23" s="23" t="n"/>
    </row>
    <row r="24" ht="32" customHeight="1">
      <c r="A24" s="12" t="inlineStr">
        <is>
          <t>REAL-002</t>
        </is>
      </c>
      <c r="B24" s="15" t="inlineStr">
        <is>
          <t>Foundry Agents Reference Architecture (RA-05, PRE-RELEASE) / Microsoft Foundry</t>
        </is>
      </c>
      <c r="C24" s="13" t="inlineStr">
        <is>
          <t>Prompt-injection defence configured</t>
        </is>
      </c>
      <c r="D24" s="28" t="inlineStr">
        <is>
          <t>Pattern-specific</t>
        </is>
      </c>
      <c r="E24" s="16" t="inlineStr">
        <is>
          <t>S7.4</t>
        </is>
      </c>
      <c r="F24" s="16" t="inlineStr">
        <is>
          <t>7.4.3</t>
        </is>
      </c>
      <c r="G24" s="18" t="n"/>
      <c r="H24" s="14" t="inlineStr">
        <is>
          <t>Content the agent reads can instruct it. Prompt design alone does not stop this at run time.</t>
        </is>
      </c>
      <c r="I24" s="23" t="n"/>
      <c r="J24" s="23" t="n"/>
    </row>
    <row r="25" ht="32" customHeight="1">
      <c r="A25" s="12" t="inlineStr">
        <is>
          <t>REAL-002</t>
        </is>
      </c>
      <c r="B25" s="15" t="inlineStr">
        <is>
          <t>Foundry Agents Reference Architecture (RA-05, PRE-RELEASE) / Microsoft Foundry</t>
        </is>
      </c>
      <c r="C25" s="13" t="inlineStr">
        <is>
          <t>Evaluation harness scaffolded in the template</t>
        </is>
      </c>
      <c r="D25" s="28" t="inlineStr">
        <is>
          <t>Pattern-specific</t>
        </is>
      </c>
      <c r="E25" s="16" t="inlineStr">
        <is>
          <t>S8.15</t>
        </is>
      </c>
      <c r="F25" s="16" t="inlineStr">
        <is>
          <t>4.6.3</t>
        </is>
      </c>
      <c r="G25" s="18" t="n"/>
      <c r="H25" s="14" t="inlineStr">
        <is>
          <t>Without a harness in the template, evaluation happens once at launch and never again.</t>
        </is>
      </c>
      <c r="I25" s="23" t="n"/>
      <c r="J25" s="23" t="n"/>
    </row>
    <row r="26" ht="32" customHeight="1">
      <c r="A26" s="12" t="inlineStr">
        <is>
          <t>REAL-002</t>
        </is>
      </c>
      <c r="B26" s="15" t="inlineStr">
        <is>
          <t>Foundry Agents Reference Architecture (RA-05, PRE-RELEASE) / Microsoft Foundry</t>
        </is>
      </c>
      <c r="C26" s="13" t="inlineStr">
        <is>
          <t>Cost attribution tags applied automatically</t>
        </is>
      </c>
      <c r="D26" s="28" t="inlineStr">
        <is>
          <t>Pattern-specific</t>
        </is>
      </c>
      <c r="E26" s="16" t="inlineStr">
        <is>
          <t>S9.4</t>
        </is>
      </c>
      <c r="F26" s="16" t="inlineStr">
        <is>
          <t>6.5.1</t>
        </is>
      </c>
      <c r="G26" s="18" t="n"/>
      <c r="H26" s="14" t="inlineStr">
        <is>
          <t>Untagged consumption cannot be attributed, forecast or stopped.</t>
        </is>
      </c>
      <c r="I26" s="23" t="n"/>
      <c r="J26" s="23" t="n"/>
    </row>
    <row r="27" ht="32" customHeight="1">
      <c r="A27" s="12" t="inlineStr">
        <is>
          <t>REAL-002</t>
        </is>
      </c>
      <c r="B27" s="15" t="inlineStr">
        <is>
          <t>Foundry Agents Reference Architecture (RA-05, PRE-RELEASE) / Microsoft Foundry</t>
        </is>
      </c>
      <c r="C27" s="13" t="inlineStr">
        <is>
          <t>A tested way to stop it and revoke its access</t>
        </is>
      </c>
      <c r="D27" s="28" t="inlineStr">
        <is>
          <t>Pattern-specific</t>
        </is>
      </c>
      <c r="E27" s="16" t="inlineStr">
        <is>
          <t>S7.13</t>
        </is>
      </c>
      <c r="F27" s="16" t="inlineStr">
        <is>
          <t>6.4.2</t>
        </is>
      </c>
      <c r="G27" s="18" t="n"/>
      <c r="H27" s="14" t="inlineStr">
        <is>
          <t>An untested kill switch is an assumption, not a control.</t>
        </is>
      </c>
      <c r="I27" s="23" t="n"/>
      <c r="J27" s="23" t="n"/>
    </row>
    <row r="28" ht="32" customHeight="1">
      <c r="A28" s="12" t="inlineStr">
        <is>
          <t>REAL-002</t>
        </is>
      </c>
      <c r="B28" s="15" t="inlineStr">
        <is>
          <t>Foundry Agents Reference Architecture (RA-05, PRE-RELEASE) / Microsoft Foundry</t>
        </is>
      </c>
      <c r="C28" s="13" t="inlineStr">
        <is>
          <t>Credential issuance and rotation handled by the platform</t>
        </is>
      </c>
      <c r="D28" s="28" t="inlineStr">
        <is>
          <t>Pattern-specific</t>
        </is>
      </c>
      <c r="E28" s="16" t="inlineStr">
        <is>
          <t>S6.9</t>
        </is>
      </c>
      <c r="F28" s="16" t="inlineStr">
        <is>
          <t>5.2.4</t>
        </is>
      </c>
      <c r="G28" s="18" t="n"/>
      <c r="H28" s="14" t="inlineStr">
        <is>
          <t>Credentials created by hand are credentials nobody rotates.</t>
        </is>
      </c>
      <c r="I28" s="23" t="n"/>
      <c r="J28" s="23" t="n"/>
    </row>
    <row r="29" ht="32" customHeight="1">
      <c r="A29" s="12" t="inlineStr">
        <is>
          <t>REAL-002</t>
        </is>
      </c>
      <c r="B29" s="15" t="inlineStr">
        <is>
          <t>Foundry Agents Reference Architecture (RA-05, PRE-RELEASE) / Microsoft Foundry</t>
        </is>
      </c>
      <c r="C29" s="13" t="inlineStr">
        <is>
          <t>Network isolation and private connectivity baseline</t>
        </is>
      </c>
      <c r="D29" s="28" t="inlineStr">
        <is>
          <t>Pattern-specific</t>
        </is>
      </c>
      <c r="E29" s="16" t="inlineStr">
        <is>
          <t>S8.20</t>
        </is>
      </c>
      <c r="F29" s="16" t="inlineStr">
        <is>
          <t>5.3.3</t>
        </is>
      </c>
      <c r="G29" s="18" t="n"/>
      <c r="H29" s="14" t="inlineStr">
        <is>
          <t>Isolation applied per team is isolation applied inconsistently.</t>
        </is>
      </c>
      <c r="I29" s="23" t="n"/>
      <c r="J29" s="23" t="n"/>
    </row>
    <row r="30" ht="32" customHeight="1">
      <c r="A30" s="12" t="inlineStr">
        <is>
          <t>REAL-002</t>
        </is>
      </c>
      <c r="B30" s="15" t="inlineStr">
        <is>
          <t>Foundry Agents Reference Architecture (RA-05, PRE-RELEASE) / Microsoft Foundry</t>
        </is>
      </c>
      <c r="C30" s="13" t="inlineStr">
        <is>
          <t>A hook for human approval of consequential actions</t>
        </is>
      </c>
      <c r="D30" s="28" t="inlineStr">
        <is>
          <t>Pattern-specific</t>
        </is>
      </c>
      <c r="E30" s="16" t="inlineStr">
        <is>
          <t>S5.10</t>
        </is>
      </c>
      <c r="F30" s="16" t="inlineStr">
        <is>
          <t>2.5.2</t>
        </is>
      </c>
      <c r="G30" s="18" t="n"/>
      <c r="H30" s="14" t="inlineStr">
        <is>
          <t>Oversight designed into the platform is exercised; oversight written into policy is not.</t>
        </is>
      </c>
      <c r="I30" s="23" t="n"/>
      <c r="J30" s="23" t="n"/>
    </row>
    <row r="31" ht="32" customHeight="1">
      <c r="A31" s="12" t="inlineStr">
        <is>
          <t>REAL-002</t>
        </is>
      </c>
      <c r="B31" s="15" t="inlineStr">
        <is>
          <t>Foundry Agents Reference Architecture (RA-05, PRE-RELEASE) / Microsoft Foundry</t>
        </is>
      </c>
      <c r="C31" s="13" t="inlineStr">
        <is>
          <t>Interaction log retention configured to policy</t>
        </is>
      </c>
      <c r="D31" s="28" t="inlineStr">
        <is>
          <t>Pattern-specific</t>
        </is>
      </c>
      <c r="E31" s="16" t="inlineStr">
        <is>
          <t>S9.2</t>
        </is>
      </c>
      <c r="F31" s="16" t="inlineStr">
        <is>
          <t>3.1.4</t>
        </is>
      </c>
      <c r="G31" s="18" t="n"/>
      <c r="H31" s="14" t="inlineStr">
        <is>
          <t>Interaction logs are evidence. Retention set per project is evidence you cannot rely on.</t>
        </is>
      </c>
      <c r="I31" s="23" t="n"/>
      <c r="J31" s="23" t="n"/>
    </row>
    <row r="32" ht="24" customHeight="1">
      <c r="A32" s="12" t="inlineStr">
        <is>
          <t>REAL-003</t>
        </is>
      </c>
      <c r="B32" s="15" t="inlineStr">
        <is>
          <t>Custom MCP Server Reference Architecture (RA-01) / C# / .NET on Azure Container Apps</t>
        </is>
      </c>
      <c r="C32" s="15" t="inlineStr">
        <is>
          <t>Published standard</t>
        </is>
      </c>
      <c r="D32" s="16" t="inlineStr">
        <is>
          <t>Generic</t>
        </is>
      </c>
      <c r="E32" s="11" t="inlineStr"/>
      <c r="F32" s="11" t="inlineStr"/>
      <c r="G32" s="18" t="inlineStr">
        <is>
          <t>Yes</t>
        </is>
      </c>
      <c r="H32" s="14" t="inlineStr">
        <is>
          <t>The institutional standard for how this is built.</t>
        </is>
      </c>
      <c r="I32" s="23" t="n"/>
      <c r="J32" s="23" t="n"/>
    </row>
    <row r="33" ht="24" customHeight="1">
      <c r="A33" s="12" t="inlineStr">
        <is>
          <t>REAL-003</t>
        </is>
      </c>
      <c r="B33" s="15" t="inlineStr">
        <is>
          <t>Custom MCP Server Reference Architecture (RA-01) / C# / .NET on Azure Container Apps</t>
        </is>
      </c>
      <c r="C33" s="15" t="inlineStr">
        <is>
          <t>Architecture pattern document</t>
        </is>
      </c>
      <c r="D33" s="16" t="inlineStr">
        <is>
          <t>Generic</t>
        </is>
      </c>
      <c r="E33" s="11" t="inlineStr"/>
      <c r="F33" s="11" t="inlineStr"/>
      <c r="G33" s="18" t="inlineStr">
        <is>
          <t>Yes</t>
        </is>
      </c>
      <c r="H33" s="14" t="inlineStr">
        <is>
          <t>Problem, context, forces, solution, resulting context - not just a name.</t>
        </is>
      </c>
      <c r="I33" s="23" t="n"/>
      <c r="J33" s="23" t="n"/>
    </row>
    <row r="34" ht="24" customHeight="1">
      <c r="A34" s="12" t="inlineStr">
        <is>
          <t>REAL-003</t>
        </is>
      </c>
      <c r="B34" s="15" t="inlineStr">
        <is>
          <t>Custom MCP Server Reference Architecture (RA-01) / C# / .NET on Azure Container Apps</t>
        </is>
      </c>
      <c r="C34" s="15" t="inlineStr">
        <is>
          <t>Reference architecture</t>
        </is>
      </c>
      <c r="D34" s="16" t="inlineStr">
        <is>
          <t>Generic</t>
        </is>
      </c>
      <c r="E34" s="11" t="inlineStr"/>
      <c r="F34" s="11" t="inlineStr"/>
      <c r="G34" s="18" t="inlineStr">
        <is>
          <t>Yes</t>
        </is>
      </c>
      <c r="H34" s="14" t="inlineStr">
        <is>
          <t>The worked target design.</t>
        </is>
      </c>
      <c r="I34" s="23" t="n"/>
      <c r="J34" s="23" t="n"/>
    </row>
    <row r="35" ht="24" customHeight="1">
      <c r="A35" s="12" t="inlineStr">
        <is>
          <t>REAL-003</t>
        </is>
      </c>
      <c r="B35" s="15" t="inlineStr">
        <is>
          <t>Custom MCP Server Reference Architecture (RA-01) / C# / .NET on Azure Container Apps</t>
        </is>
      </c>
      <c r="C35" s="15" t="inlineStr">
        <is>
          <t>Infrastructure as code</t>
        </is>
      </c>
      <c r="D35" s="16" t="inlineStr">
        <is>
          <t>Generic</t>
        </is>
      </c>
      <c r="E35" s="11" t="inlineStr"/>
      <c r="F35" s="11" t="inlineStr"/>
      <c r="G35" s="18" t="inlineStr">
        <is>
          <t>Partial</t>
        </is>
      </c>
      <c r="H35" s="14" t="inlineStr">
        <is>
          <t>Provisioning is repeatable and reviewable.</t>
        </is>
      </c>
      <c r="I35" s="23" t="n"/>
      <c r="J35" s="23" t="n"/>
    </row>
    <row r="36" ht="24" customHeight="1">
      <c r="A36" s="12" t="inlineStr">
        <is>
          <t>REAL-003</t>
        </is>
      </c>
      <c r="B36" s="15" t="inlineStr">
        <is>
          <t>Custom MCP Server Reference Architecture (RA-01) / C# / .NET on Azure Container Apps</t>
        </is>
      </c>
      <c r="C36" s="15" t="inlineStr">
        <is>
          <t>CI/CD pipeline</t>
        </is>
      </c>
      <c r="D36" s="16" t="inlineStr">
        <is>
          <t>Generic</t>
        </is>
      </c>
      <c r="E36" s="11" t="inlineStr"/>
      <c r="F36" s="11" t="inlineStr"/>
      <c r="G36" s="18" t="n"/>
      <c r="H36" s="14" t="inlineStr">
        <is>
          <t>Change is built and released through a controlled path.</t>
        </is>
      </c>
      <c r="I36" s="23" t="n"/>
      <c r="J36" s="23" t="n"/>
    </row>
    <row r="37" ht="24" customHeight="1">
      <c r="A37" s="12" t="inlineStr">
        <is>
          <t>REAL-003</t>
        </is>
      </c>
      <c r="B37" s="15" t="inlineStr">
        <is>
          <t>Custom MCP Server Reference Architecture (RA-01) / C# / .NET on Azure Container Apps</t>
        </is>
      </c>
      <c r="C37" s="15" t="inlineStr">
        <is>
          <t>Security baseline</t>
        </is>
      </c>
      <c r="D37" s="16" t="inlineStr">
        <is>
          <t>Generic</t>
        </is>
      </c>
      <c r="E37" s="11" t="inlineStr"/>
      <c r="F37" s="11" t="inlineStr"/>
      <c r="G37" s="18" t="n"/>
      <c r="H37" s="14" t="inlineStr">
        <is>
          <t>Identity, network and data controls applied by default.</t>
        </is>
      </c>
      <c r="I37" s="23" t="n"/>
      <c r="J37" s="23" t="n"/>
    </row>
    <row r="38" ht="24" customHeight="1">
      <c r="A38" s="12" t="inlineStr">
        <is>
          <t>REAL-003</t>
        </is>
      </c>
      <c r="B38" s="15" t="inlineStr">
        <is>
          <t>Custom MCP Server Reference Architecture (RA-01) / C# / .NET on Azure Container Apps</t>
        </is>
      </c>
      <c r="C38" s="15" t="inlineStr">
        <is>
          <t>Observability wired</t>
        </is>
      </c>
      <c r="D38" s="16" t="inlineStr">
        <is>
          <t>Generic</t>
        </is>
      </c>
      <c r="E38" s="11" t="inlineStr"/>
      <c r="F38" s="11" t="inlineStr"/>
      <c r="G38" s="18" t="n"/>
      <c r="H38" s="14" t="inlineStr">
        <is>
          <t>Telemetry emitted without the team adding it.</t>
        </is>
      </c>
      <c r="I38" s="23" t="n"/>
      <c r="J38" s="23" t="n"/>
    </row>
    <row r="39" ht="24" customHeight="1">
      <c r="A39" s="12" t="inlineStr">
        <is>
          <t>REAL-003</t>
        </is>
      </c>
      <c r="B39" s="15" t="inlineStr">
        <is>
          <t>Custom MCP Server Reference Architecture (RA-01) / C# / .NET on Azure Container Apps</t>
        </is>
      </c>
      <c r="C39" s="15" t="inlineStr">
        <is>
          <t>Runbook</t>
        </is>
      </c>
      <c r="D39" s="16" t="inlineStr">
        <is>
          <t>Generic</t>
        </is>
      </c>
      <c r="E39" s="11" t="inlineStr"/>
      <c r="F39" s="11" t="inlineStr"/>
      <c r="G39" s="18" t="n"/>
      <c r="H39" s="14" t="inlineStr">
        <is>
          <t>Operations know what to do when it misbehaves.</t>
        </is>
      </c>
      <c r="I39" s="23" t="n"/>
      <c r="J39" s="23" t="n"/>
    </row>
    <row r="40" ht="24" customHeight="1">
      <c r="A40" s="12" t="inlineStr">
        <is>
          <t>REAL-003</t>
        </is>
      </c>
      <c r="B40" s="15" t="inlineStr">
        <is>
          <t>Custom MCP Server Reference Architecture (RA-01) / C# / .NET on Azure Container Apps</t>
        </is>
      </c>
      <c r="C40" s="15" t="inlineStr">
        <is>
          <t>Support model</t>
        </is>
      </c>
      <c r="D40" s="16" t="inlineStr">
        <is>
          <t>Generic</t>
        </is>
      </c>
      <c r="E40" s="11" t="inlineStr"/>
      <c r="F40" s="11" t="inlineStr"/>
      <c r="G40" s="18" t="n"/>
      <c r="H40" s="14" t="inlineStr">
        <is>
          <t>Someone answers when it breaks.</t>
        </is>
      </c>
      <c r="I40" s="23" t="n"/>
      <c r="J40" s="23" t="n"/>
    </row>
    <row r="41" ht="32" customHeight="1">
      <c r="A41" s="12" t="inlineStr">
        <is>
          <t>REAL-003</t>
        </is>
      </c>
      <c r="B41" s="15" t="inlineStr">
        <is>
          <t>Custom MCP Server Reference Architecture (RA-01) / C# / .NET on Azure Container Apps</t>
        </is>
      </c>
      <c r="C41" s="13" t="inlineStr">
        <is>
          <t>Server registered in an approved-server registry before any client may call it</t>
        </is>
      </c>
      <c r="D41" s="28" t="inlineStr">
        <is>
          <t>Pattern-specific</t>
        </is>
      </c>
      <c r="E41" s="16" t="inlineStr">
        <is>
          <t>S6.6</t>
        </is>
      </c>
      <c r="F41" s="16" t="inlineStr">
        <is>
          <t>5.5.2</t>
        </is>
      </c>
      <c r="G41" s="18" t="n"/>
      <c r="H41" s="14" t="inlineStr">
        <is>
          <t>A public registry entry is not enterprise approval. Discovery and approval are different registers.</t>
        </is>
      </c>
      <c r="I41" s="23" t="n"/>
      <c r="J41" s="23" t="n"/>
    </row>
    <row r="42" ht="32" customHeight="1">
      <c r="A42" s="12" t="inlineStr">
        <is>
          <t>REAL-003</t>
        </is>
      </c>
      <c r="B42" s="15" t="inlineStr">
        <is>
          <t>Custom MCP Server Reference Architecture (RA-01) / C# / .NET on Azure Container Apps</t>
        </is>
      </c>
      <c r="C42" s="13" t="inlineStr">
        <is>
          <t>Acting user's identity propagated on-behalf-of to the system of record</t>
        </is>
      </c>
      <c r="D42" s="28" t="inlineStr">
        <is>
          <t>Pattern-specific</t>
        </is>
      </c>
      <c r="E42" s="16" t="inlineStr">
        <is>
          <t>S6.8</t>
        </is>
      </c>
      <c r="F42" s="16" t="inlineStr">
        <is>
          <t>4.5.4</t>
        </is>
      </c>
      <c r="G42" s="18" t="n"/>
      <c r="H42" s="14" t="inlineStr">
        <is>
          <t>Without it every action looks like the service account and the audit trail names the wrong actor.</t>
        </is>
      </c>
      <c r="I42" s="23" t="n"/>
      <c r="J42" s="23" t="n"/>
    </row>
    <row r="43" ht="32" customHeight="1">
      <c r="A43" s="12" t="inlineStr">
        <is>
          <t>REAL-003</t>
        </is>
      </c>
      <c r="B43" s="15" t="inlineStr">
        <is>
          <t>Custom MCP Server Reference Architecture (RA-01) / C# / .NET on Azure Container Apps</t>
        </is>
      </c>
      <c r="C43" s="13" t="inlineStr">
        <is>
          <t>Tool scopes issued at least privilege</t>
        </is>
      </c>
      <c r="D43" s="28" t="inlineStr">
        <is>
          <t>Pattern-specific</t>
        </is>
      </c>
      <c r="E43" s="16" t="inlineStr">
        <is>
          <t>S6.9</t>
        </is>
      </c>
      <c r="F43" s="16" t="inlineStr">
        <is>
          <t>5.5.3</t>
        </is>
      </c>
      <c r="G43" s="18" t="n"/>
      <c r="H43" s="14" t="inlineStr">
        <is>
          <t>A tool that can do more than its purpose is the confused-deputy path.</t>
        </is>
      </c>
      <c r="I43" s="23" t="n"/>
      <c r="J43" s="23" t="n"/>
    </row>
    <row r="44" ht="32" customHeight="1">
      <c r="A44" s="12" t="inlineStr">
        <is>
          <t>REAL-003</t>
        </is>
      </c>
      <c r="B44" s="15" t="inlineStr">
        <is>
          <t>Custom MCP Server Reference Architecture (RA-01) / C# / .NET on Azure Container Apps</t>
        </is>
      </c>
      <c r="C44" s="13" t="inlineStr">
        <is>
          <t>Traffic passes a gateway or policy enforcement point</t>
        </is>
      </c>
      <c r="D44" s="28" t="inlineStr">
        <is>
          <t>Pattern-specific</t>
        </is>
      </c>
      <c r="E44" s="16" t="inlineStr">
        <is>
          <t>S6.5</t>
        </is>
      </c>
      <c r="F44" s="16" t="inlineStr">
        <is>
          <t>7.4.5</t>
        </is>
      </c>
      <c r="G44" s="18" t="n"/>
      <c r="H44" s="14" t="inlineStr">
        <is>
          <t>Per-server enforcement is enforcement that varies by team.</t>
        </is>
      </c>
      <c r="I44" s="23" t="n"/>
      <c r="J44" s="23" t="n"/>
    </row>
    <row r="45" ht="32" customHeight="1">
      <c r="A45" s="12" t="inlineStr">
        <is>
          <t>REAL-003</t>
        </is>
      </c>
      <c r="B45" s="15" t="inlineStr">
        <is>
          <t>Custom MCP Server Reference Architecture (RA-01) / C# / .NET on Azure Container Apps</t>
        </is>
      </c>
      <c r="C45" s="13" t="inlineStr">
        <is>
          <t>Protocol revision pinned, with a migration plan for the July 2026 spec</t>
        </is>
      </c>
      <c r="D45" s="28" t="inlineStr">
        <is>
          <t>Pattern-specific</t>
        </is>
      </c>
      <c r="E45" s="16" t="inlineStr">
        <is>
          <t>S10.1</t>
        </is>
      </c>
      <c r="F45" s="16" t="inlineStr">
        <is>
          <t>5.5.5</t>
        </is>
      </c>
      <c r="G45" s="18" t="n"/>
      <c r="H45" s="14" t="inlineStr">
        <is>
          <t>Roots, Sampling, Logging, RFC 7591 dynamic client registration and legacy HTTP+SSE are deprecated on defined timelines. Template v1 predates this.</t>
        </is>
      </c>
      <c r="I45" s="23" t="n"/>
      <c r="J45" s="23" t="n"/>
    </row>
    <row r="46" ht="32" customHeight="1">
      <c r="A46" s="12" t="inlineStr">
        <is>
          <t>REAL-003</t>
        </is>
      </c>
      <c r="B46" s="15" t="inlineStr">
        <is>
          <t>Custom MCP Server Reference Architecture (RA-01) / C# / .NET on Azure Container Apps</t>
        </is>
      </c>
      <c r="C46" s="13" t="inlineStr">
        <is>
          <t>Tool calls audited with arguments and effect</t>
        </is>
      </c>
      <c r="D46" s="28" t="inlineStr">
        <is>
          <t>Pattern-specific</t>
        </is>
      </c>
      <c r="E46" s="16" t="inlineStr">
        <is>
          <t>S9.3</t>
        </is>
      </c>
      <c r="F46" s="16" t="inlineStr">
        <is>
          <t>6.2.3</t>
        </is>
      </c>
      <c r="G46" s="18" t="n"/>
      <c r="H46" s="14" t="inlineStr">
        <is>
          <t>You cannot explain what an agent did without the call record.</t>
        </is>
      </c>
      <c r="I46" s="23" t="n"/>
      <c r="J46" s="23" t="n"/>
    </row>
    <row r="47" ht="24" customHeight="1">
      <c r="A47" s="12" t="inlineStr">
        <is>
          <t>REAL-004</t>
        </is>
      </c>
      <c r="B47" s="15" t="inlineStr">
        <is>
          <t>Azure AI Search Reference Architecture (RA-03) - hybrid / semantic retrieval / Azure AI Search</t>
        </is>
      </c>
      <c r="C47" s="15" t="inlineStr">
        <is>
          <t>Published standard</t>
        </is>
      </c>
      <c r="D47" s="16" t="inlineStr">
        <is>
          <t>Generic</t>
        </is>
      </c>
      <c r="E47" s="11" t="inlineStr"/>
      <c r="F47" s="11" t="inlineStr"/>
      <c r="G47" s="18" t="inlineStr">
        <is>
          <t>Yes</t>
        </is>
      </c>
      <c r="H47" s="14" t="inlineStr">
        <is>
          <t>The institutional standard for how this is built.</t>
        </is>
      </c>
      <c r="I47" s="23" t="n"/>
      <c r="J47" s="23" t="n"/>
    </row>
    <row r="48" ht="24" customHeight="1">
      <c r="A48" s="12" t="inlineStr">
        <is>
          <t>REAL-004</t>
        </is>
      </c>
      <c r="B48" s="15" t="inlineStr">
        <is>
          <t>Azure AI Search Reference Architecture (RA-03) - hybrid / semantic retrieval / Azure AI Search</t>
        </is>
      </c>
      <c r="C48" s="15" t="inlineStr">
        <is>
          <t>Architecture pattern document</t>
        </is>
      </c>
      <c r="D48" s="16" t="inlineStr">
        <is>
          <t>Generic</t>
        </is>
      </c>
      <c r="E48" s="11" t="inlineStr"/>
      <c r="F48" s="11" t="inlineStr"/>
      <c r="G48" s="18" t="inlineStr">
        <is>
          <t>Yes</t>
        </is>
      </c>
      <c r="H48" s="14" t="inlineStr">
        <is>
          <t>Problem, context, forces, solution, resulting context - not just a name.</t>
        </is>
      </c>
      <c r="I48" s="23" t="n"/>
      <c r="J48" s="23" t="n"/>
    </row>
    <row r="49" ht="24" customHeight="1">
      <c r="A49" s="12" t="inlineStr">
        <is>
          <t>REAL-004</t>
        </is>
      </c>
      <c r="B49" s="15" t="inlineStr">
        <is>
          <t>Azure AI Search Reference Architecture (RA-03) - hybrid / semantic retrieval / Azure AI Search</t>
        </is>
      </c>
      <c r="C49" s="15" t="inlineStr">
        <is>
          <t>Reference architecture</t>
        </is>
      </c>
      <c r="D49" s="16" t="inlineStr">
        <is>
          <t>Generic</t>
        </is>
      </c>
      <c r="E49" s="11" t="inlineStr"/>
      <c r="F49" s="11" t="inlineStr"/>
      <c r="G49" s="18" t="inlineStr">
        <is>
          <t>Yes</t>
        </is>
      </c>
      <c r="H49" s="14" t="inlineStr">
        <is>
          <t>The worked target design.</t>
        </is>
      </c>
      <c r="I49" s="23" t="n"/>
      <c r="J49" s="23" t="n"/>
    </row>
    <row r="50" ht="24" customHeight="1">
      <c r="A50" s="12" t="inlineStr">
        <is>
          <t>REAL-004</t>
        </is>
      </c>
      <c r="B50" s="15" t="inlineStr">
        <is>
          <t>Azure AI Search Reference Architecture (RA-03) - hybrid / semantic retrieval / Azure AI Search</t>
        </is>
      </c>
      <c r="C50" s="15" t="inlineStr">
        <is>
          <t>Infrastructure as code</t>
        </is>
      </c>
      <c r="D50" s="16" t="inlineStr">
        <is>
          <t>Generic</t>
        </is>
      </c>
      <c r="E50" s="11" t="inlineStr"/>
      <c r="F50" s="11" t="inlineStr"/>
      <c r="G50" s="18" t="inlineStr">
        <is>
          <t>Yes</t>
        </is>
      </c>
      <c r="H50" s="14" t="inlineStr">
        <is>
          <t>Provisioning is repeatable and reviewable.</t>
        </is>
      </c>
      <c r="I50" s="23" t="n"/>
      <c r="J50" s="23" t="n"/>
    </row>
    <row r="51" ht="24" customHeight="1">
      <c r="A51" s="12" t="inlineStr">
        <is>
          <t>REAL-004</t>
        </is>
      </c>
      <c r="B51" s="15" t="inlineStr">
        <is>
          <t>Azure AI Search Reference Architecture (RA-03) - hybrid / semantic retrieval / Azure AI Search</t>
        </is>
      </c>
      <c r="C51" s="15" t="inlineStr">
        <is>
          <t>CI/CD pipeline</t>
        </is>
      </c>
      <c r="D51" s="16" t="inlineStr">
        <is>
          <t>Generic</t>
        </is>
      </c>
      <c r="E51" s="11" t="inlineStr"/>
      <c r="F51" s="11" t="inlineStr"/>
      <c r="G51" s="18" t="n"/>
      <c r="H51" s="14" t="inlineStr">
        <is>
          <t>Change is built and released through a controlled path.</t>
        </is>
      </c>
      <c r="I51" s="23" t="n"/>
      <c r="J51" s="23" t="n"/>
    </row>
    <row r="52" ht="24" customHeight="1">
      <c r="A52" s="12" t="inlineStr">
        <is>
          <t>REAL-004</t>
        </is>
      </c>
      <c r="B52" s="15" t="inlineStr">
        <is>
          <t>Azure AI Search Reference Architecture (RA-03) - hybrid / semantic retrieval / Azure AI Search</t>
        </is>
      </c>
      <c r="C52" s="15" t="inlineStr">
        <is>
          <t>Security baseline</t>
        </is>
      </c>
      <c r="D52" s="16" t="inlineStr">
        <is>
          <t>Generic</t>
        </is>
      </c>
      <c r="E52" s="11" t="inlineStr"/>
      <c r="F52" s="11" t="inlineStr"/>
      <c r="G52" s="18" t="n"/>
      <c r="H52" s="14" t="inlineStr">
        <is>
          <t>Identity, network and data controls applied by default.</t>
        </is>
      </c>
      <c r="I52" s="23" t="n"/>
      <c r="J52" s="23" t="n"/>
    </row>
    <row r="53" ht="24" customHeight="1">
      <c r="A53" s="12" t="inlineStr">
        <is>
          <t>REAL-004</t>
        </is>
      </c>
      <c r="B53" s="15" t="inlineStr">
        <is>
          <t>Azure AI Search Reference Architecture (RA-03) - hybrid / semantic retrieval / Azure AI Search</t>
        </is>
      </c>
      <c r="C53" s="15" t="inlineStr">
        <is>
          <t>Observability wired</t>
        </is>
      </c>
      <c r="D53" s="16" t="inlineStr">
        <is>
          <t>Generic</t>
        </is>
      </c>
      <c r="E53" s="11" t="inlineStr"/>
      <c r="F53" s="11" t="inlineStr"/>
      <c r="G53" s="18" t="n"/>
      <c r="H53" s="14" t="inlineStr">
        <is>
          <t>Telemetry emitted without the team adding it.</t>
        </is>
      </c>
      <c r="I53" s="23" t="n"/>
      <c r="J53" s="23" t="n"/>
    </row>
    <row r="54" ht="24" customHeight="1">
      <c r="A54" s="12" t="inlineStr">
        <is>
          <t>REAL-004</t>
        </is>
      </c>
      <c r="B54" s="15" t="inlineStr">
        <is>
          <t>Azure AI Search Reference Architecture (RA-03) - hybrid / semantic retrieval / Azure AI Search</t>
        </is>
      </c>
      <c r="C54" s="15" t="inlineStr">
        <is>
          <t>Runbook</t>
        </is>
      </c>
      <c r="D54" s="16" t="inlineStr">
        <is>
          <t>Generic</t>
        </is>
      </c>
      <c r="E54" s="11" t="inlineStr"/>
      <c r="F54" s="11" t="inlineStr"/>
      <c r="G54" s="18" t="n"/>
      <c r="H54" s="14" t="inlineStr">
        <is>
          <t>Operations know what to do when it misbehaves.</t>
        </is>
      </c>
      <c r="I54" s="23" t="n"/>
      <c r="J54" s="23" t="n"/>
    </row>
    <row r="55" ht="24" customHeight="1">
      <c r="A55" s="12" t="inlineStr">
        <is>
          <t>REAL-004</t>
        </is>
      </c>
      <c r="B55" s="15" t="inlineStr">
        <is>
          <t>Azure AI Search Reference Architecture (RA-03) - hybrid / semantic retrieval / Azure AI Search</t>
        </is>
      </c>
      <c r="C55" s="15" t="inlineStr">
        <is>
          <t>Support model</t>
        </is>
      </c>
      <c r="D55" s="16" t="inlineStr">
        <is>
          <t>Generic</t>
        </is>
      </c>
      <c r="E55" s="11" t="inlineStr"/>
      <c r="F55" s="11" t="inlineStr"/>
      <c r="G55" s="18" t="n"/>
      <c r="H55" s="14" t="inlineStr">
        <is>
          <t>Someone answers when it breaks.</t>
        </is>
      </c>
      <c r="I55" s="23" t="n"/>
      <c r="J55" s="23" t="n"/>
    </row>
    <row r="56" ht="32" customHeight="1">
      <c r="A56" s="12" t="inlineStr">
        <is>
          <t>REAL-004</t>
        </is>
      </c>
      <c r="B56" s="15" t="inlineStr">
        <is>
          <t>Azure AI Search Reference Architecture (RA-03) - hybrid / semantic retrieval / Azure AI Search</t>
        </is>
      </c>
      <c r="C56" s="13" t="inlineStr">
        <is>
          <t>Entitlement enforced at query time, before ranking</t>
        </is>
      </c>
      <c r="D56" s="28" t="inlineStr">
        <is>
          <t>Pattern-specific</t>
        </is>
      </c>
      <c r="E56" s="16" t="inlineStr">
        <is>
          <t>S3.10</t>
        </is>
      </c>
      <c r="F56" s="16" t="inlineStr">
        <is>
          <t>3.6.2</t>
        </is>
      </c>
      <c r="G56" s="18" t="n"/>
      <c r="H56" s="14" t="inlineStr">
        <is>
          <t>Filtering a ranked list after the fact both leaks and distorts relevance. The filter must precede ranking.</t>
        </is>
      </c>
      <c r="I56" s="23" t="n"/>
      <c r="J56" s="23" t="n"/>
    </row>
    <row r="57" ht="32" customHeight="1">
      <c r="A57" s="12" t="inlineStr">
        <is>
          <t>REAL-004</t>
        </is>
      </c>
      <c r="B57" s="15" t="inlineStr">
        <is>
          <t>Azure AI Search Reference Architecture (RA-03) - hybrid / semantic retrieval / Azure AI Search</t>
        </is>
      </c>
      <c r="C57" s="13" t="inlineStr">
        <is>
          <t>Citations resolvable to source, version and location</t>
        </is>
      </c>
      <c r="D57" s="28" t="inlineStr">
        <is>
          <t>Pattern-specific</t>
        </is>
      </c>
      <c r="E57" s="16" t="inlineStr">
        <is>
          <t>S3.12</t>
        </is>
      </c>
      <c r="F57" s="16" t="inlineStr">
        <is>
          <t>3.6.5</t>
        </is>
      </c>
      <c r="G57" s="18" t="n"/>
      <c r="H57" s="14" t="inlineStr">
        <is>
          <t>A citation that cannot be opened is decoration. It also does not prove the statement is true.</t>
        </is>
      </c>
      <c r="I57" s="23" t="n"/>
      <c r="J57" s="23" t="n"/>
    </row>
    <row r="58" ht="32" customHeight="1">
      <c r="A58" s="12" t="inlineStr">
        <is>
          <t>REAL-004</t>
        </is>
      </c>
      <c r="B58" s="15" t="inlineStr">
        <is>
          <t>Azure AI Search Reference Architecture (RA-03) - hybrid / semantic retrieval / Azure AI Search</t>
        </is>
      </c>
      <c r="C58" s="13" t="inlineStr">
        <is>
          <t>Retrieval quality measured against a benchmark</t>
        </is>
      </c>
      <c r="D58" s="28" t="inlineStr">
        <is>
          <t>Pattern-specific</t>
        </is>
      </c>
      <c r="E58" s="16" t="inlineStr">
        <is>
          <t>S8.15</t>
        </is>
      </c>
      <c r="F58" s="16" t="inlineStr">
        <is>
          <t>3.6.3</t>
        </is>
      </c>
      <c r="G58" s="18" t="n"/>
      <c r="H58" s="14" t="inlineStr">
        <is>
          <t>Relevance that is never measured degrades silently as the corpus changes.</t>
        </is>
      </c>
      <c r="I58" s="23" t="n"/>
      <c r="J58" s="23" t="n"/>
    </row>
    <row r="59" ht="32" customHeight="1">
      <c r="A59" s="12" t="inlineStr">
        <is>
          <t>REAL-004</t>
        </is>
      </c>
      <c r="B59" s="15" t="inlineStr">
        <is>
          <t>Azure AI Search Reference Architecture (RA-03) - hybrid / semantic retrieval / Azure AI Search</t>
        </is>
      </c>
      <c r="C59" s="13" t="inlineStr">
        <is>
          <t>Re-embedding runbook for model change</t>
        </is>
      </c>
      <c r="D59" s="28" t="inlineStr">
        <is>
          <t>Pattern-specific</t>
        </is>
      </c>
      <c r="E59" s="16" t="inlineStr">
        <is>
          <t>S3.8</t>
        </is>
      </c>
      <c r="F59" s="16" t="inlineStr">
        <is>
          <t>3.7.3</t>
        </is>
      </c>
      <c r="G59" s="18" t="n"/>
      <c r="H59" s="14" t="inlineStr">
        <is>
          <t>Changing the embedding model invalidates the index. Without a runbook this is an outage.</t>
        </is>
      </c>
      <c r="I59" s="23" t="n"/>
      <c r="J59" s="23" t="n"/>
    </row>
    <row r="60" ht="32" customHeight="1">
      <c r="A60" s="12" t="inlineStr">
        <is>
          <t>REAL-004</t>
        </is>
      </c>
      <c r="B60" s="15" t="inlineStr">
        <is>
          <t>Azure AI Search Reference Architecture (RA-03) - hybrid / semantic retrieval / Azure AI Search</t>
        </is>
      </c>
      <c r="C60" s="13" t="inlineStr">
        <is>
          <t>Index residency and access controls enforced</t>
        </is>
      </c>
      <c r="D60" s="28" t="inlineStr">
        <is>
          <t>Pattern-specific</t>
        </is>
      </c>
      <c r="E60" s="16" t="inlineStr">
        <is>
          <t>S3.8</t>
        </is>
      </c>
      <c r="F60" s="16" t="inlineStr">
        <is>
          <t>3.1.5</t>
        </is>
      </c>
      <c r="G60" s="18" t="n"/>
      <c r="H60" s="14" t="inlineStr">
        <is>
          <t>A vector index is a copy of the source content, and inherits its residency obligations.</t>
        </is>
      </c>
      <c r="I60" s="23" t="n"/>
      <c r="J60" s="23" t="n"/>
    </row>
    <row r="61" ht="24" customHeight="1">
      <c r="A61" s="12" t="inlineStr">
        <is>
          <t>REAL-005</t>
        </is>
      </c>
      <c r="B61" s="15" t="inlineStr">
        <is>
          <t>S3.10 Access-Trimmed Retrieval</t>
        </is>
      </c>
      <c r="C61" s="15" t="inlineStr">
        <is>
          <t>Published standard</t>
        </is>
      </c>
      <c r="D61" s="16" t="inlineStr">
        <is>
          <t>Generic</t>
        </is>
      </c>
      <c r="E61" s="11" t="inlineStr"/>
      <c r="F61" s="11" t="inlineStr"/>
      <c r="G61" s="18" t="n"/>
      <c r="H61" s="14" t="inlineStr">
        <is>
          <t>The institutional standard for how this is built.</t>
        </is>
      </c>
      <c r="I61" s="23" t="n"/>
      <c r="J61" s="23" t="n"/>
    </row>
    <row r="62" ht="24" customHeight="1">
      <c r="A62" s="12" t="inlineStr">
        <is>
          <t>REAL-005</t>
        </is>
      </c>
      <c r="B62" s="15" t="inlineStr">
        <is>
          <t>S3.10 Access-Trimmed Retrieval</t>
        </is>
      </c>
      <c r="C62" s="15" t="inlineStr">
        <is>
          <t>Architecture pattern document</t>
        </is>
      </c>
      <c r="D62" s="16" t="inlineStr">
        <is>
          <t>Generic</t>
        </is>
      </c>
      <c r="E62" s="11" t="inlineStr"/>
      <c r="F62" s="11" t="inlineStr"/>
      <c r="G62" s="18" t="n"/>
      <c r="H62" s="14" t="inlineStr">
        <is>
          <t>Problem, context, forces, solution, resulting context - not just a name.</t>
        </is>
      </c>
      <c r="I62" s="23" t="n"/>
      <c r="J62" s="23" t="n"/>
    </row>
    <row r="63" ht="24" customHeight="1">
      <c r="A63" s="12" t="inlineStr">
        <is>
          <t>REAL-005</t>
        </is>
      </c>
      <c r="B63" s="15" t="inlineStr">
        <is>
          <t>S3.10 Access-Trimmed Retrieval</t>
        </is>
      </c>
      <c r="C63" s="15" t="inlineStr">
        <is>
          <t>Reference architecture</t>
        </is>
      </c>
      <c r="D63" s="16" t="inlineStr">
        <is>
          <t>Generic</t>
        </is>
      </c>
      <c r="E63" s="11" t="inlineStr"/>
      <c r="F63" s="11" t="inlineStr"/>
      <c r="G63" s="18" t="n"/>
      <c r="H63" s="14" t="inlineStr">
        <is>
          <t>The worked target design.</t>
        </is>
      </c>
      <c r="I63" s="23" t="n"/>
      <c r="J63" s="23" t="n"/>
    </row>
    <row r="64" ht="24" customHeight="1">
      <c r="A64" s="12" t="inlineStr">
        <is>
          <t>REAL-005</t>
        </is>
      </c>
      <c r="B64" s="15" t="inlineStr">
        <is>
          <t>S3.10 Access-Trimmed Retrieval</t>
        </is>
      </c>
      <c r="C64" s="15" t="inlineStr">
        <is>
          <t>Infrastructure as code</t>
        </is>
      </c>
      <c r="D64" s="16" t="inlineStr">
        <is>
          <t>Generic</t>
        </is>
      </c>
      <c r="E64" s="11" t="inlineStr"/>
      <c r="F64" s="11" t="inlineStr"/>
      <c r="G64" s="18" t="n"/>
      <c r="H64" s="14" t="inlineStr">
        <is>
          <t>Provisioning is repeatable and reviewable.</t>
        </is>
      </c>
      <c r="I64" s="23" t="n"/>
      <c r="J64" s="23" t="n"/>
    </row>
    <row r="65" ht="24" customHeight="1">
      <c r="A65" s="12" t="inlineStr">
        <is>
          <t>REAL-005</t>
        </is>
      </c>
      <c r="B65" s="15" t="inlineStr">
        <is>
          <t>S3.10 Access-Trimmed Retrieval</t>
        </is>
      </c>
      <c r="C65" s="15" t="inlineStr">
        <is>
          <t>CI/CD pipeline</t>
        </is>
      </c>
      <c r="D65" s="16" t="inlineStr">
        <is>
          <t>Generic</t>
        </is>
      </c>
      <c r="E65" s="11" t="inlineStr"/>
      <c r="F65" s="11" t="inlineStr"/>
      <c r="G65" s="18" t="n"/>
      <c r="H65" s="14" t="inlineStr">
        <is>
          <t>Change is built and released through a controlled path.</t>
        </is>
      </c>
      <c r="I65" s="23" t="n"/>
      <c r="J65" s="23" t="n"/>
    </row>
    <row r="66" ht="24" customHeight="1">
      <c r="A66" s="12" t="inlineStr">
        <is>
          <t>REAL-005</t>
        </is>
      </c>
      <c r="B66" s="15" t="inlineStr">
        <is>
          <t>S3.10 Access-Trimmed Retrieval</t>
        </is>
      </c>
      <c r="C66" s="15" t="inlineStr">
        <is>
          <t>Security baseline</t>
        </is>
      </c>
      <c r="D66" s="16" t="inlineStr">
        <is>
          <t>Generic</t>
        </is>
      </c>
      <c r="E66" s="11" t="inlineStr"/>
      <c r="F66" s="11" t="inlineStr"/>
      <c r="G66" s="18" t="n"/>
      <c r="H66" s="14" t="inlineStr">
        <is>
          <t>Identity, network and data controls applied by default.</t>
        </is>
      </c>
      <c r="I66" s="23" t="n"/>
      <c r="J66" s="23" t="n"/>
    </row>
    <row r="67" ht="24" customHeight="1">
      <c r="A67" s="12" t="inlineStr">
        <is>
          <t>REAL-005</t>
        </is>
      </c>
      <c r="B67" s="15" t="inlineStr">
        <is>
          <t>S3.10 Access-Trimmed Retrieval</t>
        </is>
      </c>
      <c r="C67" s="15" t="inlineStr">
        <is>
          <t>Observability wired</t>
        </is>
      </c>
      <c r="D67" s="16" t="inlineStr">
        <is>
          <t>Generic</t>
        </is>
      </c>
      <c r="E67" s="11" t="inlineStr"/>
      <c r="F67" s="11" t="inlineStr"/>
      <c r="G67" s="18" t="n"/>
      <c r="H67" s="14" t="inlineStr">
        <is>
          <t>Telemetry emitted without the team adding it.</t>
        </is>
      </c>
      <c r="I67" s="23" t="n"/>
      <c r="J67" s="23" t="n"/>
    </row>
    <row r="68" ht="24" customHeight="1">
      <c r="A68" s="12" t="inlineStr">
        <is>
          <t>REAL-005</t>
        </is>
      </c>
      <c r="B68" s="15" t="inlineStr">
        <is>
          <t>S3.10 Access-Trimmed Retrieval</t>
        </is>
      </c>
      <c r="C68" s="15" t="inlineStr">
        <is>
          <t>Runbook</t>
        </is>
      </c>
      <c r="D68" s="16" t="inlineStr">
        <is>
          <t>Generic</t>
        </is>
      </c>
      <c r="E68" s="11" t="inlineStr"/>
      <c r="F68" s="11" t="inlineStr"/>
      <c r="G68" s="18" t="n"/>
      <c r="H68" s="14" t="inlineStr">
        <is>
          <t>Operations know what to do when it misbehaves.</t>
        </is>
      </c>
      <c r="I68" s="23" t="n"/>
      <c r="J68" s="23" t="n"/>
    </row>
    <row r="69" ht="24" customHeight="1">
      <c r="A69" s="12" t="inlineStr">
        <is>
          <t>REAL-005</t>
        </is>
      </c>
      <c r="B69" s="15" t="inlineStr">
        <is>
          <t>S3.10 Access-Trimmed Retrieval</t>
        </is>
      </c>
      <c r="C69" s="15" t="inlineStr">
        <is>
          <t>Support model</t>
        </is>
      </c>
      <c r="D69" s="16" t="inlineStr">
        <is>
          <t>Generic</t>
        </is>
      </c>
      <c r="E69" s="11" t="inlineStr"/>
      <c r="F69" s="11" t="inlineStr"/>
      <c r="G69" s="18" t="n"/>
      <c r="H69" s="14" t="inlineStr">
        <is>
          <t>Someone answers when it breaks.</t>
        </is>
      </c>
      <c r="I69" s="23" t="n"/>
      <c r="J69" s="23" t="n"/>
    </row>
    <row r="70" ht="32" customHeight="1">
      <c r="A70" s="12" t="inlineStr">
        <is>
          <t>REAL-005</t>
        </is>
      </c>
      <c r="B70" s="15" t="inlineStr">
        <is>
          <t>S3.10 Access-Trimmed Retrieval</t>
        </is>
      </c>
      <c r="C70" s="13" t="inlineStr">
        <is>
          <t>Entitlement enforced at query time, before ranking</t>
        </is>
      </c>
      <c r="D70" s="28" t="inlineStr">
        <is>
          <t>Pattern-specific</t>
        </is>
      </c>
      <c r="E70" s="16" t="inlineStr">
        <is>
          <t>S3.10</t>
        </is>
      </c>
      <c r="F70" s="16" t="inlineStr">
        <is>
          <t>3.6.2</t>
        </is>
      </c>
      <c r="G70" s="18" t="n"/>
      <c r="H70" s="14" t="inlineStr">
        <is>
          <t>Filtering a ranked list after the fact both leaks and distorts relevance. The filter must precede ranking.</t>
        </is>
      </c>
      <c r="I70" s="23" t="n"/>
      <c r="J70" s="23" t="n"/>
    </row>
    <row r="71" ht="32" customHeight="1">
      <c r="A71" s="12" t="inlineStr">
        <is>
          <t>REAL-005</t>
        </is>
      </c>
      <c r="B71" s="15" t="inlineStr">
        <is>
          <t>S3.10 Access-Trimmed Retrieval</t>
        </is>
      </c>
      <c r="C71" s="13" t="inlineStr">
        <is>
          <t>Citations resolvable to source, version and location</t>
        </is>
      </c>
      <c r="D71" s="28" t="inlineStr">
        <is>
          <t>Pattern-specific</t>
        </is>
      </c>
      <c r="E71" s="16" t="inlineStr">
        <is>
          <t>S3.12</t>
        </is>
      </c>
      <c r="F71" s="16" t="inlineStr">
        <is>
          <t>3.6.5</t>
        </is>
      </c>
      <c r="G71" s="18" t="n"/>
      <c r="H71" s="14" t="inlineStr">
        <is>
          <t>A citation that cannot be opened is decoration. It also does not prove the statement is true.</t>
        </is>
      </c>
      <c r="I71" s="23" t="n"/>
      <c r="J71" s="23" t="n"/>
    </row>
    <row r="72" ht="32" customHeight="1">
      <c r="A72" s="12" t="inlineStr">
        <is>
          <t>REAL-005</t>
        </is>
      </c>
      <c r="B72" s="15" t="inlineStr">
        <is>
          <t>S3.10 Access-Trimmed Retrieval</t>
        </is>
      </c>
      <c r="C72" s="13" t="inlineStr">
        <is>
          <t>Retrieval quality measured against a benchmark</t>
        </is>
      </c>
      <c r="D72" s="28" t="inlineStr">
        <is>
          <t>Pattern-specific</t>
        </is>
      </c>
      <c r="E72" s="16" t="inlineStr">
        <is>
          <t>S8.15</t>
        </is>
      </c>
      <c r="F72" s="16" t="inlineStr">
        <is>
          <t>3.6.3</t>
        </is>
      </c>
      <c r="G72" s="18" t="n"/>
      <c r="H72" s="14" t="inlineStr">
        <is>
          <t>Relevance that is never measured degrades silently as the corpus changes.</t>
        </is>
      </c>
      <c r="I72" s="23" t="n"/>
      <c r="J72" s="23" t="n"/>
    </row>
    <row r="73" ht="32" customHeight="1">
      <c r="A73" s="12" t="inlineStr">
        <is>
          <t>REAL-005</t>
        </is>
      </c>
      <c r="B73" s="15" t="inlineStr">
        <is>
          <t>S3.10 Access-Trimmed Retrieval</t>
        </is>
      </c>
      <c r="C73" s="13" t="inlineStr">
        <is>
          <t>Re-embedding runbook for model change</t>
        </is>
      </c>
      <c r="D73" s="28" t="inlineStr">
        <is>
          <t>Pattern-specific</t>
        </is>
      </c>
      <c r="E73" s="16" t="inlineStr">
        <is>
          <t>S3.8</t>
        </is>
      </c>
      <c r="F73" s="16" t="inlineStr">
        <is>
          <t>3.7.3</t>
        </is>
      </c>
      <c r="G73" s="18" t="n"/>
      <c r="H73" s="14" t="inlineStr">
        <is>
          <t>Changing the embedding model invalidates the index. Without a runbook this is an outage.</t>
        </is>
      </c>
      <c r="I73" s="23" t="n"/>
      <c r="J73" s="23" t="n"/>
    </row>
    <row r="74" ht="32" customHeight="1">
      <c r="A74" s="12" t="inlineStr">
        <is>
          <t>REAL-005</t>
        </is>
      </c>
      <c r="B74" s="15" t="inlineStr">
        <is>
          <t>S3.10 Access-Trimmed Retrieval</t>
        </is>
      </c>
      <c r="C74" s="13" t="inlineStr">
        <is>
          <t>Index residency and access controls enforced</t>
        </is>
      </c>
      <c r="D74" s="28" t="inlineStr">
        <is>
          <t>Pattern-specific</t>
        </is>
      </c>
      <c r="E74" s="16" t="inlineStr">
        <is>
          <t>S3.8</t>
        </is>
      </c>
      <c r="F74" s="16" t="inlineStr">
        <is>
          <t>3.1.5</t>
        </is>
      </c>
      <c r="G74" s="18" t="n"/>
      <c r="H74" s="14" t="inlineStr">
        <is>
          <t>A vector index is a copy of the source content, and inherits its residency obligations.</t>
        </is>
      </c>
      <c r="I74" s="23" t="n"/>
      <c r="J74" s="23" t="n"/>
    </row>
    <row r="75" ht="24" customHeight="1">
      <c r="A75" s="12" t="inlineStr">
        <is>
          <t>REAL-006</t>
        </is>
      </c>
      <c r="B75" s="15" t="inlineStr">
        <is>
          <t>Azure Document Intelligence Reference Architecture (RA-04) / Azure AI Document Intelligence</t>
        </is>
      </c>
      <c r="C75" s="15" t="inlineStr">
        <is>
          <t>Published standard</t>
        </is>
      </c>
      <c r="D75" s="16" t="inlineStr">
        <is>
          <t>Generic</t>
        </is>
      </c>
      <c r="E75" s="11" t="inlineStr"/>
      <c r="F75" s="11" t="inlineStr"/>
      <c r="G75" s="18" t="inlineStr">
        <is>
          <t>Yes</t>
        </is>
      </c>
      <c r="H75" s="14" t="inlineStr">
        <is>
          <t>The institutional standard for how this is built.</t>
        </is>
      </c>
      <c r="I75" s="23" t="n"/>
      <c r="J75" s="23" t="n"/>
    </row>
    <row r="76" ht="24" customHeight="1">
      <c r="A76" s="12" t="inlineStr">
        <is>
          <t>REAL-006</t>
        </is>
      </c>
      <c r="B76" s="15" t="inlineStr">
        <is>
          <t>Azure Document Intelligence Reference Architecture (RA-04) / Azure AI Document Intelligence</t>
        </is>
      </c>
      <c r="C76" s="15" t="inlineStr">
        <is>
          <t>Architecture pattern document</t>
        </is>
      </c>
      <c r="D76" s="16" t="inlineStr">
        <is>
          <t>Generic</t>
        </is>
      </c>
      <c r="E76" s="11" t="inlineStr"/>
      <c r="F76" s="11" t="inlineStr"/>
      <c r="G76" s="18" t="inlineStr">
        <is>
          <t>Yes</t>
        </is>
      </c>
      <c r="H76" s="14" t="inlineStr">
        <is>
          <t>Problem, context, forces, solution, resulting context - not just a name.</t>
        </is>
      </c>
      <c r="I76" s="23" t="n"/>
      <c r="J76" s="23" t="n"/>
    </row>
    <row r="77" ht="24" customHeight="1">
      <c r="A77" s="12" t="inlineStr">
        <is>
          <t>REAL-006</t>
        </is>
      </c>
      <c r="B77" s="15" t="inlineStr">
        <is>
          <t>Azure Document Intelligence Reference Architecture (RA-04) / Azure AI Document Intelligence</t>
        </is>
      </c>
      <c r="C77" s="15" t="inlineStr">
        <is>
          <t>Reference architecture</t>
        </is>
      </c>
      <c r="D77" s="16" t="inlineStr">
        <is>
          <t>Generic</t>
        </is>
      </c>
      <c r="E77" s="11" t="inlineStr"/>
      <c r="F77" s="11" t="inlineStr"/>
      <c r="G77" s="18" t="inlineStr">
        <is>
          <t>Yes</t>
        </is>
      </c>
      <c r="H77" s="14" t="inlineStr">
        <is>
          <t>The worked target design.</t>
        </is>
      </c>
      <c r="I77" s="23" t="n"/>
      <c r="J77" s="23" t="n"/>
    </row>
    <row r="78" ht="24" customHeight="1">
      <c r="A78" s="12" t="inlineStr">
        <is>
          <t>REAL-006</t>
        </is>
      </c>
      <c r="B78" s="15" t="inlineStr">
        <is>
          <t>Azure Document Intelligence Reference Architecture (RA-04) / Azure AI Document Intelligence</t>
        </is>
      </c>
      <c r="C78" s="15" t="inlineStr">
        <is>
          <t>Infrastructure as code</t>
        </is>
      </c>
      <c r="D78" s="16" t="inlineStr">
        <is>
          <t>Generic</t>
        </is>
      </c>
      <c r="E78" s="11" t="inlineStr"/>
      <c r="F78" s="11" t="inlineStr"/>
      <c r="G78" s="18" t="inlineStr">
        <is>
          <t>No</t>
        </is>
      </c>
      <c r="H78" s="14" t="inlineStr">
        <is>
          <t>Provisioning is repeatable and reviewable.</t>
        </is>
      </c>
      <c r="I78" s="23" t="n"/>
      <c r="J78" s="23" t="n"/>
    </row>
    <row r="79" ht="24" customHeight="1">
      <c r="A79" s="12" t="inlineStr">
        <is>
          <t>REAL-006</t>
        </is>
      </c>
      <c r="B79" s="15" t="inlineStr">
        <is>
          <t>Azure Document Intelligence Reference Architecture (RA-04) / Azure AI Document Intelligence</t>
        </is>
      </c>
      <c r="C79" s="15" t="inlineStr">
        <is>
          <t>CI/CD pipeline</t>
        </is>
      </c>
      <c r="D79" s="16" t="inlineStr">
        <is>
          <t>Generic</t>
        </is>
      </c>
      <c r="E79" s="11" t="inlineStr"/>
      <c r="F79" s="11" t="inlineStr"/>
      <c r="G79" s="18" t="n"/>
      <c r="H79" s="14" t="inlineStr">
        <is>
          <t>Change is built and released through a controlled path.</t>
        </is>
      </c>
      <c r="I79" s="23" t="n"/>
      <c r="J79" s="23" t="n"/>
    </row>
    <row r="80" ht="24" customHeight="1">
      <c r="A80" s="12" t="inlineStr">
        <is>
          <t>REAL-006</t>
        </is>
      </c>
      <c r="B80" s="15" t="inlineStr">
        <is>
          <t>Azure Document Intelligence Reference Architecture (RA-04) / Azure AI Document Intelligence</t>
        </is>
      </c>
      <c r="C80" s="15" t="inlineStr">
        <is>
          <t>Security baseline</t>
        </is>
      </c>
      <c r="D80" s="16" t="inlineStr">
        <is>
          <t>Generic</t>
        </is>
      </c>
      <c r="E80" s="11" t="inlineStr"/>
      <c r="F80" s="11" t="inlineStr"/>
      <c r="G80" s="18" t="n"/>
      <c r="H80" s="14" t="inlineStr">
        <is>
          <t>Identity, network and data controls applied by default.</t>
        </is>
      </c>
      <c r="I80" s="23" t="n"/>
      <c r="J80" s="23" t="n"/>
    </row>
    <row r="81" ht="24" customHeight="1">
      <c r="A81" s="12" t="inlineStr">
        <is>
          <t>REAL-006</t>
        </is>
      </c>
      <c r="B81" s="15" t="inlineStr">
        <is>
          <t>Azure Document Intelligence Reference Architecture (RA-04) / Azure AI Document Intelligence</t>
        </is>
      </c>
      <c r="C81" s="15" t="inlineStr">
        <is>
          <t>Observability wired</t>
        </is>
      </c>
      <c r="D81" s="16" t="inlineStr">
        <is>
          <t>Generic</t>
        </is>
      </c>
      <c r="E81" s="11" t="inlineStr"/>
      <c r="F81" s="11" t="inlineStr"/>
      <c r="G81" s="18" t="n"/>
      <c r="H81" s="14" t="inlineStr">
        <is>
          <t>Telemetry emitted without the team adding it.</t>
        </is>
      </c>
      <c r="I81" s="23" t="n"/>
      <c r="J81" s="23" t="n"/>
    </row>
    <row r="82" ht="24" customHeight="1">
      <c r="A82" s="12" t="inlineStr">
        <is>
          <t>REAL-006</t>
        </is>
      </c>
      <c r="B82" s="15" t="inlineStr">
        <is>
          <t>Azure Document Intelligence Reference Architecture (RA-04) / Azure AI Document Intelligence</t>
        </is>
      </c>
      <c r="C82" s="15" t="inlineStr">
        <is>
          <t>Runbook</t>
        </is>
      </c>
      <c r="D82" s="16" t="inlineStr">
        <is>
          <t>Generic</t>
        </is>
      </c>
      <c r="E82" s="11" t="inlineStr"/>
      <c r="F82" s="11" t="inlineStr"/>
      <c r="G82" s="18" t="n"/>
      <c r="H82" s="14" t="inlineStr">
        <is>
          <t>Operations know what to do when it misbehaves.</t>
        </is>
      </c>
      <c r="I82" s="23" t="n"/>
      <c r="J82" s="23" t="n"/>
    </row>
    <row r="83" ht="24" customHeight="1">
      <c r="A83" s="12" t="inlineStr">
        <is>
          <t>REAL-006</t>
        </is>
      </c>
      <c r="B83" s="15" t="inlineStr">
        <is>
          <t>Azure Document Intelligence Reference Architecture (RA-04) / Azure AI Document Intelligence</t>
        </is>
      </c>
      <c r="C83" s="15" t="inlineStr">
        <is>
          <t>Support model</t>
        </is>
      </c>
      <c r="D83" s="16" t="inlineStr">
        <is>
          <t>Generic</t>
        </is>
      </c>
      <c r="E83" s="11" t="inlineStr"/>
      <c r="F83" s="11" t="inlineStr"/>
      <c r="G83" s="18" t="n"/>
      <c r="H83" s="14" t="inlineStr">
        <is>
          <t>Someone answers when it breaks.</t>
        </is>
      </c>
      <c r="I83" s="23" t="n"/>
      <c r="J83" s="23" t="n"/>
    </row>
    <row r="84" ht="32" customHeight="1">
      <c r="A84" s="12" t="inlineStr">
        <is>
          <t>REAL-006</t>
        </is>
      </c>
      <c r="B84" s="15" t="inlineStr">
        <is>
          <t>Azure Document Intelligence Reference Architecture (RA-04) / Azure AI Document Intelligence</t>
        </is>
      </c>
      <c r="C84" s="13" t="inlineStr">
        <is>
          <t>Extraction confidence thresholds set and enforced</t>
        </is>
      </c>
      <c r="D84" s="28" t="inlineStr">
        <is>
          <t>Pattern-specific</t>
        </is>
      </c>
      <c r="E84" s="16" t="inlineStr">
        <is>
          <t>S8.15</t>
        </is>
      </c>
      <c r="F84" s="16" t="inlineStr">
        <is>
          <t>4.6.1</t>
        </is>
      </c>
      <c r="G84" s="18" t="n"/>
      <c r="H84" s="14" t="inlineStr">
        <is>
          <t>Extraction without a confidence floor silently promotes guesses to facts.</t>
        </is>
      </c>
      <c r="I84" s="23" t="n"/>
      <c r="J84" s="23" t="n"/>
    </row>
    <row r="85" ht="32" customHeight="1">
      <c r="A85" s="12" t="inlineStr">
        <is>
          <t>REAL-006</t>
        </is>
      </c>
      <c r="B85" s="15" t="inlineStr">
        <is>
          <t>Azure Document Intelligence Reference Architecture (RA-04) / Azure AI Document Intelligence</t>
        </is>
      </c>
      <c r="C85" s="13" t="inlineStr">
        <is>
          <t>Human validation path for low-confidence output</t>
        </is>
      </c>
      <c r="D85" s="28" t="inlineStr">
        <is>
          <t>Pattern-specific</t>
        </is>
      </c>
      <c r="E85" s="16" t="inlineStr">
        <is>
          <t>S5.10</t>
        </is>
      </c>
      <c r="F85" s="16" t="inlineStr">
        <is>
          <t>2.5.2</t>
        </is>
      </c>
      <c r="G85" s="18" t="n"/>
      <c r="H85" s="14" t="inlineStr">
        <is>
          <t>The threshold is only useful if something happens when it is not met.</t>
        </is>
      </c>
      <c r="I85" s="23" t="n"/>
      <c r="J85" s="23" t="n"/>
    </row>
    <row r="86" ht="32" customHeight="1">
      <c r="A86" s="12" t="inlineStr">
        <is>
          <t>REAL-006</t>
        </is>
      </c>
      <c r="B86" s="15" t="inlineStr">
        <is>
          <t>Azure Document Intelligence Reference Architecture (RA-04) / Azure AI Document Intelligence</t>
        </is>
      </c>
      <c r="C86" s="13" t="inlineStr">
        <is>
          <t>Page and bounding-box provenance retained</t>
        </is>
      </c>
      <c r="D86" s="28" t="inlineStr">
        <is>
          <t>Pattern-specific</t>
        </is>
      </c>
      <c r="E86" s="16" t="inlineStr">
        <is>
          <t>S3.12</t>
        </is>
      </c>
      <c r="F86" s="16" t="inlineStr">
        <is>
          <t>3.6.5</t>
        </is>
      </c>
      <c r="G86" s="18" t="n"/>
      <c r="H86" s="14" t="inlineStr">
        <is>
          <t>An extracted value that cannot be traced to a page is unverifiable downstream.</t>
        </is>
      </c>
      <c r="I86" s="23" t="n"/>
      <c r="J86" s="23" t="n"/>
    </row>
    <row r="87" ht="32" customHeight="1">
      <c r="A87" s="12" t="inlineStr">
        <is>
          <t>REAL-006</t>
        </is>
      </c>
      <c r="B87" s="15" t="inlineStr">
        <is>
          <t>Azure Document Intelligence Reference Architecture (RA-04) / Azure AI Document Intelligence</t>
        </is>
      </c>
      <c r="C87" s="13" t="inlineStr">
        <is>
          <t>Output validated against a declared schema</t>
        </is>
      </c>
      <c r="D87" s="28" t="inlineStr">
        <is>
          <t>Pattern-specific</t>
        </is>
      </c>
      <c r="E87" s="16" t="inlineStr">
        <is>
          <t>S2.5</t>
        </is>
      </c>
      <c r="F87" s="16" t="inlineStr">
        <is>
          <t>4.5.2</t>
        </is>
      </c>
      <c r="G87" s="18" t="n"/>
      <c r="H87" s="14" t="inlineStr">
        <is>
          <t>Schema validation is what makes the output machine-consumable rather than plausible text.</t>
        </is>
      </c>
      <c r="I87" s="23" t="n"/>
      <c r="J87" s="23" t="n"/>
    </row>
    <row r="88" ht="24" customHeight="1">
      <c r="A88" s="12" t="inlineStr">
        <is>
          <t>REAL-007</t>
        </is>
      </c>
      <c r="B88" s="15" t="inlineStr">
        <is>
          <t>Tech Stack - AI standard (STD-01)</t>
        </is>
      </c>
      <c r="C88" s="15" t="inlineStr">
        <is>
          <t>Published standard</t>
        </is>
      </c>
      <c r="D88" s="16" t="inlineStr">
        <is>
          <t>Generic</t>
        </is>
      </c>
      <c r="E88" s="11" t="inlineStr"/>
      <c r="F88" s="11" t="inlineStr"/>
      <c r="G88" s="18" t="inlineStr">
        <is>
          <t>Yes</t>
        </is>
      </c>
      <c r="H88" s="14" t="inlineStr">
        <is>
          <t>The institutional standard for how this is built.</t>
        </is>
      </c>
      <c r="I88" s="23" t="n"/>
      <c r="J88" s="23" t="n"/>
    </row>
    <row r="89" ht="24" customHeight="1">
      <c r="A89" s="12" t="inlineStr">
        <is>
          <t>REAL-007</t>
        </is>
      </c>
      <c r="B89" s="15" t="inlineStr">
        <is>
          <t>Tech Stack - AI standard (STD-01)</t>
        </is>
      </c>
      <c r="C89" s="15" t="inlineStr">
        <is>
          <t>Architecture pattern document</t>
        </is>
      </c>
      <c r="D89" s="16" t="inlineStr">
        <is>
          <t>Generic</t>
        </is>
      </c>
      <c r="E89" s="11" t="inlineStr"/>
      <c r="F89" s="11" t="inlineStr"/>
      <c r="G89" s="18" t="n"/>
      <c r="H89" s="14" t="inlineStr">
        <is>
          <t>Problem, context, forces, solution, resulting context - not just a name.</t>
        </is>
      </c>
      <c r="I89" s="23" t="n"/>
      <c r="J89" s="23" t="n"/>
    </row>
    <row r="90" ht="24" customHeight="1">
      <c r="A90" s="12" t="inlineStr">
        <is>
          <t>REAL-007</t>
        </is>
      </c>
      <c r="B90" s="15" t="inlineStr">
        <is>
          <t>Tech Stack - AI standard (STD-01)</t>
        </is>
      </c>
      <c r="C90" s="15" t="inlineStr">
        <is>
          <t>Reference architecture</t>
        </is>
      </c>
      <c r="D90" s="16" t="inlineStr">
        <is>
          <t>Generic</t>
        </is>
      </c>
      <c r="E90" s="11" t="inlineStr"/>
      <c r="F90" s="11" t="inlineStr"/>
      <c r="G90" s="18" t="n"/>
      <c r="H90" s="14" t="inlineStr">
        <is>
          <t>The worked target design.</t>
        </is>
      </c>
      <c r="I90" s="23" t="n"/>
      <c r="J90" s="23" t="n"/>
    </row>
    <row r="91" ht="24" customHeight="1">
      <c r="A91" s="12" t="inlineStr">
        <is>
          <t>REAL-007</t>
        </is>
      </c>
      <c r="B91" s="15" t="inlineStr">
        <is>
          <t>Tech Stack - AI standard (STD-01)</t>
        </is>
      </c>
      <c r="C91" s="15" t="inlineStr">
        <is>
          <t>Infrastructure as code</t>
        </is>
      </c>
      <c r="D91" s="16" t="inlineStr">
        <is>
          <t>Generic</t>
        </is>
      </c>
      <c r="E91" s="11" t="inlineStr"/>
      <c r="F91" s="11" t="inlineStr"/>
      <c r="G91" s="18" t="n"/>
      <c r="H91" s="14" t="inlineStr">
        <is>
          <t>Provisioning is repeatable and reviewable.</t>
        </is>
      </c>
      <c r="I91" s="23" t="n"/>
      <c r="J91" s="23" t="n"/>
    </row>
    <row r="92" ht="24" customHeight="1">
      <c r="A92" s="12" t="inlineStr">
        <is>
          <t>REAL-007</t>
        </is>
      </c>
      <c r="B92" s="15" t="inlineStr">
        <is>
          <t>Tech Stack - AI standard (STD-01)</t>
        </is>
      </c>
      <c r="C92" s="15" t="inlineStr">
        <is>
          <t>CI/CD pipeline</t>
        </is>
      </c>
      <c r="D92" s="16" t="inlineStr">
        <is>
          <t>Generic</t>
        </is>
      </c>
      <c r="E92" s="11" t="inlineStr"/>
      <c r="F92" s="11" t="inlineStr"/>
      <c r="G92" s="18" t="n"/>
      <c r="H92" s="14" t="inlineStr">
        <is>
          <t>Change is built and released through a controlled path.</t>
        </is>
      </c>
      <c r="I92" s="23" t="n"/>
      <c r="J92" s="23" t="n"/>
    </row>
    <row r="93" ht="24" customHeight="1">
      <c r="A93" s="12" t="inlineStr">
        <is>
          <t>REAL-007</t>
        </is>
      </c>
      <c r="B93" s="15" t="inlineStr">
        <is>
          <t>Tech Stack - AI standard (STD-01)</t>
        </is>
      </c>
      <c r="C93" s="15" t="inlineStr">
        <is>
          <t>Security baseline</t>
        </is>
      </c>
      <c r="D93" s="16" t="inlineStr">
        <is>
          <t>Generic</t>
        </is>
      </c>
      <c r="E93" s="11" t="inlineStr"/>
      <c r="F93" s="11" t="inlineStr"/>
      <c r="G93" s="18" t="n"/>
      <c r="H93" s="14" t="inlineStr">
        <is>
          <t>Identity, network and data controls applied by default.</t>
        </is>
      </c>
      <c r="I93" s="23" t="n"/>
      <c r="J93" s="23" t="n"/>
    </row>
    <row r="94" ht="24" customHeight="1">
      <c r="A94" s="12" t="inlineStr">
        <is>
          <t>REAL-007</t>
        </is>
      </c>
      <c r="B94" s="15" t="inlineStr">
        <is>
          <t>Tech Stack - AI standard (STD-01)</t>
        </is>
      </c>
      <c r="C94" s="15" t="inlineStr">
        <is>
          <t>Observability wired</t>
        </is>
      </c>
      <c r="D94" s="16" t="inlineStr">
        <is>
          <t>Generic</t>
        </is>
      </c>
      <c r="E94" s="11" t="inlineStr"/>
      <c r="F94" s="11" t="inlineStr"/>
      <c r="G94" s="18" t="n"/>
      <c r="H94" s="14" t="inlineStr">
        <is>
          <t>Telemetry emitted without the team adding it.</t>
        </is>
      </c>
      <c r="I94" s="23" t="n"/>
      <c r="J94" s="23" t="n"/>
    </row>
    <row r="95" ht="24" customHeight="1">
      <c r="A95" s="12" t="inlineStr">
        <is>
          <t>REAL-007</t>
        </is>
      </c>
      <c r="B95" s="15" t="inlineStr">
        <is>
          <t>Tech Stack - AI standard (STD-01)</t>
        </is>
      </c>
      <c r="C95" s="15" t="inlineStr">
        <is>
          <t>Runbook</t>
        </is>
      </c>
      <c r="D95" s="16" t="inlineStr">
        <is>
          <t>Generic</t>
        </is>
      </c>
      <c r="E95" s="11" t="inlineStr"/>
      <c r="F95" s="11" t="inlineStr"/>
      <c r="G95" s="18" t="n"/>
      <c r="H95" s="14" t="inlineStr">
        <is>
          <t>Operations know what to do when it misbehaves.</t>
        </is>
      </c>
      <c r="I95" s="23" t="n"/>
      <c r="J95" s="23" t="n"/>
    </row>
    <row r="96" ht="24" customHeight="1">
      <c r="A96" s="12" t="inlineStr">
        <is>
          <t>REAL-007</t>
        </is>
      </c>
      <c r="B96" s="15" t="inlineStr">
        <is>
          <t>Tech Stack - AI standard (STD-01)</t>
        </is>
      </c>
      <c r="C96" s="15" t="inlineStr">
        <is>
          <t>Support model</t>
        </is>
      </c>
      <c r="D96" s="16" t="inlineStr">
        <is>
          <t>Generic</t>
        </is>
      </c>
      <c r="E96" s="11" t="inlineStr"/>
      <c r="F96" s="11" t="inlineStr"/>
      <c r="G96" s="18" t="n"/>
      <c r="H96" s="14" t="inlineStr">
        <is>
          <t>Someone answers when it breaks.</t>
        </is>
      </c>
      <c r="I96" s="23" t="n"/>
      <c r="J96" s="23" t="n"/>
    </row>
    <row r="97" ht="24" customHeight="1">
      <c r="A97" s="12" t="inlineStr">
        <is>
          <t>REAL-008</t>
        </is>
      </c>
      <c r="B97" s="15" t="inlineStr">
        <is>
          <t>AI Agent Decision Tree (STD-06)</t>
        </is>
      </c>
      <c r="C97" s="15" t="inlineStr">
        <is>
          <t>Published standard</t>
        </is>
      </c>
      <c r="D97" s="16" t="inlineStr">
        <is>
          <t>Generic</t>
        </is>
      </c>
      <c r="E97" s="11" t="inlineStr"/>
      <c r="F97" s="11" t="inlineStr"/>
      <c r="G97" s="18" t="inlineStr">
        <is>
          <t>Yes</t>
        </is>
      </c>
      <c r="H97" s="14" t="inlineStr">
        <is>
          <t>The institutional standard for how this is built.</t>
        </is>
      </c>
      <c r="I97" s="23" t="n"/>
      <c r="J97" s="23" t="n"/>
    </row>
    <row r="98" ht="24" customHeight="1">
      <c r="A98" s="12" t="inlineStr">
        <is>
          <t>REAL-008</t>
        </is>
      </c>
      <c r="B98" s="15" t="inlineStr">
        <is>
          <t>AI Agent Decision Tree (STD-06)</t>
        </is>
      </c>
      <c r="C98" s="15" t="inlineStr">
        <is>
          <t>Architecture pattern document</t>
        </is>
      </c>
      <c r="D98" s="16" t="inlineStr">
        <is>
          <t>Generic</t>
        </is>
      </c>
      <c r="E98" s="11" t="inlineStr"/>
      <c r="F98" s="11" t="inlineStr"/>
      <c r="G98" s="18" t="n"/>
      <c r="H98" s="14" t="inlineStr">
        <is>
          <t>Problem, context, forces, solution, resulting context - not just a name.</t>
        </is>
      </c>
      <c r="I98" s="23" t="n"/>
      <c r="J98" s="23" t="n"/>
    </row>
    <row r="99" ht="24" customHeight="1">
      <c r="A99" s="12" t="inlineStr">
        <is>
          <t>REAL-008</t>
        </is>
      </c>
      <c r="B99" s="15" t="inlineStr">
        <is>
          <t>AI Agent Decision Tree (STD-06)</t>
        </is>
      </c>
      <c r="C99" s="15" t="inlineStr">
        <is>
          <t>Reference architecture</t>
        </is>
      </c>
      <c r="D99" s="16" t="inlineStr">
        <is>
          <t>Generic</t>
        </is>
      </c>
      <c r="E99" s="11" t="inlineStr"/>
      <c r="F99" s="11" t="inlineStr"/>
      <c r="G99" s="18" t="n"/>
      <c r="H99" s="14" t="inlineStr">
        <is>
          <t>The worked target design.</t>
        </is>
      </c>
      <c r="I99" s="23" t="n"/>
      <c r="J99" s="23" t="n"/>
    </row>
    <row r="100" ht="24" customHeight="1">
      <c r="A100" s="12" t="inlineStr">
        <is>
          <t>REAL-008</t>
        </is>
      </c>
      <c r="B100" s="15" t="inlineStr">
        <is>
          <t>AI Agent Decision Tree (STD-06)</t>
        </is>
      </c>
      <c r="C100" s="15" t="inlineStr">
        <is>
          <t>Infrastructure as code</t>
        </is>
      </c>
      <c r="D100" s="16" t="inlineStr">
        <is>
          <t>Generic</t>
        </is>
      </c>
      <c r="E100" s="11" t="inlineStr"/>
      <c r="F100" s="11" t="inlineStr"/>
      <c r="G100" s="18" t="n"/>
      <c r="H100" s="14" t="inlineStr">
        <is>
          <t>Provisioning is repeatable and reviewable.</t>
        </is>
      </c>
      <c r="I100" s="23" t="n"/>
      <c r="J100" s="23" t="n"/>
    </row>
    <row r="101" ht="24" customHeight="1">
      <c r="A101" s="12" t="inlineStr">
        <is>
          <t>REAL-008</t>
        </is>
      </c>
      <c r="B101" s="15" t="inlineStr">
        <is>
          <t>AI Agent Decision Tree (STD-06)</t>
        </is>
      </c>
      <c r="C101" s="15" t="inlineStr">
        <is>
          <t>CI/CD pipeline</t>
        </is>
      </c>
      <c r="D101" s="16" t="inlineStr">
        <is>
          <t>Generic</t>
        </is>
      </c>
      <c r="E101" s="11" t="inlineStr"/>
      <c r="F101" s="11" t="inlineStr"/>
      <c r="G101" s="18" t="n"/>
      <c r="H101" s="14" t="inlineStr">
        <is>
          <t>Change is built and released through a controlled path.</t>
        </is>
      </c>
      <c r="I101" s="23" t="n"/>
      <c r="J101" s="23" t="n"/>
    </row>
    <row r="102" ht="24" customHeight="1">
      <c r="A102" s="12" t="inlineStr">
        <is>
          <t>REAL-008</t>
        </is>
      </c>
      <c r="B102" s="15" t="inlineStr">
        <is>
          <t>AI Agent Decision Tree (STD-06)</t>
        </is>
      </c>
      <c r="C102" s="15" t="inlineStr">
        <is>
          <t>Security baseline</t>
        </is>
      </c>
      <c r="D102" s="16" t="inlineStr">
        <is>
          <t>Generic</t>
        </is>
      </c>
      <c r="E102" s="11" t="inlineStr"/>
      <c r="F102" s="11" t="inlineStr"/>
      <c r="G102" s="18" t="n"/>
      <c r="H102" s="14" t="inlineStr">
        <is>
          <t>Identity, network and data controls applied by default.</t>
        </is>
      </c>
      <c r="I102" s="23" t="n"/>
      <c r="J102" s="23" t="n"/>
    </row>
    <row r="103" ht="24" customHeight="1">
      <c r="A103" s="12" t="inlineStr">
        <is>
          <t>REAL-008</t>
        </is>
      </c>
      <c r="B103" s="15" t="inlineStr">
        <is>
          <t>AI Agent Decision Tree (STD-06)</t>
        </is>
      </c>
      <c r="C103" s="15" t="inlineStr">
        <is>
          <t>Observability wired</t>
        </is>
      </c>
      <c r="D103" s="16" t="inlineStr">
        <is>
          <t>Generic</t>
        </is>
      </c>
      <c r="E103" s="11" t="inlineStr"/>
      <c r="F103" s="11" t="inlineStr"/>
      <c r="G103" s="18" t="n"/>
      <c r="H103" s="14" t="inlineStr">
        <is>
          <t>Telemetry emitted without the team adding it.</t>
        </is>
      </c>
      <c r="I103" s="23" t="n"/>
      <c r="J103" s="23" t="n"/>
    </row>
    <row r="104" ht="24" customHeight="1">
      <c r="A104" s="12" t="inlineStr">
        <is>
          <t>REAL-008</t>
        </is>
      </c>
      <c r="B104" s="15" t="inlineStr">
        <is>
          <t>AI Agent Decision Tree (STD-06)</t>
        </is>
      </c>
      <c r="C104" s="15" t="inlineStr">
        <is>
          <t>Runbook</t>
        </is>
      </c>
      <c r="D104" s="16" t="inlineStr">
        <is>
          <t>Generic</t>
        </is>
      </c>
      <c r="E104" s="11" t="inlineStr"/>
      <c r="F104" s="11" t="inlineStr"/>
      <c r="G104" s="18" t="n"/>
      <c r="H104" s="14" t="inlineStr">
        <is>
          <t>Operations know what to do when it misbehaves.</t>
        </is>
      </c>
      <c r="I104" s="23" t="n"/>
      <c r="J104" s="23" t="n"/>
    </row>
    <row r="105" ht="24" customHeight="1">
      <c r="A105" s="12" t="inlineStr">
        <is>
          <t>REAL-008</t>
        </is>
      </c>
      <c r="B105" s="15" t="inlineStr">
        <is>
          <t>AI Agent Decision Tree (STD-06)</t>
        </is>
      </c>
      <c r="C105" s="15" t="inlineStr">
        <is>
          <t>Support model</t>
        </is>
      </c>
      <c r="D105" s="16" t="inlineStr">
        <is>
          <t>Generic</t>
        </is>
      </c>
      <c r="E105" s="11" t="inlineStr"/>
      <c r="F105" s="11" t="inlineStr"/>
      <c r="G105" s="18" t="n"/>
      <c r="H105" s="14" t="inlineStr">
        <is>
          <t>Someone answers when it breaks.</t>
        </is>
      </c>
      <c r="I105" s="23" t="n"/>
      <c r="J105" s="23" t="n"/>
    </row>
    <row r="107" ht="52" customHeight="1">
      <c r="A107" s="22" t="inlineStr">
        <is>
          <t>GENERIC rows mostly tick together and carry little information once a realization reaches readiness 4. PATTERN-SPECIFIC rows are the ones that stay unticked, and the reason to read this sheet at all. An inherited control that cannot be skipped is stronger evidence than a procurement approval. Every 'No' on a pattern-specific row is a roadmap item - and a cheap one where the building block already exists: you are extending a module, not building a platform.</t>
        </is>
      </c>
    </row>
  </sheetData>
  <autoFilter ref="A1:J105"/>
  <mergeCells count="1">
    <mergeCell ref="A107:J107"/>
  </mergeCells>
  <conditionalFormatting sqref="G2:G105">
    <cfRule type="cellIs" priority="1" operator="equal" dxfId="3">
      <formula>"Yes"</formula>
    </cfRule>
    <cfRule type="cellIs" priority="2" operator="equal" dxfId="0">
      <formula>"No"</formula>
    </cfRule>
    <cfRule type="cellIs" priority="3" operator="equal" dxfId="2">
      <formula>"Partial"</formula>
    </cfRule>
    <cfRule type="cellIs" priority="4" operator="equal" dxfId="5">
      <formula>"Unknown"</formula>
    </cfRule>
  </conditionalFormatting>
  <dataValidations count="1">
    <dataValidation sqref="G2:G105" showDropDown="0" showInputMessage="0" showErrorMessage="0" allowBlank="1" type="list">
      <formula1>"Yes,No,Partial,Unknown"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3" customWidth="1" min="1" max="1"/>
    <col width="9" customWidth="1" min="2" max="2"/>
    <col width="26" customWidth="1" min="3" max="3"/>
    <col width="66" customWidth="1" min="4" max="4"/>
    <col width="62" customWidth="1" min="5" max="5"/>
  </cols>
  <sheetData>
    <row r="1" ht="32" customHeight="1">
      <c r="A1" s="10" t="inlineStr"/>
      <c r="B1" s="10" t="inlineStr">
        <is>
          <t>Level</t>
        </is>
      </c>
      <c r="C1" s="10" t="inlineStr">
        <is>
          <t>Name</t>
        </is>
      </c>
      <c r="D1" s="10" t="inlineStr">
        <is>
          <t>Meaning</t>
        </is>
      </c>
      <c r="E1" s="10" t="inlineStr">
        <is>
          <t>Evidence that establishes it</t>
        </is>
      </c>
    </row>
    <row r="2" ht="22" customHeight="1">
      <c r="B2" s="29" t="inlineStr">
        <is>
          <t>MATURITY - attaches to a capability. Evidence-gated. Owner: the accountable capability owner. Clock: 5-10 years.</t>
        </is>
      </c>
    </row>
    <row r="3" ht="38" customHeight="1">
      <c r="B3" s="30" t="n">
        <v>1</v>
      </c>
      <c r="C3" s="13" t="inlineStr">
        <is>
          <t>Initial</t>
        </is>
      </c>
      <c r="D3" s="15" t="inlineStr">
        <is>
          <t>Verified isolated execution that relies on individuals and is not repeatable.</t>
        </is>
      </c>
      <c r="E3" s="14" t="inlineStr">
        <is>
          <t>Evidence of isolated execution; no common method.</t>
        </is>
      </c>
    </row>
    <row r="4" ht="38" customHeight="1">
      <c r="B4" s="31" t="n">
        <v>2</v>
      </c>
      <c r="C4" s="13" t="inlineStr">
        <is>
          <t>Repeatable</t>
        </is>
      </c>
      <c r="D4" s="15" t="inlineStr">
        <is>
          <t>Repeatable within named local scopes over a defined period.</t>
        </is>
      </c>
      <c r="E4" s="14" t="inlineStr">
        <is>
          <t>Repeated execution, local ownership, specified coverage.</t>
        </is>
      </c>
    </row>
    <row r="5" ht="38" customHeight="1">
      <c r="B5" s="32" t="n">
        <v>3</v>
      </c>
      <c r="C5" s="13" t="inlineStr">
        <is>
          <t>Defined</t>
        </is>
      </c>
      <c r="D5" s="15" t="inlineStr">
        <is>
          <t>An approved common method and roles are applied across the required scope.</t>
        </is>
      </c>
      <c r="E5" s="14" t="inlineStr">
        <is>
          <t>A published standard, a coverage rule, sampled conformance.</t>
        </is>
      </c>
    </row>
    <row r="6" ht="38" customHeight="1">
      <c r="B6" s="33" t="n">
        <v>4</v>
      </c>
      <c r="C6" s="13" t="inlineStr">
        <is>
          <t>Managed</t>
        </is>
      </c>
      <c r="D6" s="15" t="inlineStr">
        <is>
          <t>Thresholds, exceptions and corrective actions operate over a defined period.</t>
        </is>
      </c>
      <c r="E6" s="14" t="inlineStr">
        <is>
          <t>Monitoring with thresholds, control tests, retained evidence.</t>
        </is>
      </c>
    </row>
    <row r="7" ht="38" customHeight="1">
      <c r="B7" s="34" t="n">
        <v>5</v>
      </c>
      <c r="C7" s="13" t="inlineStr">
        <is>
          <t>Adaptive</t>
        </is>
      </c>
      <c r="D7" s="15" t="inlineStr">
        <is>
          <t>At least one completed evidence-driven improvement cycle produced a verified outcome.</t>
        </is>
      </c>
      <c r="E7" s="14" t="inlineStr">
        <is>
          <t>Trend, action, verified benefit, external comparison.</t>
        </is>
      </c>
    </row>
    <row r="9" ht="22" customHeight="1">
      <c r="B9" s="29" t="inlineStr">
        <is>
          <t>Maturity states - not levels. They never enter arithmetic.</t>
        </is>
      </c>
    </row>
    <row r="10" ht="38" customHeight="1">
      <c r="B10" s="35" t="inlineStr">
        <is>
          <t>0</t>
        </is>
      </c>
      <c r="C10" s="13" t="inlineStr">
        <is>
          <t>Absent</t>
        </is>
      </c>
      <c r="D10" s="15" t="inlineStr">
        <is>
          <t>Applicability confirmed and a documented inquiry finds no operating instance.</t>
        </is>
      </c>
      <c r="E10" s="14" t="inlineStr">
        <is>
          <t>A positive absence finding - not the lack of a search.</t>
        </is>
      </c>
    </row>
    <row r="11" ht="38" customHeight="1">
      <c r="B11" s="35" t="inlineStr">
        <is>
          <t>NE</t>
        </is>
      </c>
      <c r="C11" s="13" t="inlineStr">
        <is>
          <t>Not evidenced</t>
        </is>
      </c>
      <c r="D11" s="15" t="inlineStr">
        <is>
          <t>Applicable, but evidence is insufficient to rate.</t>
        </is>
      </c>
      <c r="E11" s="14" t="inlineStr">
        <is>
          <t>Show in the completeness view; never treat as zero.</t>
        </is>
      </c>
    </row>
    <row r="12" ht="38" customHeight="1">
      <c r="B12" s="35" t="inlineStr">
        <is>
          <t>UC</t>
        </is>
      </c>
      <c r="C12" s="13" t="inlineStr">
        <is>
          <t>Under clarification</t>
        </is>
      </c>
      <c r="D12" s="15" t="inlineStr">
        <is>
          <t>Applicability or legal status unresolved.</t>
        </is>
      </c>
      <c r="E12" s="14" t="inlineStr">
        <is>
          <t>Owner and due date required.</t>
        </is>
      </c>
    </row>
    <row r="13" ht="38" customHeight="1">
      <c r="B13" s="35" t="inlineStr">
        <is>
          <t>NA</t>
        </is>
      </c>
      <c r="C13" s="13" t="inlineStr">
        <is>
          <t>Not applicable</t>
        </is>
      </c>
      <c r="D13" s="15" t="inlineStr">
        <is>
          <t>Formally out of scope.</t>
        </is>
      </c>
      <c r="E13" s="14" t="inlineStr">
        <is>
          <t>Approver, rationale and expiry required.</t>
        </is>
      </c>
    </row>
    <row r="15" ht="22" customHeight="1">
      <c r="B15" s="29" t="inlineStr">
        <is>
          <t>READINESS - attaches to a realization. Structural, read off by inspection. Owner: the platform. Clock: quarterly.</t>
        </is>
      </c>
    </row>
    <row r="16" ht="38" customHeight="1">
      <c r="B16" s="36" t="n">
        <v>0</v>
      </c>
      <c r="C16" s="13" t="inlineStr">
        <is>
          <t>Not available</t>
        </is>
      </c>
      <c r="D16" s="15" t="inlineStr">
        <is>
          <t>No supported realization.</t>
        </is>
      </c>
      <c r="E16" s="14" t="inlineStr">
        <is>
          <t>-</t>
        </is>
      </c>
    </row>
    <row r="17" ht="38" customHeight="1">
      <c r="B17" s="30" t="n">
        <v>1</v>
      </c>
      <c r="C17" s="13" t="inlineStr">
        <is>
          <t>Available or project-proven</t>
        </is>
      </c>
      <c r="D17" s="15" t="inlineStr">
        <is>
          <t>The technology exists and can do it, or one team built it and it works. Not separable from their application, not reusable.</t>
        </is>
      </c>
      <c r="E17" s="14" t="inlineStr">
        <is>
          <t>The application, or the vendor capability</t>
        </is>
      </c>
    </row>
    <row r="18" ht="38" customHeight="1">
      <c r="B18" s="31" t="n">
        <v>2</v>
      </c>
      <c r="C18" s="13" t="inlineStr">
        <is>
          <t>Approved</t>
        </is>
      </c>
      <c r="D18" s="15" t="inlineStr">
        <is>
          <t>Cleared for enterprise use. Each team assembles the solution itself.</t>
        </is>
      </c>
      <c r="E18" s="14" t="inlineStr">
        <is>
          <t>The approval record</t>
        </is>
      </c>
    </row>
    <row r="19" ht="38" customHeight="1">
      <c r="B19" s="32" t="n">
        <v>3</v>
      </c>
      <c r="C19" s="13" t="inlineStr">
        <is>
          <t>Standardized</t>
        </is>
      </c>
      <c r="D19" s="15" t="inlineStr">
        <is>
          <t>A published standard and an architecture pattern or reference architecture exist.</t>
        </is>
      </c>
      <c r="E19" s="14" t="inlineStr">
        <is>
          <t>The standard - the pattern document</t>
        </is>
      </c>
    </row>
    <row r="20" ht="38" customHeight="1">
      <c r="B20" s="33" t="n">
        <v>4</v>
      </c>
      <c r="C20" s="13" t="inlineStr">
        <is>
          <t>Industrialized</t>
        </is>
      </c>
      <c r="D20" s="15" t="inlineStr">
        <is>
          <t>Reusable building blocks: IaC, security baseline, observability, CI/CD, implementation guidance, support model. Teams self-serve a compliant instance and operate it.</t>
        </is>
      </c>
      <c r="E20" s="14" t="inlineStr">
        <is>
          <t>The module or template repository - a team that used it</t>
        </is>
      </c>
    </row>
    <row r="21" ht="38" customHeight="1">
      <c r="B21" s="34" t="n">
        <v>5</v>
      </c>
      <c r="C21" s="13" t="inlineStr">
        <is>
          <t>Productized</t>
        </is>
      </c>
      <c r="D21" s="15" t="inlineStr">
        <is>
          <t>An exposed endpoint with a contract. Consumers call it; the platform operates it.</t>
        </is>
      </c>
      <c r="E21" s="14" t="inlineStr">
        <is>
          <t>The endpoint - its service levels - its operational owner - its consumers</t>
        </is>
      </c>
    </row>
    <row r="23" ht="40" customHeight="1">
      <c r="B23" s="22" t="inlineStr">
        <is>
          <t>Two questions settle every readiness row: is there a reusable building block separable from any one application (2 vs 3-4), and who operates the instances (4 vs 5)? Level 5 is not the target everywhere - agent runtimes are per-use-case by nature, 4 is the correct destination and the improvement path is enriching what comes in the box.</t>
        </is>
      </c>
    </row>
    <row r="25" ht="22" customHeight="1">
      <c r="B25" s="29" t="inlineStr">
        <is>
          <t>CONSUMPTION MODEL - what the consuming team still has to build. Recorded on the realization, not the capability.</t>
        </is>
      </c>
    </row>
    <row r="26" ht="20" customHeight="1">
      <c r="B26" s="37" t="inlineStr"/>
      <c r="C26" s="13" t="inlineStr">
        <is>
          <t>Guidance</t>
        </is>
      </c>
      <c r="D26" s="15" t="inlineStr">
        <is>
          <t>EA tells you how to build it.</t>
        </is>
      </c>
      <c r="E26" s="37" t="n"/>
    </row>
    <row r="27" ht="20" customHeight="1">
      <c r="B27" s="37" t="inlineStr"/>
      <c r="C27" s="13" t="inlineStr">
        <is>
          <t>Building blocks</t>
        </is>
      </c>
      <c r="D27" s="15" t="inlineStr">
        <is>
          <t>Reusable modules and components are provided.</t>
        </is>
      </c>
      <c r="E27" s="37" t="n"/>
    </row>
    <row r="28" ht="20" customHeight="1">
      <c r="B28" s="37" t="inlineStr"/>
      <c r="C28" s="13" t="inlineStr">
        <is>
          <t>Reference implementation</t>
        </is>
      </c>
      <c r="D28" s="15" t="inlineStr">
        <is>
          <t>A working implementation exists and can be adapted.</t>
        </is>
      </c>
      <c r="E28" s="37" t="n"/>
    </row>
    <row r="29" ht="20" customHeight="1">
      <c r="B29" s="37" t="inlineStr"/>
      <c r="C29" s="13" t="inlineStr">
        <is>
          <t>Managed platform</t>
        </is>
      </c>
      <c r="D29" s="15" t="inlineStr">
        <is>
          <t>The platform provides the underlying infrastructure; the consumer configures on top.</t>
        </is>
      </c>
      <c r="E29" s="37" t="n"/>
    </row>
    <row r="30" ht="20" customHeight="1">
      <c r="B30" s="37" t="inlineStr"/>
      <c r="C30" s="13" t="inlineStr">
        <is>
          <t>Service / API</t>
        </is>
      </c>
      <c r="D30" s="15" t="inlineStr">
        <is>
          <t>The consumer calls it and gets a result.</t>
        </is>
      </c>
      <c r="E30" s="37" t="n"/>
    </row>
    <row r="32" ht="34" customHeight="1">
      <c r="B32" s="22" t="inlineStr">
        <is>
          <t>This column settles the recurring disagreement - 'a capability means I do not have to build it' - without redefining the word capability. That belief is about CONSUMPTION MODEL. Record it as one and the argument stops being definitional.</t>
        </is>
      </c>
    </row>
  </sheetData>
  <mergeCells count="6">
    <mergeCell ref="B23:E23"/>
    <mergeCell ref="B9:E9"/>
    <mergeCell ref="B15:E15"/>
    <mergeCell ref="B25:E25"/>
    <mergeCell ref="B2:E2"/>
    <mergeCell ref="B32:E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6" customWidth="1" min="3" max="3"/>
    <col width="26" customWidth="1" min="4" max="4"/>
    <col width="12" customWidth="1" min="5" max="5"/>
    <col width="9" customWidth="1" min="6" max="6"/>
    <col width="11" customWidth="1" min="7" max="7"/>
    <col width="13" customWidth="1" min="8" max="8"/>
    <col width="13" customWidth="1" min="9" max="9"/>
    <col width="24" customWidth="1" min="10" max="10"/>
    <col width="50" customWidth="1" min="11" max="11"/>
    <col width="15" customWidth="1" min="12" max="12"/>
  </cols>
  <sheetData>
    <row r="1" ht="32" customHeight="1">
      <c r="A1" s="10" t="inlineStr">
        <is>
          <t>Domain</t>
        </is>
      </c>
      <c r="B1" s="10" t="inlineStr">
        <is>
          <t>ID</t>
        </is>
      </c>
      <c r="C1" s="10" t="inlineStr">
        <is>
          <t>Capability</t>
        </is>
      </c>
      <c r="D1" s="10" t="inlineStr">
        <is>
          <t>Owner</t>
        </is>
      </c>
      <c r="E1" s="10" t="inlineStr">
        <is>
          <t>Maturity now</t>
        </is>
      </c>
      <c r="F1" s="10" t="inlineStr">
        <is>
          <t>Target</t>
        </is>
      </c>
      <c r="G1" s="10" t="inlineStr">
        <is>
          <t>Maturity gap</t>
        </is>
      </c>
      <c r="H1" s="10" t="inlineStr">
        <is>
          <t>Best readiness</t>
        </is>
      </c>
      <c r="I1" s="10" t="inlineStr">
        <is>
          <t>Readiness lead</t>
        </is>
      </c>
      <c r="J1" s="10" t="inlineStr">
        <is>
          <t>Lane</t>
        </is>
      </c>
      <c r="K1" s="10" t="inlineStr">
        <is>
          <t>Why maturity trails</t>
        </is>
      </c>
      <c r="L1" s="10" t="inlineStr">
        <is>
          <t>Anchor</t>
        </is>
      </c>
    </row>
    <row r="2" ht="26" customHeight="1">
      <c r="A2" s="11" t="inlineStr">
        <is>
          <t>D1</t>
        </is>
      </c>
      <c r="B2" s="12" t="inlineStr">
        <is>
          <t>1.1</t>
        </is>
      </c>
      <c r="C2" s="13" t="inlineStr">
        <is>
          <t>AI Vision &amp; Strategy Definition</t>
        </is>
      </c>
      <c r="D2" s="38">
        <f>'1. Capability catalog'!E2</f>
        <v/>
      </c>
      <c r="E2" s="19">
        <f>'1. Capability catalog'!K2</f>
        <v/>
      </c>
      <c r="F2" s="19">
        <f>'1. Capability catalog'!L2</f>
        <v/>
      </c>
      <c r="G2" s="19">
        <f>IF(AND(ISNUMBER('1. Capability catalog'!K2),ISNUMBER('1. Capability catalog'!L2)),MAX(0,'1. Capability catalog'!L2-'1. Capability catalog'!K2),"")</f>
        <v/>
      </c>
      <c r="H2" s="19">
        <f>'1. Capability catalog'!M2</f>
        <v/>
      </c>
      <c r="I2" s="19">
        <f>IF(AND(ISNUMBER('1. Capability catalog'!K2),ISNUMBER('1. Capability catalog'!M2)),'1. Capability catalog'!M2-'1. Capability catalog'!K2,"")</f>
        <v/>
      </c>
      <c r="J2" s="38">
        <f>IF('1. Capability catalog'!K2="","not rated",IF(NOT(ISNUMBER('1. Capability catalog'!K2)),IF('1. Capability catalog'!K2="UC","Blocked - applicability",IF('1. Capability catalog'!K2="NE","Blocked - no evidence","Out of scope")),IF(G2&gt;=2,IF(OR($A2="D7",$A2="D3"),"Mandatory / urgent","Foundational / enabling"),IF(G2=1,"Value-led","Deferred / monitor"))))</f>
        <v/>
      </c>
      <c r="K2" s="38">
        <f>'1. Capability catalog'!N2</f>
        <v/>
      </c>
      <c r="L2" s="38">
        <f>'1. Capability catalog'!F2</f>
        <v/>
      </c>
    </row>
    <row r="3" ht="26" customHeight="1">
      <c r="A3" s="11" t="inlineStr">
        <is>
          <t>D1</t>
        </is>
      </c>
      <c r="B3" s="12" t="inlineStr">
        <is>
          <t>1.2</t>
        </is>
      </c>
      <c r="C3" s="13" t="inlineStr">
        <is>
          <t>AI Portfolio &amp; Investment Management</t>
        </is>
      </c>
      <c r="D3" s="38">
        <f>'1. Capability catalog'!E3</f>
        <v/>
      </c>
      <c r="E3" s="19">
        <f>'1. Capability catalog'!K3</f>
        <v/>
      </c>
      <c r="F3" s="19">
        <f>'1. Capability catalog'!L3</f>
        <v/>
      </c>
      <c r="G3" s="19">
        <f>IF(AND(ISNUMBER('1. Capability catalog'!K3),ISNUMBER('1. Capability catalog'!L3)),MAX(0,'1. Capability catalog'!L3-'1. Capability catalog'!K3),"")</f>
        <v/>
      </c>
      <c r="H3" s="19">
        <f>'1. Capability catalog'!M3</f>
        <v/>
      </c>
      <c r="I3" s="19">
        <f>IF(AND(ISNUMBER('1. Capability catalog'!K3),ISNUMBER('1. Capability catalog'!M3)),'1. Capability catalog'!M3-'1. Capability catalog'!K3,"")</f>
        <v/>
      </c>
      <c r="J3" s="38">
        <f>IF('1. Capability catalog'!K3="","not rated",IF(NOT(ISNUMBER('1. Capability catalog'!K3)),IF('1. Capability catalog'!K3="UC","Blocked - applicability",IF('1. Capability catalog'!K3="NE","Blocked - no evidence","Out of scope")),IF(G3&gt;=2,IF(OR($A3="D7",$A3="D3"),"Mandatory / urgent","Foundational / enabling"),IF(G3=1,"Value-led","Deferred / monitor"))))</f>
        <v/>
      </c>
      <c r="K3" s="38">
        <f>'1. Capability catalog'!N3</f>
        <v/>
      </c>
      <c r="L3" s="38">
        <f>'1. Capability catalog'!F3</f>
        <v/>
      </c>
    </row>
    <row r="4" ht="26" customHeight="1">
      <c r="A4" s="11" t="inlineStr">
        <is>
          <t>D1</t>
        </is>
      </c>
      <c r="B4" s="12" t="inlineStr">
        <is>
          <t>1.3</t>
        </is>
      </c>
      <c r="C4" s="13" t="inlineStr">
        <is>
          <t>Value Realization &amp; Performance Reporting</t>
        </is>
      </c>
      <c r="D4" s="38">
        <f>'1. Capability catalog'!E4</f>
        <v/>
      </c>
      <c r="E4" s="19">
        <f>'1. Capability catalog'!K4</f>
        <v/>
      </c>
      <c r="F4" s="19">
        <f>'1. Capability catalog'!L4</f>
        <v/>
      </c>
      <c r="G4" s="19">
        <f>IF(AND(ISNUMBER('1. Capability catalog'!K4),ISNUMBER('1. Capability catalog'!L4)),MAX(0,'1. Capability catalog'!L4-'1. Capability catalog'!K4),"")</f>
        <v/>
      </c>
      <c r="H4" s="19">
        <f>'1. Capability catalog'!M4</f>
        <v/>
      </c>
      <c r="I4" s="19">
        <f>IF(AND(ISNUMBER('1. Capability catalog'!K4),ISNUMBER('1. Capability catalog'!M4)),'1. Capability catalog'!M4-'1. Capability catalog'!K4,"")</f>
        <v/>
      </c>
      <c r="J4" s="38">
        <f>IF('1. Capability catalog'!K4="","not rated",IF(NOT(ISNUMBER('1. Capability catalog'!K4)),IF('1. Capability catalog'!K4="UC","Blocked - applicability",IF('1. Capability catalog'!K4="NE","Blocked - no evidence","Out of scope")),IF(G4&gt;=2,IF(OR($A4="D7",$A4="D3"),"Mandatory / urgent","Foundational / enabling"),IF(G4=1,"Value-led","Deferred / monitor"))))</f>
        <v/>
      </c>
      <c r="K4" s="38">
        <f>'1. Capability catalog'!N4</f>
        <v/>
      </c>
      <c r="L4" s="38">
        <f>'1. Capability catalog'!F4</f>
        <v/>
      </c>
    </row>
    <row r="5" ht="26" customHeight="1">
      <c r="A5" s="11" t="inlineStr">
        <is>
          <t>D1</t>
        </is>
      </c>
      <c r="B5" s="12" t="inlineStr">
        <is>
          <t>1.4</t>
        </is>
      </c>
      <c r="C5" s="13" t="inlineStr">
        <is>
          <t>AI Sourcing &amp; Partner Strategy</t>
        </is>
      </c>
      <c r="D5" s="38">
        <f>'1. Capability catalog'!E5</f>
        <v/>
      </c>
      <c r="E5" s="19">
        <f>'1. Capability catalog'!K5</f>
        <v/>
      </c>
      <c r="F5" s="19">
        <f>'1. Capability catalog'!L5</f>
        <v/>
      </c>
      <c r="G5" s="19">
        <f>IF(AND(ISNUMBER('1. Capability catalog'!K5),ISNUMBER('1. Capability catalog'!L5)),MAX(0,'1. Capability catalog'!L5-'1. Capability catalog'!K5),"")</f>
        <v/>
      </c>
      <c r="H5" s="19">
        <f>'1. Capability catalog'!M5</f>
        <v/>
      </c>
      <c r="I5" s="19">
        <f>IF(AND(ISNUMBER('1. Capability catalog'!K5),ISNUMBER('1. Capability catalog'!M5)),'1. Capability catalog'!M5-'1. Capability catalog'!K5,"")</f>
        <v/>
      </c>
      <c r="J5" s="38">
        <f>IF('1. Capability catalog'!K5="","not rated",IF(NOT(ISNUMBER('1. Capability catalog'!K5)),IF('1. Capability catalog'!K5="UC","Blocked - applicability",IF('1. Capability catalog'!K5="NE","Blocked - no evidence","Out of scope")),IF(G5&gt;=2,IF(OR($A5="D7",$A5="D3"),"Mandatory / urgent","Foundational / enabling"),IF(G5=1,"Value-led","Deferred / monitor"))))</f>
        <v/>
      </c>
      <c r="K5" s="38">
        <f>'1. Capability catalog'!N5</f>
        <v/>
      </c>
      <c r="L5" s="38">
        <f>'1. Capability catalog'!F5</f>
        <v/>
      </c>
    </row>
    <row r="6" ht="26" customHeight="1">
      <c r="A6" s="11" t="inlineStr">
        <is>
          <t>D1</t>
        </is>
      </c>
      <c r="B6" s="12" t="inlineStr">
        <is>
          <t>1.5</t>
        </is>
      </c>
      <c r="C6" s="13" t="inlineStr">
        <is>
          <t>AI Ecosystem &amp; Alliance Management</t>
        </is>
      </c>
      <c r="D6" s="38">
        <f>'1. Capability catalog'!E6</f>
        <v/>
      </c>
      <c r="E6" s="19">
        <f>'1. Capability catalog'!K6</f>
        <v/>
      </c>
      <c r="F6" s="19">
        <f>'1. Capability catalog'!L6</f>
        <v/>
      </c>
      <c r="G6" s="19">
        <f>IF(AND(ISNUMBER('1. Capability catalog'!K6),ISNUMBER('1. Capability catalog'!L6)),MAX(0,'1. Capability catalog'!L6-'1. Capability catalog'!K6),"")</f>
        <v/>
      </c>
      <c r="H6" s="19">
        <f>'1. Capability catalog'!M6</f>
        <v/>
      </c>
      <c r="I6" s="19">
        <f>IF(AND(ISNUMBER('1. Capability catalog'!K6),ISNUMBER('1. Capability catalog'!M6)),'1. Capability catalog'!M6-'1. Capability catalog'!K6,"")</f>
        <v/>
      </c>
      <c r="J6" s="38">
        <f>IF('1. Capability catalog'!K6="","not rated",IF(NOT(ISNUMBER('1. Capability catalog'!K6)),IF('1. Capability catalog'!K6="UC","Blocked - applicability",IF('1. Capability catalog'!K6="NE","Blocked - no evidence","Out of scope")),IF(G6&gt;=2,IF(OR($A6="D7",$A6="D3"),"Mandatory / urgent","Foundational / enabling"),IF(G6=1,"Value-led","Deferred / monitor"))))</f>
        <v/>
      </c>
      <c r="K6" s="38">
        <f>'1. Capability catalog'!N6</f>
        <v/>
      </c>
      <c r="L6" s="38">
        <f>'1. Capability catalog'!F6</f>
        <v/>
      </c>
    </row>
    <row r="7" ht="26" customHeight="1">
      <c r="A7" s="11" t="inlineStr">
        <is>
          <t>D2</t>
        </is>
      </c>
      <c r="B7" s="12" t="inlineStr">
        <is>
          <t>2.1</t>
        </is>
      </c>
      <c r="C7" s="13" t="inlineStr">
        <is>
          <t>Use Case Discovery &amp; Intake</t>
        </is>
      </c>
      <c r="D7" s="38">
        <f>'1. Capability catalog'!E7</f>
        <v/>
      </c>
      <c r="E7" s="19">
        <f>'1. Capability catalog'!K7</f>
        <v/>
      </c>
      <c r="F7" s="19">
        <f>'1. Capability catalog'!L7</f>
        <v/>
      </c>
      <c r="G7" s="19">
        <f>IF(AND(ISNUMBER('1. Capability catalog'!K7),ISNUMBER('1. Capability catalog'!L7)),MAX(0,'1. Capability catalog'!L7-'1. Capability catalog'!K7),"")</f>
        <v/>
      </c>
      <c r="H7" s="19">
        <f>'1. Capability catalog'!M7</f>
        <v/>
      </c>
      <c r="I7" s="19">
        <f>IF(AND(ISNUMBER('1. Capability catalog'!K7),ISNUMBER('1. Capability catalog'!M7)),'1. Capability catalog'!M7-'1. Capability catalog'!K7,"")</f>
        <v/>
      </c>
      <c r="J7" s="38">
        <f>IF('1. Capability catalog'!K7="","not rated",IF(NOT(ISNUMBER('1. Capability catalog'!K7)),IF('1. Capability catalog'!K7="UC","Blocked - applicability",IF('1. Capability catalog'!K7="NE","Blocked - no evidence","Out of scope")),IF(G7&gt;=2,IF(OR($A7="D7",$A7="D3"),"Mandatory / urgent","Foundational / enabling"),IF(G7=1,"Value-led","Deferred / monitor"))))</f>
        <v/>
      </c>
      <c r="K7" s="38">
        <f>'1. Capability catalog'!N7</f>
        <v/>
      </c>
      <c r="L7" s="38">
        <f>'1. Capability catalog'!F7</f>
        <v/>
      </c>
    </row>
    <row r="8" ht="26" customHeight="1">
      <c r="A8" s="11" t="inlineStr">
        <is>
          <t>D2</t>
        </is>
      </c>
      <c r="B8" s="12" t="inlineStr">
        <is>
          <t>2.2</t>
        </is>
      </c>
      <c r="C8" s="13" t="inlineStr">
        <is>
          <t>AI Use-Case Feasibility &amp; Qualification</t>
        </is>
      </c>
      <c r="D8" s="38">
        <f>'1. Capability catalog'!E8</f>
        <v/>
      </c>
      <c r="E8" s="19">
        <f>'1. Capability catalog'!K8</f>
        <v/>
      </c>
      <c r="F8" s="19">
        <f>'1. Capability catalog'!L8</f>
        <v/>
      </c>
      <c r="G8" s="19">
        <f>IF(AND(ISNUMBER('1. Capability catalog'!K8),ISNUMBER('1. Capability catalog'!L8)),MAX(0,'1. Capability catalog'!L8-'1. Capability catalog'!K8),"")</f>
        <v/>
      </c>
      <c r="H8" s="19">
        <f>'1. Capability catalog'!M8</f>
        <v/>
      </c>
      <c r="I8" s="19">
        <f>IF(AND(ISNUMBER('1. Capability catalog'!K8),ISNUMBER('1. Capability catalog'!M8)),'1. Capability catalog'!M8-'1. Capability catalog'!K8,"")</f>
        <v/>
      </c>
      <c r="J8" s="38">
        <f>IF('1. Capability catalog'!K8="","not rated",IF(NOT(ISNUMBER('1. Capability catalog'!K8)),IF('1. Capability catalog'!K8="UC","Blocked - applicability",IF('1. Capability catalog'!K8="NE","Blocked - no evidence","Out of scope")),IF(G8&gt;=2,IF(OR($A8="D7",$A8="D3"),"Mandatory / urgent","Foundational / enabling"),IF(G8=1,"Value-led","Deferred / monitor"))))</f>
        <v/>
      </c>
      <c r="K8" s="38">
        <f>'1. Capability catalog'!N8</f>
        <v/>
      </c>
      <c r="L8" s="38">
        <f>'1. Capability catalog'!F8</f>
        <v/>
      </c>
    </row>
    <row r="9" ht="26" customHeight="1">
      <c r="A9" s="11" t="inlineStr">
        <is>
          <t>D2</t>
        </is>
      </c>
      <c r="B9" s="12" t="inlineStr">
        <is>
          <t>2.3</t>
        </is>
      </c>
      <c r="C9" s="13" t="inlineStr">
        <is>
          <t>AI Product Management</t>
        </is>
      </c>
      <c r="D9" s="38">
        <f>'1. Capability catalog'!E9</f>
        <v/>
      </c>
      <c r="E9" s="19">
        <f>'1. Capability catalog'!K9</f>
        <v/>
      </c>
      <c r="F9" s="19">
        <f>'1. Capability catalog'!L9</f>
        <v/>
      </c>
      <c r="G9" s="19">
        <f>IF(AND(ISNUMBER('1. Capability catalog'!K9),ISNUMBER('1. Capability catalog'!L9)),MAX(0,'1. Capability catalog'!L9-'1. Capability catalog'!K9),"")</f>
        <v/>
      </c>
      <c r="H9" s="19">
        <f>'1. Capability catalog'!M9</f>
        <v/>
      </c>
      <c r="I9" s="19">
        <f>IF(AND(ISNUMBER('1. Capability catalog'!K9),ISNUMBER('1. Capability catalog'!M9)),'1. Capability catalog'!M9-'1. Capability catalog'!K9,"")</f>
        <v/>
      </c>
      <c r="J9" s="38">
        <f>IF('1. Capability catalog'!K9="","not rated",IF(NOT(ISNUMBER('1. Capability catalog'!K9)),IF('1. Capability catalog'!K9="UC","Blocked - applicability",IF('1. Capability catalog'!K9="NE","Blocked - no evidence","Out of scope")),IF(G9&gt;=2,IF(OR($A9="D7",$A9="D3"),"Mandatory / urgent","Foundational / enabling"),IF(G9=1,"Value-led","Deferred / monitor"))))</f>
        <v/>
      </c>
      <c r="K9" s="38">
        <f>'1. Capability catalog'!N9</f>
        <v/>
      </c>
      <c r="L9" s="38">
        <f>'1. Capability catalog'!F9</f>
        <v/>
      </c>
    </row>
    <row r="10" ht="26" customHeight="1">
      <c r="A10" s="11" t="inlineStr">
        <is>
          <t>D2</t>
        </is>
      </c>
      <c r="B10" s="12" t="inlineStr">
        <is>
          <t>2.4</t>
        </is>
      </c>
      <c r="C10" s="13" t="inlineStr">
        <is>
          <t>Business Process &amp; Service Redesign</t>
        </is>
      </c>
      <c r="D10" s="38">
        <f>'1. Capability catalog'!E10</f>
        <v/>
      </c>
      <c r="E10" s="19">
        <f>'1. Capability catalog'!K10</f>
        <v/>
      </c>
      <c r="F10" s="19">
        <f>'1. Capability catalog'!L10</f>
        <v/>
      </c>
      <c r="G10" s="19">
        <f>IF(AND(ISNUMBER('1. Capability catalog'!K10),ISNUMBER('1. Capability catalog'!L10)),MAX(0,'1. Capability catalog'!L10-'1. Capability catalog'!K10),"")</f>
        <v/>
      </c>
      <c r="H10" s="19">
        <f>'1. Capability catalog'!M10</f>
        <v/>
      </c>
      <c r="I10" s="19">
        <f>IF(AND(ISNUMBER('1. Capability catalog'!K10),ISNUMBER('1. Capability catalog'!M10)),'1. Capability catalog'!M10-'1. Capability catalog'!K10,"")</f>
        <v/>
      </c>
      <c r="J10" s="38">
        <f>IF('1. Capability catalog'!K10="","not rated",IF(NOT(ISNUMBER('1. Capability catalog'!K10)),IF('1. Capability catalog'!K10="UC","Blocked - applicability",IF('1. Capability catalog'!K10="NE","Blocked - no evidence","Out of scope")),IF(G10&gt;=2,IF(OR($A10="D7",$A10="D3"),"Mandatory / urgent","Foundational / enabling"),IF(G10=1,"Value-led","Deferred / monitor"))))</f>
        <v/>
      </c>
      <c r="K10" s="38">
        <f>'1. Capability catalog'!N10</f>
        <v/>
      </c>
      <c r="L10" s="38">
        <f>'1. Capability catalog'!F10</f>
        <v/>
      </c>
    </row>
    <row r="11" ht="26" customHeight="1">
      <c r="A11" s="11" t="inlineStr">
        <is>
          <t>D2</t>
        </is>
      </c>
      <c r="B11" s="12" t="inlineStr">
        <is>
          <t>2.5</t>
        </is>
      </c>
      <c r="C11" s="13" t="inlineStr">
        <is>
          <t>Human-AI Interaction &amp; Oversight Design</t>
        </is>
      </c>
      <c r="D11" s="38">
        <f>'1. Capability catalog'!E11</f>
        <v/>
      </c>
      <c r="E11" s="19">
        <f>'1. Capability catalog'!K11</f>
        <v/>
      </c>
      <c r="F11" s="19">
        <f>'1. Capability catalog'!L11</f>
        <v/>
      </c>
      <c r="G11" s="19">
        <f>IF(AND(ISNUMBER('1. Capability catalog'!K11),ISNUMBER('1. Capability catalog'!L11)),MAX(0,'1. Capability catalog'!L11-'1. Capability catalog'!K11),"")</f>
        <v/>
      </c>
      <c r="H11" s="19">
        <f>'1. Capability catalog'!M11</f>
        <v/>
      </c>
      <c r="I11" s="19">
        <f>IF(AND(ISNUMBER('1. Capability catalog'!K11),ISNUMBER('1. Capability catalog'!M11)),'1. Capability catalog'!M11-'1. Capability catalog'!K11,"")</f>
        <v/>
      </c>
      <c r="J11" s="38">
        <f>IF('1. Capability catalog'!K11="","not rated",IF(NOT(ISNUMBER('1. Capability catalog'!K11)),IF('1. Capability catalog'!K11="UC","Blocked - applicability",IF('1. Capability catalog'!K11="NE","Blocked - no evidence","Out of scope")),IF(G11&gt;=2,IF(OR($A11="D7",$A11="D3"),"Mandatory / urgent","Foundational / enabling"),IF(G11=1,"Value-led","Deferred / monitor"))))</f>
        <v/>
      </c>
      <c r="K11" s="38">
        <f>'1. Capability catalog'!N11</f>
        <v/>
      </c>
      <c r="L11" s="38">
        <f>'1. Capability catalog'!F11</f>
        <v/>
      </c>
    </row>
    <row r="12" ht="26" customHeight="1">
      <c r="A12" s="11" t="inlineStr">
        <is>
          <t>D2</t>
        </is>
      </c>
      <c r="B12" s="12" t="inlineStr">
        <is>
          <t>2.6</t>
        </is>
      </c>
      <c r="C12" s="13" t="inlineStr">
        <is>
          <t>AI Innovation &amp; Incubation</t>
        </is>
      </c>
      <c r="D12" s="38">
        <f>'1. Capability catalog'!E12</f>
        <v/>
      </c>
      <c r="E12" s="19">
        <f>'1. Capability catalog'!K12</f>
        <v/>
      </c>
      <c r="F12" s="19">
        <f>'1. Capability catalog'!L12</f>
        <v/>
      </c>
      <c r="G12" s="19">
        <f>IF(AND(ISNUMBER('1. Capability catalog'!K12),ISNUMBER('1. Capability catalog'!L12)),MAX(0,'1. Capability catalog'!L12-'1. Capability catalog'!K12),"")</f>
        <v/>
      </c>
      <c r="H12" s="19">
        <f>'1. Capability catalog'!M12</f>
        <v/>
      </c>
      <c r="I12" s="19">
        <f>IF(AND(ISNUMBER('1. Capability catalog'!K12),ISNUMBER('1. Capability catalog'!M12)),'1. Capability catalog'!M12-'1. Capability catalog'!K12,"")</f>
        <v/>
      </c>
      <c r="J12" s="38">
        <f>IF('1. Capability catalog'!K12="","not rated",IF(NOT(ISNUMBER('1. Capability catalog'!K12)),IF('1. Capability catalog'!K12="UC","Blocked - applicability",IF('1. Capability catalog'!K12="NE","Blocked - no evidence","Out of scope")),IF(G12&gt;=2,IF(OR($A12="D7",$A12="D3"),"Mandatory / urgent","Foundational / enabling"),IF(G12=1,"Value-led","Deferred / monitor"))))</f>
        <v/>
      </c>
      <c r="K12" s="38">
        <f>'1. Capability catalog'!N12</f>
        <v/>
      </c>
      <c r="L12" s="38">
        <f>'1. Capability catalog'!F12</f>
        <v/>
      </c>
    </row>
    <row r="13" ht="26" customHeight="1">
      <c r="A13" s="11" t="inlineStr">
        <is>
          <t>D3</t>
        </is>
      </c>
      <c r="B13" s="12" t="inlineStr">
        <is>
          <t>3.1</t>
        </is>
      </c>
      <c r="C13" s="13" t="inlineStr">
        <is>
          <t>Data Governance &amp; Stewardship for AI</t>
        </is>
      </c>
      <c r="D13" s="38">
        <f>'1. Capability catalog'!E13</f>
        <v/>
      </c>
      <c r="E13" s="19">
        <f>'1. Capability catalog'!K13</f>
        <v/>
      </c>
      <c r="F13" s="19">
        <f>'1. Capability catalog'!L13</f>
        <v/>
      </c>
      <c r="G13" s="19">
        <f>IF(AND(ISNUMBER('1. Capability catalog'!K13),ISNUMBER('1. Capability catalog'!L13)),MAX(0,'1. Capability catalog'!L13-'1. Capability catalog'!K13),"")</f>
        <v/>
      </c>
      <c r="H13" s="19">
        <f>'1. Capability catalog'!M13</f>
        <v/>
      </c>
      <c r="I13" s="19">
        <f>IF(AND(ISNUMBER('1. Capability catalog'!K13),ISNUMBER('1. Capability catalog'!M13)),'1. Capability catalog'!M13-'1. Capability catalog'!K13,"")</f>
        <v/>
      </c>
      <c r="J13" s="38">
        <f>IF('1. Capability catalog'!K13="","not rated",IF(NOT(ISNUMBER('1. Capability catalog'!K13)),IF('1. Capability catalog'!K13="UC","Blocked - applicability",IF('1. Capability catalog'!K13="NE","Blocked - no evidence","Out of scope")),IF(G13&gt;=2,IF(OR($A13="D7",$A13="D3"),"Mandatory / urgent","Foundational / enabling"),IF(G13=1,"Value-led","Deferred / monitor"))))</f>
        <v/>
      </c>
      <c r="K13" s="38">
        <f>'1. Capability catalog'!N13</f>
        <v/>
      </c>
      <c r="L13" s="38">
        <f>'1. Capability catalog'!F13</f>
        <v/>
      </c>
    </row>
    <row r="14" ht="26" customHeight="1">
      <c r="A14" s="11" t="inlineStr">
        <is>
          <t>D3</t>
        </is>
      </c>
      <c r="B14" s="12" t="inlineStr">
        <is>
          <t>3.2</t>
        </is>
      </c>
      <c r="C14" s="13" t="inlineStr">
        <is>
          <t>Data Sourcing, Licensing &amp; Provenance</t>
        </is>
      </c>
      <c r="D14" s="38">
        <f>'1. Capability catalog'!E14</f>
        <v/>
      </c>
      <c r="E14" s="19">
        <f>'1. Capability catalog'!K14</f>
        <v/>
      </c>
      <c r="F14" s="19">
        <f>'1. Capability catalog'!L14</f>
        <v/>
      </c>
      <c r="G14" s="19">
        <f>IF(AND(ISNUMBER('1. Capability catalog'!K14),ISNUMBER('1. Capability catalog'!L14)),MAX(0,'1. Capability catalog'!L14-'1. Capability catalog'!K14),"")</f>
        <v/>
      </c>
      <c r="H14" s="19">
        <f>'1. Capability catalog'!M14</f>
        <v/>
      </c>
      <c r="I14" s="19">
        <f>IF(AND(ISNUMBER('1. Capability catalog'!K14),ISNUMBER('1. Capability catalog'!M14)),'1. Capability catalog'!M14-'1. Capability catalog'!K14,"")</f>
        <v/>
      </c>
      <c r="J14" s="38">
        <f>IF('1. Capability catalog'!K14="","not rated",IF(NOT(ISNUMBER('1. Capability catalog'!K14)),IF('1. Capability catalog'!K14="UC","Blocked - applicability",IF('1. Capability catalog'!K14="NE","Blocked - no evidence","Out of scope")),IF(G14&gt;=2,IF(OR($A14="D7",$A14="D3"),"Mandatory / urgent","Foundational / enabling"),IF(G14=1,"Value-led","Deferred / monitor"))))</f>
        <v/>
      </c>
      <c r="K14" s="38">
        <f>'1. Capability catalog'!N14</f>
        <v/>
      </c>
      <c r="L14" s="38">
        <f>'1. Capability catalog'!F14</f>
        <v/>
      </c>
    </row>
    <row r="15" ht="26" customHeight="1">
      <c r="A15" s="11" t="inlineStr">
        <is>
          <t>D3</t>
        </is>
      </c>
      <c r="B15" s="12" t="inlineStr">
        <is>
          <t>3.3</t>
        </is>
      </c>
      <c r="C15" s="13" t="inlineStr">
        <is>
          <t>Data Quality &amp; Preparation for AI</t>
        </is>
      </c>
      <c r="D15" s="38">
        <f>'1. Capability catalog'!E15</f>
        <v/>
      </c>
      <c r="E15" s="19">
        <f>'1. Capability catalog'!K15</f>
        <v/>
      </c>
      <c r="F15" s="19">
        <f>'1. Capability catalog'!L15</f>
        <v/>
      </c>
      <c r="G15" s="19">
        <f>IF(AND(ISNUMBER('1. Capability catalog'!K15),ISNUMBER('1. Capability catalog'!L15)),MAX(0,'1. Capability catalog'!L15-'1. Capability catalog'!K15),"")</f>
        <v/>
      </c>
      <c r="H15" s="19">
        <f>'1. Capability catalog'!M15</f>
        <v/>
      </c>
      <c r="I15" s="19">
        <f>IF(AND(ISNUMBER('1. Capability catalog'!K15),ISNUMBER('1. Capability catalog'!M15)),'1. Capability catalog'!M15-'1. Capability catalog'!K15,"")</f>
        <v/>
      </c>
      <c r="J15" s="38">
        <f>IF('1. Capability catalog'!K15="","not rated",IF(NOT(ISNUMBER('1. Capability catalog'!K15)),IF('1. Capability catalog'!K15="UC","Blocked - applicability",IF('1. Capability catalog'!K15="NE","Blocked - no evidence","Out of scope")),IF(G15&gt;=2,IF(OR($A15="D7",$A15="D3"),"Mandatory / urgent","Foundational / enabling"),IF(G15=1,"Value-led","Deferred / monitor"))))</f>
        <v/>
      </c>
      <c r="K15" s="38">
        <f>'1. Capability catalog'!N15</f>
        <v/>
      </c>
      <c r="L15" s="38">
        <f>'1. Capability catalog'!F15</f>
        <v/>
      </c>
    </row>
    <row r="16" ht="26" customHeight="1">
      <c r="A16" s="11" t="inlineStr">
        <is>
          <t>D3</t>
        </is>
      </c>
      <c r="B16" s="12" t="inlineStr">
        <is>
          <t>3.4</t>
        </is>
      </c>
      <c r="C16" s="13" t="inlineStr">
        <is>
          <t>Metadata, Lineage &amp; Cataloging for AI</t>
        </is>
      </c>
      <c r="D16" s="38">
        <f>'1. Capability catalog'!E16</f>
        <v/>
      </c>
      <c r="E16" s="19">
        <f>'1. Capability catalog'!K16</f>
        <v/>
      </c>
      <c r="F16" s="19">
        <f>'1. Capability catalog'!L16</f>
        <v/>
      </c>
      <c r="G16" s="19">
        <f>IF(AND(ISNUMBER('1. Capability catalog'!K16),ISNUMBER('1. Capability catalog'!L16)),MAX(0,'1. Capability catalog'!L16-'1. Capability catalog'!K16),"")</f>
        <v/>
      </c>
      <c r="H16" s="19">
        <f>'1. Capability catalog'!M16</f>
        <v/>
      </c>
      <c r="I16" s="19">
        <f>IF(AND(ISNUMBER('1. Capability catalog'!K16),ISNUMBER('1. Capability catalog'!M16)),'1. Capability catalog'!M16-'1. Capability catalog'!K16,"")</f>
        <v/>
      </c>
      <c r="J16" s="38">
        <f>IF('1. Capability catalog'!K16="","not rated",IF(NOT(ISNUMBER('1. Capability catalog'!K16)),IF('1. Capability catalog'!K16="UC","Blocked - applicability",IF('1. Capability catalog'!K16="NE","Blocked - no evidence","Out of scope")),IF(G16&gt;=2,IF(OR($A16="D7",$A16="D3"),"Mandatory / urgent","Foundational / enabling"),IF(G16=1,"Value-led","Deferred / monitor"))))</f>
        <v/>
      </c>
      <c r="K16" s="38">
        <f>'1. Capability catalog'!N16</f>
        <v/>
      </c>
      <c r="L16" s="38">
        <f>'1. Capability catalog'!F16</f>
        <v/>
      </c>
    </row>
    <row r="17" ht="26" customHeight="1">
      <c r="A17" s="11" t="inlineStr">
        <is>
          <t>D3</t>
        </is>
      </c>
      <c r="B17" s="12" t="inlineStr">
        <is>
          <t>3.5</t>
        </is>
      </c>
      <c r="C17" s="13" t="inlineStr">
        <is>
          <t>Knowledge Corpus &amp; Content Management</t>
        </is>
      </c>
      <c r="D17" s="38">
        <f>'1. Capability catalog'!E17</f>
        <v/>
      </c>
      <c r="E17" s="19">
        <f>'1. Capability catalog'!K17</f>
        <v/>
      </c>
      <c r="F17" s="19">
        <f>'1. Capability catalog'!L17</f>
        <v/>
      </c>
      <c r="G17" s="19">
        <f>IF(AND(ISNUMBER('1. Capability catalog'!K17),ISNUMBER('1. Capability catalog'!L17)),MAX(0,'1. Capability catalog'!L17-'1. Capability catalog'!K17),"")</f>
        <v/>
      </c>
      <c r="H17" s="19">
        <f>'1. Capability catalog'!M17</f>
        <v/>
      </c>
      <c r="I17" s="19">
        <f>IF(AND(ISNUMBER('1. Capability catalog'!K17),ISNUMBER('1. Capability catalog'!M17)),'1. Capability catalog'!M17-'1. Capability catalog'!K17,"")</f>
        <v/>
      </c>
      <c r="J17" s="38">
        <f>IF('1. Capability catalog'!K17="","not rated",IF(NOT(ISNUMBER('1. Capability catalog'!K17)),IF('1. Capability catalog'!K17="UC","Blocked - applicability",IF('1. Capability catalog'!K17="NE","Blocked - no evidence","Out of scope")),IF(G17&gt;=2,IF(OR($A17="D7",$A17="D3"),"Mandatory / urgent","Foundational / enabling"),IF(G17=1,"Value-led","Deferred / monitor"))))</f>
        <v/>
      </c>
      <c r="K17" s="38">
        <f>'1. Capability catalog'!N17</f>
        <v/>
      </c>
      <c r="L17" s="38">
        <f>'1. Capability catalog'!F17</f>
        <v/>
      </c>
    </row>
    <row r="18" ht="26" customHeight="1">
      <c r="A18" s="11" t="inlineStr">
        <is>
          <t>D3</t>
        </is>
      </c>
      <c r="B18" s="12" t="inlineStr">
        <is>
          <t>3.6</t>
        </is>
      </c>
      <c r="C18" s="13" t="inlineStr">
        <is>
          <t>Knowledge Access &amp; Retrieval</t>
        </is>
      </c>
      <c r="D18" s="38">
        <f>'1. Capability catalog'!E18</f>
        <v/>
      </c>
      <c r="E18" s="19">
        <f>'1. Capability catalog'!K18</f>
        <v/>
      </c>
      <c r="F18" s="19">
        <f>'1. Capability catalog'!L18</f>
        <v/>
      </c>
      <c r="G18" s="19">
        <f>IF(AND(ISNUMBER('1. Capability catalog'!K18),ISNUMBER('1. Capability catalog'!L18)),MAX(0,'1. Capability catalog'!L18-'1. Capability catalog'!K18),"")</f>
        <v/>
      </c>
      <c r="H18" s="19">
        <f>'1. Capability catalog'!M18</f>
        <v/>
      </c>
      <c r="I18" s="19">
        <f>IF(AND(ISNUMBER('1. Capability catalog'!K18),ISNUMBER('1. Capability catalog'!M18)),'1. Capability catalog'!M18-'1. Capability catalog'!K18,"")</f>
        <v/>
      </c>
      <c r="J18" s="38">
        <f>IF('1. Capability catalog'!K18="","not rated",IF(NOT(ISNUMBER('1. Capability catalog'!K18)),IF('1. Capability catalog'!K18="UC","Blocked - applicability",IF('1. Capability catalog'!K18="NE","Blocked - no evidence","Out of scope")),IF(G18&gt;=2,IF(OR($A18="D7",$A18="D3"),"Mandatory / urgent","Foundational / enabling"),IF(G18=1,"Value-led","Deferred / monitor"))))</f>
        <v/>
      </c>
      <c r="K18" s="38">
        <f>'1. Capability catalog'!N18</f>
        <v/>
      </c>
      <c r="L18" s="38">
        <f>'1. Capability catalog'!F18</f>
        <v/>
      </c>
    </row>
    <row r="19" ht="26" customHeight="1">
      <c r="A19" s="11" t="inlineStr">
        <is>
          <t>D3</t>
        </is>
      </c>
      <c r="B19" s="12" t="inlineStr">
        <is>
          <t>3.7</t>
        </is>
      </c>
      <c r="C19" s="13" t="inlineStr">
        <is>
          <t>Derived Representation Management</t>
        </is>
      </c>
      <c r="D19" s="38">
        <f>'1. Capability catalog'!E19</f>
        <v/>
      </c>
      <c r="E19" s="19">
        <f>'1. Capability catalog'!K19</f>
        <v/>
      </c>
      <c r="F19" s="19">
        <f>'1. Capability catalog'!L19</f>
        <v/>
      </c>
      <c r="G19" s="19">
        <f>IF(AND(ISNUMBER('1. Capability catalog'!K19),ISNUMBER('1. Capability catalog'!L19)),MAX(0,'1. Capability catalog'!L19-'1. Capability catalog'!K19),"")</f>
        <v/>
      </c>
      <c r="H19" s="19">
        <f>'1. Capability catalog'!M19</f>
        <v/>
      </c>
      <c r="I19" s="19">
        <f>IF(AND(ISNUMBER('1. Capability catalog'!K19),ISNUMBER('1. Capability catalog'!M19)),'1. Capability catalog'!M19-'1. Capability catalog'!K19,"")</f>
        <v/>
      </c>
      <c r="J19" s="38">
        <f>IF('1. Capability catalog'!K19="","not rated",IF(NOT(ISNUMBER('1. Capability catalog'!K19)),IF('1. Capability catalog'!K19="UC","Blocked - applicability",IF('1. Capability catalog'!K19="NE","Blocked - no evidence","Out of scope")),IF(G19&gt;=2,IF(OR($A19="D7",$A19="D3"),"Mandatory / urgent","Foundational / enabling"),IF(G19=1,"Value-led","Deferred / monitor"))))</f>
        <v/>
      </c>
      <c r="K19" s="38">
        <f>'1. Capability catalog'!N19</f>
        <v/>
      </c>
      <c r="L19" s="38">
        <f>'1. Capability catalog'!F19</f>
        <v/>
      </c>
    </row>
    <row r="20" ht="26" customHeight="1">
      <c r="A20" s="11" t="inlineStr">
        <is>
          <t>D4</t>
        </is>
      </c>
      <c r="B20" s="12" t="inlineStr">
        <is>
          <t>4.1</t>
        </is>
      </c>
      <c r="C20" s="13" t="inlineStr">
        <is>
          <t>AI Architecture Management &amp; Solution Governance</t>
        </is>
      </c>
      <c r="D20" s="38">
        <f>'1. Capability catalog'!E20</f>
        <v/>
      </c>
      <c r="E20" s="19">
        <f>'1. Capability catalog'!K20</f>
        <v/>
      </c>
      <c r="F20" s="19">
        <f>'1. Capability catalog'!L20</f>
        <v/>
      </c>
      <c r="G20" s="19">
        <f>IF(AND(ISNUMBER('1. Capability catalog'!K20),ISNUMBER('1. Capability catalog'!L20)),MAX(0,'1. Capability catalog'!L20-'1. Capability catalog'!K20),"")</f>
        <v/>
      </c>
      <c r="H20" s="19">
        <f>'1. Capability catalog'!M20</f>
        <v/>
      </c>
      <c r="I20" s="19">
        <f>IF(AND(ISNUMBER('1. Capability catalog'!K20),ISNUMBER('1. Capability catalog'!M20)),'1. Capability catalog'!M20-'1. Capability catalog'!K20,"")</f>
        <v/>
      </c>
      <c r="J20" s="38">
        <f>IF('1. Capability catalog'!K20="","not rated",IF(NOT(ISNUMBER('1. Capability catalog'!K20)),IF('1. Capability catalog'!K20="UC","Blocked - applicability",IF('1. Capability catalog'!K20="NE","Blocked - no evidence","Out of scope")),IF(G20&gt;=2,IF(OR($A20="D7",$A20="D3"),"Mandatory / urgent","Foundational / enabling"),IF(G20=1,"Value-led","Deferred / monitor"))))</f>
        <v/>
      </c>
      <c r="K20" s="38">
        <f>'1. Capability catalog'!N20</f>
        <v/>
      </c>
      <c r="L20" s="38">
        <f>'1. Capability catalog'!F20</f>
        <v/>
      </c>
    </row>
    <row r="21" ht="26" customHeight="1">
      <c r="A21" s="11" t="inlineStr">
        <is>
          <t>D4</t>
        </is>
      </c>
      <c r="B21" s="12" t="inlineStr">
        <is>
          <t>4.2</t>
        </is>
      </c>
      <c r="C21" s="13" t="inlineStr">
        <is>
          <t>Model Selection, Customization &amp; Tuning</t>
        </is>
      </c>
      <c r="D21" s="38">
        <f>'1. Capability catalog'!E21</f>
        <v/>
      </c>
      <c r="E21" s="19">
        <f>'1. Capability catalog'!K21</f>
        <v/>
      </c>
      <c r="F21" s="19">
        <f>'1. Capability catalog'!L21</f>
        <v/>
      </c>
      <c r="G21" s="19">
        <f>IF(AND(ISNUMBER('1. Capability catalog'!K21),ISNUMBER('1. Capability catalog'!L21)),MAX(0,'1. Capability catalog'!L21-'1. Capability catalog'!K21),"")</f>
        <v/>
      </c>
      <c r="H21" s="19">
        <f>'1. Capability catalog'!M21</f>
        <v/>
      </c>
      <c r="I21" s="19">
        <f>IF(AND(ISNUMBER('1. Capability catalog'!K21),ISNUMBER('1. Capability catalog'!M21)),'1. Capability catalog'!M21-'1. Capability catalog'!K21,"")</f>
        <v/>
      </c>
      <c r="J21" s="38">
        <f>IF('1. Capability catalog'!K21="","not rated",IF(NOT(ISNUMBER('1. Capability catalog'!K21)),IF('1. Capability catalog'!K21="UC","Blocked - applicability",IF('1. Capability catalog'!K21="NE","Blocked - no evidence","Out of scope")),IF(G21&gt;=2,IF(OR($A21="D7",$A21="D3"),"Mandatory / urgent","Foundational / enabling"),IF(G21=1,"Value-led","Deferred / monitor"))))</f>
        <v/>
      </c>
      <c r="K21" s="38">
        <f>'1. Capability catalog'!N21</f>
        <v/>
      </c>
      <c r="L21" s="38">
        <f>'1. Capability catalog'!F21</f>
        <v/>
      </c>
    </row>
    <row r="22" ht="26" customHeight="1">
      <c r="A22" s="11" t="inlineStr">
        <is>
          <t>D4</t>
        </is>
      </c>
      <c r="B22" s="12" t="inlineStr">
        <is>
          <t>4.3</t>
        </is>
      </c>
      <c r="C22" s="13" t="inlineStr">
        <is>
          <t>Prompt &amp; Context Engineering</t>
        </is>
      </c>
      <c r="D22" s="38">
        <f>'1. Capability catalog'!E22</f>
        <v/>
      </c>
      <c r="E22" s="19">
        <f>'1. Capability catalog'!K22</f>
        <v/>
      </c>
      <c r="F22" s="19">
        <f>'1. Capability catalog'!L22</f>
        <v/>
      </c>
      <c r="G22" s="19">
        <f>IF(AND(ISNUMBER('1. Capability catalog'!K22),ISNUMBER('1. Capability catalog'!L22)),MAX(0,'1. Capability catalog'!L22-'1. Capability catalog'!K22),"")</f>
        <v/>
      </c>
      <c r="H22" s="19">
        <f>'1. Capability catalog'!M22</f>
        <v/>
      </c>
      <c r="I22" s="19">
        <f>IF(AND(ISNUMBER('1. Capability catalog'!K22),ISNUMBER('1. Capability catalog'!M22)),'1. Capability catalog'!M22-'1. Capability catalog'!K22,"")</f>
        <v/>
      </c>
      <c r="J22" s="38">
        <f>IF('1. Capability catalog'!K22="","not rated",IF(NOT(ISNUMBER('1. Capability catalog'!K22)),IF('1. Capability catalog'!K22="UC","Blocked - applicability",IF('1. Capability catalog'!K22="NE","Blocked - no evidence","Out of scope")),IF(G22&gt;=2,IF(OR($A22="D7",$A22="D3"),"Mandatory / urgent","Foundational / enabling"),IF(G22=1,"Value-led","Deferred / monitor"))))</f>
        <v/>
      </c>
      <c r="K22" s="38">
        <f>'1. Capability catalog'!N22</f>
        <v/>
      </c>
      <c r="L22" s="38">
        <f>'1. Capability catalog'!F22</f>
        <v/>
      </c>
    </row>
    <row r="23" ht="26" customHeight="1">
      <c r="A23" s="11" t="inlineStr">
        <is>
          <t>D4</t>
        </is>
      </c>
      <c r="B23" s="12" t="inlineStr">
        <is>
          <t>4.4</t>
        </is>
      </c>
      <c r="C23" s="13" t="inlineStr">
        <is>
          <t>Agent &amp; Workflow Orchestration Design</t>
        </is>
      </c>
      <c r="D23" s="38">
        <f>'1. Capability catalog'!E23</f>
        <v/>
      </c>
      <c r="E23" s="19">
        <f>'1. Capability catalog'!K23</f>
        <v/>
      </c>
      <c r="F23" s="19">
        <f>'1. Capability catalog'!L23</f>
        <v/>
      </c>
      <c r="G23" s="19">
        <f>IF(AND(ISNUMBER('1. Capability catalog'!K23),ISNUMBER('1. Capability catalog'!L23)),MAX(0,'1. Capability catalog'!L23-'1. Capability catalog'!K23),"")</f>
        <v/>
      </c>
      <c r="H23" s="19">
        <f>'1. Capability catalog'!M23</f>
        <v/>
      </c>
      <c r="I23" s="19">
        <f>IF(AND(ISNUMBER('1. Capability catalog'!K23),ISNUMBER('1. Capability catalog'!M23)),'1. Capability catalog'!M23-'1. Capability catalog'!K23,"")</f>
        <v/>
      </c>
      <c r="J23" s="38">
        <f>IF('1. Capability catalog'!K23="","not rated",IF(NOT(ISNUMBER('1. Capability catalog'!K23)),IF('1. Capability catalog'!K23="UC","Blocked - applicability",IF('1. Capability catalog'!K23="NE","Blocked - no evidence","Out of scope")),IF(G23&gt;=2,IF(OR($A23="D7",$A23="D3"),"Mandatory / urgent","Foundational / enabling"),IF(G23=1,"Value-led","Deferred / monitor"))))</f>
        <v/>
      </c>
      <c r="K23" s="38">
        <f>'1. Capability catalog'!N23</f>
        <v/>
      </c>
      <c r="L23" s="38">
        <f>'1. Capability catalog'!F23</f>
        <v/>
      </c>
    </row>
    <row r="24" ht="26" customHeight="1">
      <c r="A24" s="11" t="inlineStr">
        <is>
          <t>D4</t>
        </is>
      </c>
      <c r="B24" s="12" t="inlineStr">
        <is>
          <t>4.5</t>
        </is>
      </c>
      <c r="C24" s="13" t="inlineStr">
        <is>
          <t>Integration &amp; Tool Enablement</t>
        </is>
      </c>
      <c r="D24" s="38">
        <f>'1. Capability catalog'!E24</f>
        <v/>
      </c>
      <c r="E24" s="19">
        <f>'1. Capability catalog'!K24</f>
        <v/>
      </c>
      <c r="F24" s="19">
        <f>'1. Capability catalog'!L24</f>
        <v/>
      </c>
      <c r="G24" s="19">
        <f>IF(AND(ISNUMBER('1. Capability catalog'!K24),ISNUMBER('1. Capability catalog'!L24)),MAX(0,'1. Capability catalog'!L24-'1. Capability catalog'!K24),"")</f>
        <v/>
      </c>
      <c r="H24" s="19">
        <f>'1. Capability catalog'!M24</f>
        <v/>
      </c>
      <c r="I24" s="19">
        <f>IF(AND(ISNUMBER('1. Capability catalog'!K24),ISNUMBER('1. Capability catalog'!M24)),'1. Capability catalog'!M24-'1. Capability catalog'!K24,"")</f>
        <v/>
      </c>
      <c r="J24" s="38">
        <f>IF('1. Capability catalog'!K24="","not rated",IF(NOT(ISNUMBER('1. Capability catalog'!K24)),IF('1. Capability catalog'!K24="UC","Blocked - applicability",IF('1. Capability catalog'!K24="NE","Blocked - no evidence","Out of scope")),IF(G24&gt;=2,IF(OR($A24="D7",$A24="D3"),"Mandatory / urgent","Foundational / enabling"),IF(G24=1,"Value-led","Deferred / monitor"))))</f>
        <v/>
      </c>
      <c r="K24" s="38">
        <f>'1. Capability catalog'!N24</f>
        <v/>
      </c>
      <c r="L24" s="38">
        <f>'1. Capability catalog'!F24</f>
        <v/>
      </c>
    </row>
    <row r="25" ht="26" customHeight="1">
      <c r="A25" s="11" t="inlineStr">
        <is>
          <t>D4</t>
        </is>
      </c>
      <c r="B25" s="12" t="inlineStr">
        <is>
          <t>4.6</t>
        </is>
      </c>
      <c r="C25" s="13" t="inlineStr">
        <is>
          <t>AI Evaluation &amp; Testing</t>
        </is>
      </c>
      <c r="D25" s="38">
        <f>'1. Capability catalog'!E25</f>
        <v/>
      </c>
      <c r="E25" s="19">
        <f>'1. Capability catalog'!K25</f>
        <v/>
      </c>
      <c r="F25" s="19">
        <f>'1. Capability catalog'!L25</f>
        <v/>
      </c>
      <c r="G25" s="19">
        <f>IF(AND(ISNUMBER('1. Capability catalog'!K25),ISNUMBER('1. Capability catalog'!L25)),MAX(0,'1. Capability catalog'!L25-'1. Capability catalog'!K25),"")</f>
        <v/>
      </c>
      <c r="H25" s="19">
        <f>'1. Capability catalog'!M25</f>
        <v/>
      </c>
      <c r="I25" s="19">
        <f>IF(AND(ISNUMBER('1. Capability catalog'!K25),ISNUMBER('1. Capability catalog'!M25)),'1. Capability catalog'!M25-'1. Capability catalog'!K25,"")</f>
        <v/>
      </c>
      <c r="J25" s="38">
        <f>IF('1. Capability catalog'!K25="","not rated",IF(NOT(ISNUMBER('1. Capability catalog'!K25)),IF('1. Capability catalog'!K25="UC","Blocked - applicability",IF('1. Capability catalog'!K25="NE","Blocked - no evidence","Out of scope")),IF(G25&gt;=2,IF(OR($A25="D7",$A25="D3"),"Mandatory / urgent","Foundational / enabling"),IF(G25=1,"Value-led","Deferred / monitor"))))</f>
        <v/>
      </c>
      <c r="K25" s="38">
        <f>'1. Capability catalog'!N25</f>
        <v/>
      </c>
      <c r="L25" s="38">
        <f>'1. Capability catalog'!F25</f>
        <v/>
      </c>
    </row>
    <row r="26" ht="26" customHeight="1">
      <c r="A26" s="11" t="inlineStr">
        <is>
          <t>D4</t>
        </is>
      </c>
      <c r="B26" s="12" t="inlineStr">
        <is>
          <t>4.7</t>
        </is>
      </c>
      <c r="C26" s="13" t="inlineStr">
        <is>
          <t>AI Release &amp; Change Management</t>
        </is>
      </c>
      <c r="D26" s="38">
        <f>'1. Capability catalog'!E26</f>
        <v/>
      </c>
      <c r="E26" s="19">
        <f>'1. Capability catalog'!K26</f>
        <v/>
      </c>
      <c r="F26" s="19">
        <f>'1. Capability catalog'!L26</f>
        <v/>
      </c>
      <c r="G26" s="19">
        <f>IF(AND(ISNUMBER('1. Capability catalog'!K26),ISNUMBER('1. Capability catalog'!L26)),MAX(0,'1. Capability catalog'!L26-'1. Capability catalog'!K26),"")</f>
        <v/>
      </c>
      <c r="H26" s="19">
        <f>'1. Capability catalog'!M26</f>
        <v/>
      </c>
      <c r="I26" s="19">
        <f>IF(AND(ISNUMBER('1. Capability catalog'!K26),ISNUMBER('1. Capability catalog'!M26)),'1. Capability catalog'!M26-'1. Capability catalog'!K26,"")</f>
        <v/>
      </c>
      <c r="J26" s="38">
        <f>IF('1. Capability catalog'!K26="","not rated",IF(NOT(ISNUMBER('1. Capability catalog'!K26)),IF('1. Capability catalog'!K26="UC","Blocked - applicability",IF('1. Capability catalog'!K26="NE","Blocked - no evidence","Out of scope")),IF(G26&gt;=2,IF(OR($A26="D7",$A26="D3"),"Mandatory / urgent","Foundational / enabling"),IF(G26=1,"Value-led","Deferred / monitor"))))</f>
        <v/>
      </c>
      <c r="K26" s="38">
        <f>'1. Capability catalog'!N26</f>
        <v/>
      </c>
      <c r="L26" s="38">
        <f>'1. Capability catalog'!F26</f>
        <v/>
      </c>
    </row>
    <row r="27" ht="26" customHeight="1">
      <c r="A27" s="11" t="inlineStr">
        <is>
          <t>D5</t>
        </is>
      </c>
      <c r="B27" s="12" t="inlineStr">
        <is>
          <t>5.1</t>
        </is>
      </c>
      <c r="C27" s="13" t="inlineStr">
        <is>
          <t>AI Platform Service Provisioning</t>
        </is>
      </c>
      <c r="D27" s="38">
        <f>'1. Capability catalog'!E27</f>
        <v/>
      </c>
      <c r="E27" s="19">
        <f>'1. Capability catalog'!K27</f>
        <v/>
      </c>
      <c r="F27" s="19">
        <f>'1. Capability catalog'!L27</f>
        <v/>
      </c>
      <c r="G27" s="19">
        <f>IF(AND(ISNUMBER('1. Capability catalog'!K27),ISNUMBER('1. Capability catalog'!L27)),MAX(0,'1. Capability catalog'!L27-'1. Capability catalog'!K27),"")</f>
        <v/>
      </c>
      <c r="H27" s="19">
        <f>'1. Capability catalog'!M27</f>
        <v/>
      </c>
      <c r="I27" s="19">
        <f>IF(AND(ISNUMBER('1. Capability catalog'!K27),ISNUMBER('1. Capability catalog'!M27)),'1. Capability catalog'!M27-'1. Capability catalog'!K27,"")</f>
        <v/>
      </c>
      <c r="J27" s="38">
        <f>IF('1. Capability catalog'!K27="","not rated",IF(NOT(ISNUMBER('1. Capability catalog'!K27)),IF('1. Capability catalog'!K27="UC","Blocked - applicability",IF('1. Capability catalog'!K27="NE","Blocked - no evidence","Out of scope")),IF(G27&gt;=2,IF(OR($A27="D7",$A27="D3"),"Mandatory / urgent","Foundational / enabling"),IF(G27=1,"Value-led","Deferred / monitor"))))</f>
        <v/>
      </c>
      <c r="K27" s="38">
        <f>'1. Capability catalog'!N27</f>
        <v/>
      </c>
      <c r="L27" s="38">
        <f>'1. Capability catalog'!F27</f>
        <v/>
      </c>
    </row>
    <row r="28" ht="26" customHeight="1">
      <c r="A28" s="11" t="inlineStr">
        <is>
          <t>D5</t>
        </is>
      </c>
      <c r="B28" s="12" t="inlineStr">
        <is>
          <t>5.2</t>
        </is>
      </c>
      <c r="C28" s="13" t="inlineStr">
        <is>
          <t>Model Access &amp; Traffic Management</t>
        </is>
      </c>
      <c r="D28" s="38">
        <f>'1. Capability catalog'!E28</f>
        <v/>
      </c>
      <c r="E28" s="19">
        <f>'1. Capability catalog'!K28</f>
        <v/>
      </c>
      <c r="F28" s="19">
        <f>'1. Capability catalog'!L28</f>
        <v/>
      </c>
      <c r="G28" s="19">
        <f>IF(AND(ISNUMBER('1. Capability catalog'!K28),ISNUMBER('1. Capability catalog'!L28)),MAX(0,'1. Capability catalog'!L28-'1. Capability catalog'!K28),"")</f>
        <v/>
      </c>
      <c r="H28" s="19">
        <f>'1. Capability catalog'!M28</f>
        <v/>
      </c>
      <c r="I28" s="19">
        <f>IF(AND(ISNUMBER('1. Capability catalog'!K28),ISNUMBER('1. Capability catalog'!M28)),'1. Capability catalog'!M28-'1. Capability catalog'!K28,"")</f>
        <v/>
      </c>
      <c r="J28" s="38">
        <f>IF('1. Capability catalog'!K28="","not rated",IF(NOT(ISNUMBER('1. Capability catalog'!K28)),IF('1. Capability catalog'!K28="UC","Blocked - applicability",IF('1. Capability catalog'!K28="NE","Blocked - no evidence","Out of scope")),IF(G28&gt;=2,IF(OR($A28="D7",$A28="D3"),"Mandatory / urgent","Foundational / enabling"),IF(G28=1,"Value-led","Deferred / monitor"))))</f>
        <v/>
      </c>
      <c r="K28" s="38">
        <f>'1. Capability catalog'!N28</f>
        <v/>
      </c>
      <c r="L28" s="38">
        <f>'1. Capability catalog'!F28</f>
        <v/>
      </c>
    </row>
    <row r="29" ht="26" customHeight="1">
      <c r="A29" s="11" t="inlineStr">
        <is>
          <t>D5</t>
        </is>
      </c>
      <c r="B29" s="12" t="inlineStr">
        <is>
          <t>5.3</t>
        </is>
      </c>
      <c r="C29" s="13" t="inlineStr">
        <is>
          <t>AI Environment &amp; Workspace Management</t>
        </is>
      </c>
      <c r="D29" s="38">
        <f>'1. Capability catalog'!E29</f>
        <v/>
      </c>
      <c r="E29" s="19">
        <f>'1. Capability catalog'!K29</f>
        <v/>
      </c>
      <c r="F29" s="19">
        <f>'1. Capability catalog'!L29</f>
        <v/>
      </c>
      <c r="G29" s="19">
        <f>IF(AND(ISNUMBER('1. Capability catalog'!K29),ISNUMBER('1. Capability catalog'!L29)),MAX(0,'1. Capability catalog'!L29-'1. Capability catalog'!K29),"")</f>
        <v/>
      </c>
      <c r="H29" s="19">
        <f>'1. Capability catalog'!M29</f>
        <v/>
      </c>
      <c r="I29" s="19">
        <f>IF(AND(ISNUMBER('1. Capability catalog'!K29),ISNUMBER('1. Capability catalog'!M29)),'1. Capability catalog'!M29-'1. Capability catalog'!K29,"")</f>
        <v/>
      </c>
      <c r="J29" s="38">
        <f>IF('1. Capability catalog'!K29="","not rated",IF(NOT(ISNUMBER('1. Capability catalog'!K29)),IF('1. Capability catalog'!K29="UC","Blocked - applicability",IF('1. Capability catalog'!K29="NE","Blocked - no evidence","Out of scope")),IF(G29&gt;=2,IF(OR($A29="D7",$A29="D3"),"Mandatory / urgent","Foundational / enabling"),IF(G29=1,"Value-led","Deferred / monitor"))))</f>
        <v/>
      </c>
      <c r="K29" s="38">
        <f>'1. Capability catalog'!N29</f>
        <v/>
      </c>
      <c r="L29" s="38">
        <f>'1. Capability catalog'!F29</f>
        <v/>
      </c>
    </row>
    <row r="30" ht="26" customHeight="1">
      <c r="A30" s="11" t="inlineStr">
        <is>
          <t>D5</t>
        </is>
      </c>
      <c r="B30" s="12" t="inlineStr">
        <is>
          <t>5.4</t>
        </is>
      </c>
      <c r="C30" s="13" t="inlineStr">
        <is>
          <t>AI Compute &amp; Capacity Management</t>
        </is>
      </c>
      <c r="D30" s="38">
        <f>'1. Capability catalog'!E30</f>
        <v/>
      </c>
      <c r="E30" s="19">
        <f>'1. Capability catalog'!K30</f>
        <v/>
      </c>
      <c r="F30" s="19">
        <f>'1. Capability catalog'!L30</f>
        <v/>
      </c>
      <c r="G30" s="19">
        <f>IF(AND(ISNUMBER('1. Capability catalog'!K30),ISNUMBER('1. Capability catalog'!L30)),MAX(0,'1. Capability catalog'!L30-'1. Capability catalog'!K30),"")</f>
        <v/>
      </c>
      <c r="H30" s="19">
        <f>'1. Capability catalog'!M30</f>
        <v/>
      </c>
      <c r="I30" s="19">
        <f>IF(AND(ISNUMBER('1. Capability catalog'!K30),ISNUMBER('1. Capability catalog'!M30)),'1. Capability catalog'!M30-'1. Capability catalog'!K30,"")</f>
        <v/>
      </c>
      <c r="J30" s="38">
        <f>IF('1. Capability catalog'!K30="","not rated",IF(NOT(ISNUMBER('1. Capability catalog'!K30)),IF('1. Capability catalog'!K30="UC","Blocked - applicability",IF('1. Capability catalog'!K30="NE","Blocked - no evidence","Out of scope")),IF(G30&gt;=2,IF(OR($A30="D7",$A30="D3"),"Mandatory / urgent","Foundational / enabling"),IF(G30=1,"Value-led","Deferred / monitor"))))</f>
        <v/>
      </c>
      <c r="K30" s="38">
        <f>'1. Capability catalog'!N30</f>
        <v/>
      </c>
      <c r="L30" s="38">
        <f>'1. Capability catalog'!F30</f>
        <v/>
      </c>
    </row>
    <row r="31" ht="26" customHeight="1">
      <c r="A31" s="11" t="inlineStr">
        <is>
          <t>D5</t>
        </is>
      </c>
      <c r="B31" s="12" t="inlineStr">
        <is>
          <t>5.5</t>
        </is>
      </c>
      <c r="C31" s="13" t="inlineStr">
        <is>
          <t>Tool &amp; Connector Catalog Management</t>
        </is>
      </c>
      <c r="D31" s="38">
        <f>'1. Capability catalog'!E31</f>
        <v/>
      </c>
      <c r="E31" s="19">
        <f>'1. Capability catalog'!K31</f>
        <v/>
      </c>
      <c r="F31" s="19">
        <f>'1. Capability catalog'!L31</f>
        <v/>
      </c>
      <c r="G31" s="19">
        <f>IF(AND(ISNUMBER('1. Capability catalog'!K31),ISNUMBER('1. Capability catalog'!L31)),MAX(0,'1. Capability catalog'!L31-'1. Capability catalog'!K31),"")</f>
        <v/>
      </c>
      <c r="H31" s="19">
        <f>'1. Capability catalog'!M31</f>
        <v/>
      </c>
      <c r="I31" s="19">
        <f>IF(AND(ISNUMBER('1. Capability catalog'!K31),ISNUMBER('1. Capability catalog'!M31)),'1. Capability catalog'!M31-'1. Capability catalog'!K31,"")</f>
        <v/>
      </c>
      <c r="J31" s="38">
        <f>IF('1. Capability catalog'!K31="","not rated",IF(NOT(ISNUMBER('1. Capability catalog'!K31)),IF('1. Capability catalog'!K31="UC","Blocked - applicability",IF('1. Capability catalog'!K31="NE","Blocked - no evidence","Out of scope")),IF(G31&gt;=2,IF(OR($A31="D7",$A31="D3"),"Mandatory / urgent","Foundational / enabling"),IF(G31=1,"Value-led","Deferred / monitor"))))</f>
        <v/>
      </c>
      <c r="K31" s="38">
        <f>'1. Capability catalog'!N31</f>
        <v/>
      </c>
      <c r="L31" s="38">
        <f>'1. Capability catalog'!F31</f>
        <v/>
      </c>
    </row>
    <row r="32" ht="26" customHeight="1">
      <c r="A32" s="11" t="inlineStr">
        <is>
          <t>D5</t>
        </is>
      </c>
      <c r="B32" s="12" t="inlineStr">
        <is>
          <t>5.6</t>
        </is>
      </c>
      <c r="C32" s="13" t="inlineStr">
        <is>
          <t>AI Developer Experience &amp; Reuse Assets</t>
        </is>
      </c>
      <c r="D32" s="38">
        <f>'1. Capability catalog'!E32</f>
        <v/>
      </c>
      <c r="E32" s="19">
        <f>'1. Capability catalog'!K32</f>
        <v/>
      </c>
      <c r="F32" s="19">
        <f>'1. Capability catalog'!L32</f>
        <v/>
      </c>
      <c r="G32" s="19">
        <f>IF(AND(ISNUMBER('1. Capability catalog'!K32),ISNUMBER('1. Capability catalog'!L32)),MAX(0,'1. Capability catalog'!L32-'1. Capability catalog'!K32),"")</f>
        <v/>
      </c>
      <c r="H32" s="19">
        <f>'1. Capability catalog'!M32</f>
        <v/>
      </c>
      <c r="I32" s="19">
        <f>IF(AND(ISNUMBER('1. Capability catalog'!K32),ISNUMBER('1. Capability catalog'!M32)),'1. Capability catalog'!M32-'1. Capability catalog'!K32,"")</f>
        <v/>
      </c>
      <c r="J32" s="38">
        <f>IF('1. Capability catalog'!K32="","not rated",IF(NOT(ISNUMBER('1. Capability catalog'!K32)),IF('1. Capability catalog'!K32="UC","Blocked - applicability",IF('1. Capability catalog'!K32="NE","Blocked - no evidence","Out of scope")),IF(G32&gt;=2,IF(OR($A32="D7",$A32="D3"),"Mandatory / urgent","Foundational / enabling"),IF(G32=1,"Value-led","Deferred / monitor"))))</f>
        <v/>
      </c>
      <c r="K32" s="38">
        <f>'1. Capability catalog'!N32</f>
        <v/>
      </c>
      <c r="L32" s="38">
        <f>'1. Capability catalog'!F32</f>
        <v/>
      </c>
    </row>
    <row r="33" ht="26" customHeight="1">
      <c r="A33" s="11" t="inlineStr">
        <is>
          <t>D6</t>
        </is>
      </c>
      <c r="B33" s="12" t="inlineStr">
        <is>
          <t>6.1</t>
        </is>
      </c>
      <c r="C33" s="13" t="inlineStr">
        <is>
          <t>AI Deployment &amp; Serving Operations</t>
        </is>
      </c>
      <c r="D33" s="38">
        <f>'1. Capability catalog'!E33</f>
        <v/>
      </c>
      <c r="E33" s="19">
        <f>'1. Capability catalog'!K33</f>
        <v/>
      </c>
      <c r="F33" s="19">
        <f>'1. Capability catalog'!L33</f>
        <v/>
      </c>
      <c r="G33" s="19">
        <f>IF(AND(ISNUMBER('1. Capability catalog'!K33),ISNUMBER('1. Capability catalog'!L33)),MAX(0,'1. Capability catalog'!L33-'1. Capability catalog'!K33),"")</f>
        <v/>
      </c>
      <c r="H33" s="19">
        <f>'1. Capability catalog'!M33</f>
        <v/>
      </c>
      <c r="I33" s="19">
        <f>IF(AND(ISNUMBER('1. Capability catalog'!K33),ISNUMBER('1. Capability catalog'!M33)),'1. Capability catalog'!M33-'1. Capability catalog'!K33,"")</f>
        <v/>
      </c>
      <c r="J33" s="38">
        <f>IF('1. Capability catalog'!K33="","not rated",IF(NOT(ISNUMBER('1. Capability catalog'!K33)),IF('1. Capability catalog'!K33="UC","Blocked - applicability",IF('1. Capability catalog'!K33="NE","Blocked - no evidence","Out of scope")),IF(G33&gt;=2,IF(OR($A33="D7",$A33="D3"),"Mandatory / urgent","Foundational / enabling"),IF(G33=1,"Value-led","Deferred / monitor"))))</f>
        <v/>
      </c>
      <c r="K33" s="38">
        <f>'1. Capability catalog'!N33</f>
        <v/>
      </c>
      <c r="L33" s="38">
        <f>'1. Capability catalog'!F33</f>
        <v/>
      </c>
    </row>
    <row r="34" ht="26" customHeight="1">
      <c r="A34" s="11" t="inlineStr">
        <is>
          <t>D6</t>
        </is>
      </c>
      <c r="B34" s="12" t="inlineStr">
        <is>
          <t>6.2</t>
        </is>
      </c>
      <c r="C34" s="13" t="inlineStr">
        <is>
          <t>AI Monitoring &amp; Observability</t>
        </is>
      </c>
      <c r="D34" s="38">
        <f>'1. Capability catalog'!E34</f>
        <v/>
      </c>
      <c r="E34" s="19">
        <f>'1. Capability catalog'!K34</f>
        <v/>
      </c>
      <c r="F34" s="19">
        <f>'1. Capability catalog'!L34</f>
        <v/>
      </c>
      <c r="G34" s="19">
        <f>IF(AND(ISNUMBER('1. Capability catalog'!K34),ISNUMBER('1. Capability catalog'!L34)),MAX(0,'1. Capability catalog'!L34-'1. Capability catalog'!K34),"")</f>
        <v/>
      </c>
      <c r="H34" s="19">
        <f>'1. Capability catalog'!M34</f>
        <v/>
      </c>
      <c r="I34" s="19">
        <f>IF(AND(ISNUMBER('1. Capability catalog'!K34),ISNUMBER('1. Capability catalog'!M34)),'1. Capability catalog'!M34-'1. Capability catalog'!K34,"")</f>
        <v/>
      </c>
      <c r="J34" s="38">
        <f>IF('1. Capability catalog'!K34="","not rated",IF(NOT(ISNUMBER('1. Capability catalog'!K34)),IF('1. Capability catalog'!K34="UC","Blocked - applicability",IF('1. Capability catalog'!K34="NE","Blocked - no evidence","Out of scope")),IF(G34&gt;=2,IF(OR($A34="D7",$A34="D3"),"Mandatory / urgent","Foundational / enabling"),IF(G34=1,"Value-led","Deferred / monitor"))))</f>
        <v/>
      </c>
      <c r="K34" s="38">
        <f>'1. Capability catalog'!N34</f>
        <v/>
      </c>
      <c r="L34" s="38">
        <f>'1. Capability catalog'!F34</f>
        <v/>
      </c>
    </row>
    <row r="35" ht="26" customHeight="1">
      <c r="A35" s="11" t="inlineStr">
        <is>
          <t>D6</t>
        </is>
      </c>
      <c r="B35" s="12" t="inlineStr">
        <is>
          <t>6.3</t>
        </is>
      </c>
      <c r="C35" s="13" t="inlineStr">
        <is>
          <t>Continuous Evaluation, Drift &amp; Quality Management</t>
        </is>
      </c>
      <c r="D35" s="38">
        <f>'1. Capability catalog'!E35</f>
        <v/>
      </c>
      <c r="E35" s="19">
        <f>'1. Capability catalog'!K35</f>
        <v/>
      </c>
      <c r="F35" s="19">
        <f>'1. Capability catalog'!L35</f>
        <v/>
      </c>
      <c r="G35" s="19">
        <f>IF(AND(ISNUMBER('1. Capability catalog'!K35),ISNUMBER('1. Capability catalog'!L35)),MAX(0,'1. Capability catalog'!L35-'1. Capability catalog'!K35),"")</f>
        <v/>
      </c>
      <c r="H35" s="19">
        <f>'1. Capability catalog'!M35</f>
        <v/>
      </c>
      <c r="I35" s="19">
        <f>IF(AND(ISNUMBER('1. Capability catalog'!K35),ISNUMBER('1. Capability catalog'!M35)),'1. Capability catalog'!M35-'1. Capability catalog'!K35,"")</f>
        <v/>
      </c>
      <c r="J35" s="38">
        <f>IF('1. Capability catalog'!K35="","not rated",IF(NOT(ISNUMBER('1. Capability catalog'!K35)),IF('1. Capability catalog'!K35="UC","Blocked - applicability",IF('1. Capability catalog'!K35="NE","Blocked - no evidence","Out of scope")),IF(G35&gt;=2,IF(OR($A35="D7",$A35="D3"),"Mandatory / urgent","Foundational / enabling"),IF(G35=1,"Value-led","Deferred / monitor"))))</f>
        <v/>
      </c>
      <c r="K35" s="38">
        <f>'1. Capability catalog'!N35</f>
        <v/>
      </c>
      <c r="L35" s="38">
        <f>'1. Capability catalog'!F35</f>
        <v/>
      </c>
    </row>
    <row r="36" ht="26" customHeight="1">
      <c r="A36" s="11" t="inlineStr">
        <is>
          <t>D6</t>
        </is>
      </c>
      <c r="B36" s="12" t="inlineStr">
        <is>
          <t>6.4</t>
        </is>
      </c>
      <c r="C36" s="13" t="inlineStr">
        <is>
          <t>AI Incident &amp; Problem Management</t>
        </is>
      </c>
      <c r="D36" s="38">
        <f>'1. Capability catalog'!E36</f>
        <v/>
      </c>
      <c r="E36" s="19">
        <f>'1. Capability catalog'!K36</f>
        <v/>
      </c>
      <c r="F36" s="19">
        <f>'1. Capability catalog'!L36</f>
        <v/>
      </c>
      <c r="G36" s="19">
        <f>IF(AND(ISNUMBER('1. Capability catalog'!K36),ISNUMBER('1. Capability catalog'!L36)),MAX(0,'1. Capability catalog'!L36-'1. Capability catalog'!K36),"")</f>
        <v/>
      </c>
      <c r="H36" s="19">
        <f>'1. Capability catalog'!M36</f>
        <v/>
      </c>
      <c r="I36" s="19">
        <f>IF(AND(ISNUMBER('1. Capability catalog'!K36),ISNUMBER('1. Capability catalog'!M36)),'1. Capability catalog'!M36-'1. Capability catalog'!K36,"")</f>
        <v/>
      </c>
      <c r="J36" s="38">
        <f>IF('1. Capability catalog'!K36="","not rated",IF(NOT(ISNUMBER('1. Capability catalog'!K36)),IF('1. Capability catalog'!K36="UC","Blocked - applicability",IF('1. Capability catalog'!K36="NE","Blocked - no evidence","Out of scope")),IF(G36&gt;=2,IF(OR($A36="D7",$A36="D3"),"Mandatory / urgent","Foundational / enabling"),IF(G36=1,"Value-led","Deferred / monitor"))))</f>
        <v/>
      </c>
      <c r="K36" s="38">
        <f>'1. Capability catalog'!N36</f>
        <v/>
      </c>
      <c r="L36" s="38">
        <f>'1. Capability catalog'!F36</f>
        <v/>
      </c>
    </row>
    <row r="37" ht="26" customHeight="1">
      <c r="A37" s="11" t="inlineStr">
        <is>
          <t>D6</t>
        </is>
      </c>
      <c r="B37" s="12" t="inlineStr">
        <is>
          <t>6.5</t>
        </is>
      </c>
      <c r="C37" s="13" t="inlineStr">
        <is>
          <t>AI Cost Management</t>
        </is>
      </c>
      <c r="D37" s="38">
        <f>'1. Capability catalog'!E37</f>
        <v/>
      </c>
      <c r="E37" s="19">
        <f>'1. Capability catalog'!K37</f>
        <v/>
      </c>
      <c r="F37" s="19">
        <f>'1. Capability catalog'!L37</f>
        <v/>
      </c>
      <c r="G37" s="19">
        <f>IF(AND(ISNUMBER('1. Capability catalog'!K37),ISNUMBER('1. Capability catalog'!L37)),MAX(0,'1. Capability catalog'!L37-'1. Capability catalog'!K37),"")</f>
        <v/>
      </c>
      <c r="H37" s="19">
        <f>'1. Capability catalog'!M37</f>
        <v/>
      </c>
      <c r="I37" s="19">
        <f>IF(AND(ISNUMBER('1. Capability catalog'!K37),ISNUMBER('1. Capability catalog'!M37)),'1. Capability catalog'!M37-'1. Capability catalog'!K37,"")</f>
        <v/>
      </c>
      <c r="J37" s="38">
        <f>IF('1. Capability catalog'!K37="","not rated",IF(NOT(ISNUMBER('1. Capability catalog'!K37)),IF('1. Capability catalog'!K37="UC","Blocked - applicability",IF('1. Capability catalog'!K37="NE","Blocked - no evidence","Out of scope")),IF(G37&gt;=2,IF(OR($A37="D7",$A37="D3"),"Mandatory / urgent","Foundational / enabling"),IF(G37=1,"Value-led","Deferred / monitor"))))</f>
        <v/>
      </c>
      <c r="K37" s="38">
        <f>'1. Capability catalog'!N37</f>
        <v/>
      </c>
      <c r="L37" s="38">
        <f>'1. Capability catalog'!F37</f>
        <v/>
      </c>
    </row>
    <row r="38" ht="26" customHeight="1">
      <c r="A38" s="11" t="inlineStr">
        <is>
          <t>D6</t>
        </is>
      </c>
      <c r="B38" s="12" t="inlineStr">
        <is>
          <t>6.6</t>
        </is>
      </c>
      <c r="C38" s="13" t="inlineStr">
        <is>
          <t>AI Asset Retirement &amp; Evidence Preservation</t>
        </is>
      </c>
      <c r="D38" s="38">
        <f>'1. Capability catalog'!E38</f>
        <v/>
      </c>
      <c r="E38" s="19">
        <f>'1. Capability catalog'!K38</f>
        <v/>
      </c>
      <c r="F38" s="19">
        <f>'1. Capability catalog'!L38</f>
        <v/>
      </c>
      <c r="G38" s="19">
        <f>IF(AND(ISNUMBER('1. Capability catalog'!K38),ISNUMBER('1. Capability catalog'!L38)),MAX(0,'1. Capability catalog'!L38-'1. Capability catalog'!K38),"")</f>
        <v/>
      </c>
      <c r="H38" s="19">
        <f>'1. Capability catalog'!M38</f>
        <v/>
      </c>
      <c r="I38" s="19">
        <f>IF(AND(ISNUMBER('1. Capability catalog'!K38),ISNUMBER('1. Capability catalog'!M38)),'1. Capability catalog'!M38-'1. Capability catalog'!K38,"")</f>
        <v/>
      </c>
      <c r="J38" s="38">
        <f>IF('1. Capability catalog'!K38="","not rated",IF(NOT(ISNUMBER('1. Capability catalog'!K38)),IF('1. Capability catalog'!K38="UC","Blocked - applicability",IF('1. Capability catalog'!K38="NE","Blocked - no evidence","Out of scope")),IF(G38&gt;=2,IF(OR($A38="D7",$A38="D3"),"Mandatory / urgent","Foundational / enabling"),IF(G38=1,"Value-led","Deferred / monitor"))))</f>
        <v/>
      </c>
      <c r="K38" s="38">
        <f>'1. Capability catalog'!N38</f>
        <v/>
      </c>
      <c r="L38" s="38">
        <f>'1. Capability catalog'!F38</f>
        <v/>
      </c>
    </row>
    <row r="39" ht="26" customHeight="1">
      <c r="A39" s="11" t="inlineStr">
        <is>
          <t>D7</t>
        </is>
      </c>
      <c r="B39" s="12" t="inlineStr">
        <is>
          <t>7.1</t>
        </is>
      </c>
      <c r="C39" s="13" t="inlineStr">
        <is>
          <t>AI Policy, Standards &amp; Management System</t>
        </is>
      </c>
      <c r="D39" s="38">
        <f>'1. Capability catalog'!E39</f>
        <v/>
      </c>
      <c r="E39" s="19">
        <f>'1. Capability catalog'!K39</f>
        <v/>
      </c>
      <c r="F39" s="19">
        <f>'1. Capability catalog'!L39</f>
        <v/>
      </c>
      <c r="G39" s="19">
        <f>IF(AND(ISNUMBER('1. Capability catalog'!K39),ISNUMBER('1. Capability catalog'!L39)),MAX(0,'1. Capability catalog'!L39-'1. Capability catalog'!K39),"")</f>
        <v/>
      </c>
      <c r="H39" s="19">
        <f>'1. Capability catalog'!M39</f>
        <v/>
      </c>
      <c r="I39" s="19">
        <f>IF(AND(ISNUMBER('1. Capability catalog'!K39),ISNUMBER('1. Capability catalog'!M39)),'1. Capability catalog'!M39-'1. Capability catalog'!K39,"")</f>
        <v/>
      </c>
      <c r="J39" s="38">
        <f>IF('1. Capability catalog'!K39="","not rated",IF(NOT(ISNUMBER('1. Capability catalog'!K39)),IF('1. Capability catalog'!K39="UC","Blocked - applicability",IF('1. Capability catalog'!K39="NE","Blocked - no evidence","Out of scope")),IF(G39&gt;=2,IF(OR($A39="D7",$A39="D3"),"Mandatory / urgent","Foundational / enabling"),IF(G39=1,"Value-led","Deferred / monitor"))))</f>
        <v/>
      </c>
      <c r="K39" s="38">
        <f>'1. Capability catalog'!N39</f>
        <v/>
      </c>
      <c r="L39" s="38">
        <f>'1. Capability catalog'!F39</f>
        <v/>
      </c>
    </row>
    <row r="40" ht="26" customHeight="1">
      <c r="A40" s="11" t="inlineStr">
        <is>
          <t>D7</t>
        </is>
      </c>
      <c r="B40" s="12" t="inlineStr">
        <is>
          <t>7.2</t>
        </is>
      </c>
      <c r="C40" s="13" t="inlineStr">
        <is>
          <t>Responsible &amp; Trustworthy AI Practice</t>
        </is>
      </c>
      <c r="D40" s="38">
        <f>'1. Capability catalog'!E40</f>
        <v/>
      </c>
      <c r="E40" s="19">
        <f>'1. Capability catalog'!K40</f>
        <v/>
      </c>
      <c r="F40" s="19">
        <f>'1. Capability catalog'!L40</f>
        <v/>
      </c>
      <c r="G40" s="19">
        <f>IF(AND(ISNUMBER('1. Capability catalog'!K40),ISNUMBER('1. Capability catalog'!L40)),MAX(0,'1. Capability catalog'!L40-'1. Capability catalog'!K40),"")</f>
        <v/>
      </c>
      <c r="H40" s="19">
        <f>'1. Capability catalog'!M40</f>
        <v/>
      </c>
      <c r="I40" s="19">
        <f>IF(AND(ISNUMBER('1. Capability catalog'!K40),ISNUMBER('1. Capability catalog'!M40)),'1. Capability catalog'!M40-'1. Capability catalog'!K40,"")</f>
        <v/>
      </c>
      <c r="J40" s="38">
        <f>IF('1. Capability catalog'!K40="","not rated",IF(NOT(ISNUMBER('1. Capability catalog'!K40)),IF('1. Capability catalog'!K40="UC","Blocked - applicability",IF('1. Capability catalog'!K40="NE","Blocked - no evidence","Out of scope")),IF(G40&gt;=2,IF(OR($A40="D7",$A40="D3"),"Mandatory / urgent","Foundational / enabling"),IF(G40=1,"Value-led","Deferred / monitor"))))</f>
        <v/>
      </c>
      <c r="K40" s="38">
        <f>'1. Capability catalog'!N40</f>
        <v/>
      </c>
      <c r="L40" s="38">
        <f>'1. Capability catalog'!F40</f>
        <v/>
      </c>
    </row>
    <row r="41" ht="26" customHeight="1">
      <c r="A41" s="11" t="inlineStr">
        <is>
          <t>D7</t>
        </is>
      </c>
      <c r="B41" s="12" t="inlineStr">
        <is>
          <t>7.3</t>
        </is>
      </c>
      <c r="C41" s="13" t="inlineStr">
        <is>
          <t>AI Risk Management</t>
        </is>
      </c>
      <c r="D41" s="38">
        <f>'1. Capability catalog'!E41</f>
        <v/>
      </c>
      <c r="E41" s="19">
        <f>'1. Capability catalog'!K41</f>
        <v/>
      </c>
      <c r="F41" s="19">
        <f>'1. Capability catalog'!L41</f>
        <v/>
      </c>
      <c r="G41" s="19">
        <f>IF(AND(ISNUMBER('1. Capability catalog'!K41),ISNUMBER('1. Capability catalog'!L41)),MAX(0,'1. Capability catalog'!L41-'1. Capability catalog'!K41),"")</f>
        <v/>
      </c>
      <c r="H41" s="19">
        <f>'1. Capability catalog'!M41</f>
        <v/>
      </c>
      <c r="I41" s="19">
        <f>IF(AND(ISNUMBER('1. Capability catalog'!K41),ISNUMBER('1. Capability catalog'!M41)),'1. Capability catalog'!M41-'1. Capability catalog'!K41,"")</f>
        <v/>
      </c>
      <c r="J41" s="38">
        <f>IF('1. Capability catalog'!K41="","not rated",IF(NOT(ISNUMBER('1. Capability catalog'!K41)),IF('1. Capability catalog'!K41="UC","Blocked - applicability",IF('1. Capability catalog'!K41="NE","Blocked - no evidence","Out of scope")),IF(G41&gt;=2,IF(OR($A41="D7",$A41="D3"),"Mandatory / urgent","Foundational / enabling"),IF(G41=1,"Value-led","Deferred / monitor"))))</f>
        <v/>
      </c>
      <c r="K41" s="38">
        <f>'1. Capability catalog'!N41</f>
        <v/>
      </c>
      <c r="L41" s="38">
        <f>'1. Capability catalog'!F41</f>
        <v/>
      </c>
    </row>
    <row r="42" ht="26" customHeight="1">
      <c r="A42" s="11" t="inlineStr">
        <is>
          <t>D7</t>
        </is>
      </c>
      <c r="B42" s="12" t="inlineStr">
        <is>
          <t>7.4</t>
        </is>
      </c>
      <c r="C42" s="13" t="inlineStr">
        <is>
          <t>AI Security &amp; Resilience</t>
        </is>
      </c>
      <c r="D42" s="38">
        <f>'1. Capability catalog'!E42</f>
        <v/>
      </c>
      <c r="E42" s="19">
        <f>'1. Capability catalog'!K42</f>
        <v/>
      </c>
      <c r="F42" s="19">
        <f>'1. Capability catalog'!L42</f>
        <v/>
      </c>
      <c r="G42" s="19">
        <f>IF(AND(ISNUMBER('1. Capability catalog'!K42),ISNUMBER('1. Capability catalog'!L42)),MAX(0,'1. Capability catalog'!L42-'1. Capability catalog'!K42),"")</f>
        <v/>
      </c>
      <c r="H42" s="19">
        <f>'1. Capability catalog'!M42</f>
        <v/>
      </c>
      <c r="I42" s="19">
        <f>IF(AND(ISNUMBER('1. Capability catalog'!K42),ISNUMBER('1. Capability catalog'!M42)),'1. Capability catalog'!M42-'1. Capability catalog'!K42,"")</f>
        <v/>
      </c>
      <c r="J42" s="38">
        <f>IF('1. Capability catalog'!K42="","not rated",IF(NOT(ISNUMBER('1. Capability catalog'!K42)),IF('1. Capability catalog'!K42="UC","Blocked - applicability",IF('1. Capability catalog'!K42="NE","Blocked - no evidence","Out of scope")),IF(G42&gt;=2,IF(OR($A42="D7",$A42="D3"),"Mandatory / urgent","Foundational / enabling"),IF(G42=1,"Value-led","Deferred / monitor"))))</f>
        <v/>
      </c>
      <c r="K42" s="38">
        <f>'1. Capability catalog'!N42</f>
        <v/>
      </c>
      <c r="L42" s="38">
        <f>'1. Capability catalog'!F42</f>
        <v/>
      </c>
    </row>
    <row r="43" ht="26" customHeight="1">
      <c r="A43" s="11" t="inlineStr">
        <is>
          <t>D7</t>
        </is>
      </c>
      <c r="B43" s="12" t="inlineStr">
        <is>
          <t>7.5</t>
        </is>
      </c>
      <c r="C43" s="13" t="inlineStr">
        <is>
          <t>Privacy &amp; Data Protection for AI</t>
        </is>
      </c>
      <c r="D43" s="38">
        <f>'1. Capability catalog'!E43</f>
        <v/>
      </c>
      <c r="E43" s="19">
        <f>'1. Capability catalog'!K43</f>
        <v/>
      </c>
      <c r="F43" s="19">
        <f>'1. Capability catalog'!L43</f>
        <v/>
      </c>
      <c r="G43" s="19">
        <f>IF(AND(ISNUMBER('1. Capability catalog'!K43),ISNUMBER('1. Capability catalog'!L43)),MAX(0,'1. Capability catalog'!L43-'1. Capability catalog'!K43),"")</f>
        <v/>
      </c>
      <c r="H43" s="19">
        <f>'1. Capability catalog'!M43</f>
        <v/>
      </c>
      <c r="I43" s="19">
        <f>IF(AND(ISNUMBER('1. Capability catalog'!K43),ISNUMBER('1. Capability catalog'!M43)),'1. Capability catalog'!M43-'1. Capability catalog'!K43,"")</f>
        <v/>
      </c>
      <c r="J43" s="38">
        <f>IF('1. Capability catalog'!K43="","not rated",IF(NOT(ISNUMBER('1. Capability catalog'!K43)),IF('1. Capability catalog'!K43="UC","Blocked - applicability",IF('1. Capability catalog'!K43="NE","Blocked - no evidence","Out of scope")),IF(G43&gt;=2,IF(OR($A43="D7",$A43="D3"),"Mandatory / urgent","Foundational / enabling"),IF(G43=1,"Value-led","Deferred / monitor"))))</f>
        <v/>
      </c>
      <c r="K43" s="38">
        <f>'1. Capability catalog'!N43</f>
        <v/>
      </c>
      <c r="L43" s="38">
        <f>'1. Capability catalog'!F43</f>
        <v/>
      </c>
    </row>
    <row r="44" ht="26" customHeight="1">
      <c r="A44" s="11" t="inlineStr">
        <is>
          <t>D7</t>
        </is>
      </c>
      <c r="B44" s="12" t="inlineStr">
        <is>
          <t>7.6</t>
        </is>
      </c>
      <c r="C44" s="13" t="inlineStr">
        <is>
          <t>Legal, Regulatory &amp; Contractual Compliance for AI</t>
        </is>
      </c>
      <c r="D44" s="38">
        <f>'1. Capability catalog'!E44</f>
        <v/>
      </c>
      <c r="E44" s="19">
        <f>'1. Capability catalog'!K44</f>
        <v/>
      </c>
      <c r="F44" s="19">
        <f>'1. Capability catalog'!L44</f>
        <v/>
      </c>
      <c r="G44" s="19">
        <f>IF(AND(ISNUMBER('1. Capability catalog'!K44),ISNUMBER('1. Capability catalog'!L44)),MAX(0,'1. Capability catalog'!L44-'1. Capability catalog'!K44),"")</f>
        <v/>
      </c>
      <c r="H44" s="19">
        <f>'1. Capability catalog'!M44</f>
        <v/>
      </c>
      <c r="I44" s="19">
        <f>IF(AND(ISNUMBER('1. Capability catalog'!K44),ISNUMBER('1. Capability catalog'!M44)),'1. Capability catalog'!M44-'1. Capability catalog'!K44,"")</f>
        <v/>
      </c>
      <c r="J44" s="38">
        <f>IF('1. Capability catalog'!K44="","not rated",IF(NOT(ISNUMBER('1. Capability catalog'!K44)),IF('1. Capability catalog'!K44="UC","Blocked - applicability",IF('1. Capability catalog'!K44="NE","Blocked - no evidence","Out of scope")),IF(G44&gt;=2,IF(OR($A44="D7",$A44="D3"),"Mandatory / urgent","Foundational / enabling"),IF(G44=1,"Value-led","Deferred / monitor"))))</f>
        <v/>
      </c>
      <c r="K44" s="38">
        <f>'1. Capability catalog'!N44</f>
        <v/>
      </c>
      <c r="L44" s="38">
        <f>'1. Capability catalog'!F44</f>
        <v/>
      </c>
    </row>
    <row r="45" ht="26" customHeight="1">
      <c r="A45" s="11" t="inlineStr">
        <is>
          <t>D7</t>
        </is>
      </c>
      <c r="B45" s="12" t="inlineStr">
        <is>
          <t>7.7</t>
        </is>
      </c>
      <c r="C45" s="13" t="inlineStr">
        <is>
          <t>AI System &amp; Agent Inventory Management</t>
        </is>
      </c>
      <c r="D45" s="38">
        <f>'1. Capability catalog'!E45</f>
        <v/>
      </c>
      <c r="E45" s="19">
        <f>'1. Capability catalog'!K45</f>
        <v/>
      </c>
      <c r="F45" s="19">
        <f>'1. Capability catalog'!L45</f>
        <v/>
      </c>
      <c r="G45" s="19">
        <f>IF(AND(ISNUMBER('1. Capability catalog'!K45),ISNUMBER('1. Capability catalog'!L45)),MAX(0,'1. Capability catalog'!L45-'1. Capability catalog'!K45),"")</f>
        <v/>
      </c>
      <c r="H45" s="19">
        <f>'1. Capability catalog'!M45</f>
        <v/>
      </c>
      <c r="I45" s="19">
        <f>IF(AND(ISNUMBER('1. Capability catalog'!K45),ISNUMBER('1. Capability catalog'!M45)),'1. Capability catalog'!M45-'1. Capability catalog'!K45,"")</f>
        <v/>
      </c>
      <c r="J45" s="38">
        <f>IF('1. Capability catalog'!K45="","not rated",IF(NOT(ISNUMBER('1. Capability catalog'!K45)),IF('1. Capability catalog'!K45="UC","Blocked - applicability",IF('1. Capability catalog'!K45="NE","Blocked - no evidence","Out of scope")),IF(G45&gt;=2,IF(OR($A45="D7",$A45="D3"),"Mandatory / urgent","Foundational / enabling"),IF(G45=1,"Value-led","Deferred / monitor"))))</f>
        <v/>
      </c>
      <c r="K45" s="38">
        <f>'1. Capability catalog'!N45</f>
        <v/>
      </c>
      <c r="L45" s="38">
        <f>'1. Capability catalog'!F45</f>
        <v/>
      </c>
    </row>
    <row r="46" ht="26" customHeight="1">
      <c r="A46" s="11" t="inlineStr">
        <is>
          <t>D7</t>
        </is>
      </c>
      <c r="B46" s="12" t="inlineStr">
        <is>
          <t>7.8</t>
        </is>
      </c>
      <c r="C46" s="13" t="inlineStr">
        <is>
          <t>AI Assurance &amp; Evidence Management</t>
        </is>
      </c>
      <c r="D46" s="38">
        <f>'1. Capability catalog'!E46</f>
        <v/>
      </c>
      <c r="E46" s="19">
        <f>'1. Capability catalog'!K46</f>
        <v/>
      </c>
      <c r="F46" s="19">
        <f>'1. Capability catalog'!L46</f>
        <v/>
      </c>
      <c r="G46" s="19">
        <f>IF(AND(ISNUMBER('1. Capability catalog'!K46),ISNUMBER('1. Capability catalog'!L46)),MAX(0,'1. Capability catalog'!L46-'1. Capability catalog'!K46),"")</f>
        <v/>
      </c>
      <c r="H46" s="19">
        <f>'1. Capability catalog'!M46</f>
        <v/>
      </c>
      <c r="I46" s="19">
        <f>IF(AND(ISNUMBER('1. Capability catalog'!K46),ISNUMBER('1. Capability catalog'!M46)),'1. Capability catalog'!M46-'1. Capability catalog'!K46,"")</f>
        <v/>
      </c>
      <c r="J46" s="38">
        <f>IF('1. Capability catalog'!K46="","not rated",IF(NOT(ISNUMBER('1. Capability catalog'!K46)),IF('1. Capability catalog'!K46="UC","Blocked - applicability",IF('1. Capability catalog'!K46="NE","Blocked - no evidence","Out of scope")),IF(G46&gt;=2,IF(OR($A46="D7",$A46="D3"),"Mandatory / urgent","Foundational / enabling"),IF(G46=1,"Value-led","Deferred / monitor"))))</f>
        <v/>
      </c>
      <c r="K46" s="38">
        <f>'1. Capability catalog'!N46</f>
        <v/>
      </c>
      <c r="L46" s="38">
        <f>'1. Capability catalog'!F46</f>
        <v/>
      </c>
    </row>
    <row r="47" ht="26" customHeight="1">
      <c r="A47" s="11" t="inlineStr">
        <is>
          <t>D7</t>
        </is>
      </c>
      <c r="B47" s="12" t="inlineStr">
        <is>
          <t>7.9</t>
        </is>
      </c>
      <c r="C47" s="13" t="inlineStr">
        <is>
          <t>AI Impact Assessment &amp; Risk Classification</t>
        </is>
      </c>
      <c r="D47" s="38">
        <f>'1. Capability catalog'!E47</f>
        <v/>
      </c>
      <c r="E47" s="19">
        <f>'1. Capability catalog'!K47</f>
        <v/>
      </c>
      <c r="F47" s="19">
        <f>'1. Capability catalog'!L47</f>
        <v/>
      </c>
      <c r="G47" s="19">
        <f>IF(AND(ISNUMBER('1. Capability catalog'!K47),ISNUMBER('1. Capability catalog'!L47)),MAX(0,'1. Capability catalog'!L47-'1. Capability catalog'!K47),"")</f>
        <v/>
      </c>
      <c r="H47" s="19">
        <f>'1. Capability catalog'!M47</f>
        <v/>
      </c>
      <c r="I47" s="19">
        <f>IF(AND(ISNUMBER('1. Capability catalog'!K47),ISNUMBER('1. Capability catalog'!M47)),'1. Capability catalog'!M47-'1. Capability catalog'!K47,"")</f>
        <v/>
      </c>
      <c r="J47" s="38">
        <f>IF('1. Capability catalog'!K47="","not rated",IF(NOT(ISNUMBER('1. Capability catalog'!K47)),IF('1. Capability catalog'!K47="UC","Blocked - applicability",IF('1. Capability catalog'!K47="NE","Blocked - no evidence","Out of scope")),IF(G47&gt;=2,IF(OR($A47="D7",$A47="D3"),"Mandatory / urgent","Foundational / enabling"),IF(G47=1,"Value-led","Deferred / monitor"))))</f>
        <v/>
      </c>
      <c r="K47" s="38">
        <f>'1. Capability catalog'!N47</f>
        <v/>
      </c>
      <c r="L47" s="38">
        <f>'1. Capability catalog'!F47</f>
        <v/>
      </c>
    </row>
    <row r="48" ht="26" customHeight="1">
      <c r="A48" s="11" t="inlineStr">
        <is>
          <t>D8</t>
        </is>
      </c>
      <c r="B48" s="12" t="inlineStr">
        <is>
          <t>8.1</t>
        </is>
      </c>
      <c r="C48" s="13" t="inlineStr">
        <is>
          <t>AI Operating Model &amp; Decision Rights</t>
        </is>
      </c>
      <c r="D48" s="38">
        <f>'1. Capability catalog'!E48</f>
        <v/>
      </c>
      <c r="E48" s="19">
        <f>'1. Capability catalog'!K48</f>
        <v/>
      </c>
      <c r="F48" s="19">
        <f>'1. Capability catalog'!L48</f>
        <v/>
      </c>
      <c r="G48" s="19">
        <f>IF(AND(ISNUMBER('1. Capability catalog'!K48),ISNUMBER('1. Capability catalog'!L48)),MAX(0,'1. Capability catalog'!L48-'1. Capability catalog'!K48),"")</f>
        <v/>
      </c>
      <c r="H48" s="19">
        <f>'1. Capability catalog'!M48</f>
        <v/>
      </c>
      <c r="I48" s="19">
        <f>IF(AND(ISNUMBER('1. Capability catalog'!K48),ISNUMBER('1. Capability catalog'!M48)),'1. Capability catalog'!M48-'1. Capability catalog'!K48,"")</f>
        <v/>
      </c>
      <c r="J48" s="38">
        <f>IF('1. Capability catalog'!K48="","not rated",IF(NOT(ISNUMBER('1. Capability catalog'!K48)),IF('1. Capability catalog'!K48="UC","Blocked - applicability",IF('1. Capability catalog'!K48="NE","Blocked - no evidence","Out of scope")),IF(G48&gt;=2,IF(OR($A48="D7",$A48="D3"),"Mandatory / urgent","Foundational / enabling"),IF(G48=1,"Value-led","Deferred / monitor"))))</f>
        <v/>
      </c>
      <c r="K48" s="38">
        <f>'1. Capability catalog'!N48</f>
        <v/>
      </c>
      <c r="L48" s="38">
        <f>'1. Capability catalog'!F48</f>
        <v/>
      </c>
    </row>
    <row r="49" ht="26" customHeight="1">
      <c r="A49" s="11" t="inlineStr">
        <is>
          <t>D8</t>
        </is>
      </c>
      <c r="B49" s="12" t="inlineStr">
        <is>
          <t>8.2</t>
        </is>
      </c>
      <c r="C49" s="13" t="inlineStr">
        <is>
          <t>AI Skills &amp; Specialist Capability Building</t>
        </is>
      </c>
      <c r="D49" s="38">
        <f>'1. Capability catalog'!E49</f>
        <v/>
      </c>
      <c r="E49" s="19">
        <f>'1. Capability catalog'!K49</f>
        <v/>
      </c>
      <c r="F49" s="19">
        <f>'1. Capability catalog'!L49</f>
        <v/>
      </c>
      <c r="G49" s="19">
        <f>IF(AND(ISNUMBER('1. Capability catalog'!K49),ISNUMBER('1. Capability catalog'!L49)),MAX(0,'1. Capability catalog'!L49-'1. Capability catalog'!K49),"")</f>
        <v/>
      </c>
      <c r="H49" s="19">
        <f>'1. Capability catalog'!M49</f>
        <v/>
      </c>
      <c r="I49" s="19">
        <f>IF(AND(ISNUMBER('1. Capability catalog'!K49),ISNUMBER('1. Capability catalog'!M49)),'1. Capability catalog'!M49-'1. Capability catalog'!K49,"")</f>
        <v/>
      </c>
      <c r="J49" s="38">
        <f>IF('1. Capability catalog'!K49="","not rated",IF(NOT(ISNUMBER('1. Capability catalog'!K49)),IF('1. Capability catalog'!K49="UC","Blocked - applicability",IF('1. Capability catalog'!K49="NE","Blocked - no evidence","Out of scope")),IF(G49&gt;=2,IF(OR($A49="D7",$A49="D3"),"Mandatory / urgent","Foundational / enabling"),IF(G49=1,"Value-led","Deferred / monitor"))))</f>
        <v/>
      </c>
      <c r="K49" s="38">
        <f>'1. Capability catalog'!N49</f>
        <v/>
      </c>
      <c r="L49" s="38">
        <f>'1. Capability catalog'!F49</f>
        <v/>
      </c>
    </row>
    <row r="50" ht="26" customHeight="1">
      <c r="A50" s="11" t="inlineStr">
        <is>
          <t>D8</t>
        </is>
      </c>
      <c r="B50" s="12" t="inlineStr">
        <is>
          <t>8.3</t>
        </is>
      </c>
      <c r="C50" s="13" t="inlineStr">
        <is>
          <t>AI Literacy &amp; Awareness</t>
        </is>
      </c>
      <c r="D50" s="38">
        <f>'1. Capability catalog'!E50</f>
        <v/>
      </c>
      <c r="E50" s="19">
        <f>'1. Capability catalog'!K50</f>
        <v/>
      </c>
      <c r="F50" s="19">
        <f>'1. Capability catalog'!L50</f>
        <v/>
      </c>
      <c r="G50" s="19">
        <f>IF(AND(ISNUMBER('1. Capability catalog'!K50),ISNUMBER('1. Capability catalog'!L50)),MAX(0,'1. Capability catalog'!L50-'1. Capability catalog'!K50),"")</f>
        <v/>
      </c>
      <c r="H50" s="19">
        <f>'1. Capability catalog'!M50</f>
        <v/>
      </c>
      <c r="I50" s="19">
        <f>IF(AND(ISNUMBER('1. Capability catalog'!K50),ISNUMBER('1. Capability catalog'!M50)),'1. Capability catalog'!M50-'1. Capability catalog'!K50,"")</f>
        <v/>
      </c>
      <c r="J50" s="38">
        <f>IF('1. Capability catalog'!K50="","not rated",IF(NOT(ISNUMBER('1. Capability catalog'!K50)),IF('1. Capability catalog'!K50="UC","Blocked - applicability",IF('1. Capability catalog'!K50="NE","Blocked - no evidence","Out of scope")),IF(G50&gt;=2,IF(OR($A50="D7",$A50="D3"),"Mandatory / urgent","Foundational / enabling"),IF(G50=1,"Value-led","Deferred / monitor"))))</f>
        <v/>
      </c>
      <c r="K50" s="38">
        <f>'1. Capability catalog'!N50</f>
        <v/>
      </c>
      <c r="L50" s="38">
        <f>'1. Capability catalog'!F50</f>
        <v/>
      </c>
    </row>
    <row r="51" ht="26" customHeight="1">
      <c r="A51" s="11" t="inlineStr">
        <is>
          <t>D8</t>
        </is>
      </c>
      <c r="B51" s="12" t="inlineStr">
        <is>
          <t>8.4</t>
        </is>
      </c>
      <c r="C51" s="13" t="inlineStr">
        <is>
          <t>AI Adoption, Enablement &amp; Support</t>
        </is>
      </c>
      <c r="D51" s="38">
        <f>'1. Capability catalog'!E51</f>
        <v/>
      </c>
      <c r="E51" s="19">
        <f>'1. Capability catalog'!K51</f>
        <v/>
      </c>
      <c r="F51" s="19">
        <f>'1. Capability catalog'!L51</f>
        <v/>
      </c>
      <c r="G51" s="19">
        <f>IF(AND(ISNUMBER('1. Capability catalog'!K51),ISNUMBER('1. Capability catalog'!L51)),MAX(0,'1. Capability catalog'!L51-'1. Capability catalog'!K51),"")</f>
        <v/>
      </c>
      <c r="H51" s="19">
        <f>'1. Capability catalog'!M51</f>
        <v/>
      </c>
      <c r="I51" s="19">
        <f>IF(AND(ISNUMBER('1. Capability catalog'!K51),ISNUMBER('1. Capability catalog'!M51)),'1. Capability catalog'!M51-'1. Capability catalog'!K51,"")</f>
        <v/>
      </c>
      <c r="J51" s="38">
        <f>IF('1. Capability catalog'!K51="","not rated",IF(NOT(ISNUMBER('1. Capability catalog'!K51)),IF('1. Capability catalog'!K51="UC","Blocked - applicability",IF('1. Capability catalog'!K51="NE","Blocked - no evidence","Out of scope")),IF(G51&gt;=2,IF(OR($A51="D7",$A51="D3"),"Mandatory / urgent","Foundational / enabling"),IF(G51=1,"Value-led","Deferred / monitor"))))</f>
        <v/>
      </c>
      <c r="K51" s="38">
        <f>'1. Capability catalog'!N51</f>
        <v/>
      </c>
      <c r="L51" s="38">
        <f>'1. Capability catalog'!F51</f>
        <v/>
      </c>
    </row>
    <row r="52" ht="26" customHeight="1">
      <c r="A52" s="11" t="inlineStr">
        <is>
          <t>D8</t>
        </is>
      </c>
      <c r="B52" s="12" t="inlineStr">
        <is>
          <t>8.5</t>
        </is>
      </c>
      <c r="C52" s="13" t="inlineStr">
        <is>
          <t>AI Change Management &amp; Workforce Transition</t>
        </is>
      </c>
      <c r="D52" s="38">
        <f>'1. Capability catalog'!E52</f>
        <v/>
      </c>
      <c r="E52" s="19">
        <f>'1. Capability catalog'!K52</f>
        <v/>
      </c>
      <c r="F52" s="19">
        <f>'1. Capability catalog'!L52</f>
        <v/>
      </c>
      <c r="G52" s="19">
        <f>IF(AND(ISNUMBER('1. Capability catalog'!K52),ISNUMBER('1. Capability catalog'!L52)),MAX(0,'1. Capability catalog'!L52-'1. Capability catalog'!K52),"")</f>
        <v/>
      </c>
      <c r="H52" s="19">
        <f>'1. Capability catalog'!M52</f>
        <v/>
      </c>
      <c r="I52" s="19">
        <f>IF(AND(ISNUMBER('1. Capability catalog'!K52),ISNUMBER('1. Capability catalog'!M52)),'1. Capability catalog'!M52-'1. Capability catalog'!K52,"")</f>
        <v/>
      </c>
      <c r="J52" s="38">
        <f>IF('1. Capability catalog'!K52="","not rated",IF(NOT(ISNUMBER('1. Capability catalog'!K52)),IF('1. Capability catalog'!K52="UC","Blocked - applicability",IF('1. Capability catalog'!K52="NE","Blocked - no evidence","Out of scope")),IF(G52&gt;=2,IF(OR($A52="D7",$A52="D3"),"Mandatory / urgent","Foundational / enabling"),IF(G52=1,"Value-led","Deferred / monitor"))))</f>
        <v/>
      </c>
      <c r="K52" s="38">
        <f>'1. Capability catalog'!N52</f>
        <v/>
      </c>
      <c r="L52" s="38">
        <f>'1. Capability catalog'!F52</f>
        <v/>
      </c>
    </row>
    <row r="53" ht="26" customHeight="1">
      <c r="A53" s="11" t="inlineStr">
        <is>
          <t>D8</t>
        </is>
      </c>
      <c r="B53" s="12" t="inlineStr">
        <is>
          <t>8.6</t>
        </is>
      </c>
      <c r="C53" s="13" t="inlineStr">
        <is>
          <t>AI Community &amp; Reuse Culture</t>
        </is>
      </c>
      <c r="D53" s="38">
        <f>'1. Capability catalog'!E53</f>
        <v/>
      </c>
      <c r="E53" s="19">
        <f>'1. Capability catalog'!K53</f>
        <v/>
      </c>
      <c r="F53" s="19">
        <f>'1. Capability catalog'!L53</f>
        <v/>
      </c>
      <c r="G53" s="19">
        <f>IF(AND(ISNUMBER('1. Capability catalog'!K53),ISNUMBER('1. Capability catalog'!L53)),MAX(0,'1. Capability catalog'!L53-'1. Capability catalog'!K53),"")</f>
        <v/>
      </c>
      <c r="H53" s="19">
        <f>'1. Capability catalog'!M53</f>
        <v/>
      </c>
      <c r="I53" s="19">
        <f>IF(AND(ISNUMBER('1. Capability catalog'!K53),ISNUMBER('1. Capability catalog'!M53)),'1. Capability catalog'!M53-'1. Capability catalog'!K53,"")</f>
        <v/>
      </c>
      <c r="J53" s="38">
        <f>IF('1. Capability catalog'!K53="","not rated",IF(NOT(ISNUMBER('1. Capability catalog'!K53)),IF('1. Capability catalog'!K53="UC","Blocked - applicability",IF('1. Capability catalog'!K53="NE","Blocked - no evidence","Out of scope")),IF(G53&gt;=2,IF(OR($A53="D7",$A53="D3"),"Mandatory / urgent","Foundational / enabling"),IF(G53=1,"Value-led","Deferred / monitor"))))</f>
        <v/>
      </c>
      <c r="K53" s="38">
        <f>'1. Capability catalog'!N53</f>
        <v/>
      </c>
      <c r="L53" s="38">
        <f>'1. Capability catalog'!F53</f>
        <v/>
      </c>
    </row>
    <row r="55" ht="50" customHeight="1">
      <c r="A55" s="22" t="inlineStr">
        <is>
          <t>Column I is the READINESS LEAD: how far supply has run ahead of the institution's ability to use it. A positive lead with an empty column K is an unexplained claim - the product is packaged and nobody has said why the capability still trails. Priority is a governed decision, not a subtraction: a three-level gap can be low priority and a one-level gap can be urgent. Lanes are a starting proposal; a Priority Decision record settles each one.</t>
        </is>
      </c>
    </row>
  </sheetData>
  <autoFilter ref="A1:L53"/>
  <mergeCells count="1">
    <mergeCell ref="A55:L55"/>
  </mergeCells>
  <conditionalFormatting sqref="I2:I53">
    <cfRule type="cellIs" priority="1" operator="greaterThanOrEqual" dxfId="6">
      <formula>2</formula>
    </cfRule>
  </conditionalFormatting>
  <pageMargins left="0.75" right="0.75" top="1" bottom="1" header="0.5" footer="0.5"/>
</worksheet>
</file>

<file path=xl/worksheets/sheet7.xml><?xml version="1.0" encoding="utf-8"?>
<worksheet xmlns="http://schemas.openxmlformats.org/spreadsheetml/2006/main">
  <sheetPr>
    <outlinePr summaryBelow="0" summaryRight="1"/>
    <pageSetUpPr/>
  </sheetPr>
  <dimension ref="A1:K3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30" customWidth="1" min="3" max="3"/>
    <col width="10" customWidth="1" min="4" max="4"/>
    <col width="38" customWidth="1" min="5" max="5"/>
    <col width="66" customWidth="1" min="6" max="6"/>
    <col width="8" customWidth="1" min="7" max="7"/>
    <col width="26" customWidth="1" min="8" max="8"/>
    <col width="26" customWidth="1" min="9" max="9"/>
    <col width="24" customWidth="1" min="10" max="10"/>
    <col width="22" customWidth="1" min="11" max="11"/>
  </cols>
  <sheetData>
    <row r="1" ht="32" customHeight="1">
      <c r="A1" s="10" t="inlineStr">
        <is>
          <t>Domain</t>
        </is>
      </c>
      <c r="B1" s="10" t="inlineStr">
        <is>
          <t>Capability ID</t>
        </is>
      </c>
      <c r="C1" s="10" t="inlineStr">
        <is>
          <t>Capability</t>
        </is>
      </c>
      <c r="D1" s="10" t="inlineStr">
        <is>
          <t>Criterion ID</t>
        </is>
      </c>
      <c r="E1" s="10" t="inlineStr">
        <is>
          <t>Criterion</t>
        </is>
      </c>
      <c r="F1" s="10" t="inlineStr">
        <is>
          <t>Definition</t>
        </is>
      </c>
      <c r="G1" s="10" t="inlineStr">
        <is>
          <t>Agentic</t>
        </is>
      </c>
      <c r="H1" s="10" t="inlineStr">
        <is>
          <t>Mandatory / conditional / enhancing</t>
        </is>
      </c>
      <c r="I1" s="10" t="inlineStr">
        <is>
          <t>Applicability trigger</t>
        </is>
      </c>
      <c r="J1" s="10" t="inlineStr">
        <is>
          <t>Evidence type</t>
        </is>
      </c>
      <c r="K1" s="10" t="inlineStr">
        <is>
          <t>Owner</t>
        </is>
      </c>
    </row>
    <row r="2" ht="20" customHeight="1">
      <c r="A2" s="39" t="inlineStr">
        <is>
          <t>D1</t>
        </is>
      </c>
      <c r="B2" s="40" t="inlineStr">
        <is>
          <t>1.1</t>
        </is>
      </c>
      <c r="C2" s="41" t="inlineStr">
        <is>
          <t>AI Vision &amp; Strategy Definition</t>
        </is>
      </c>
      <c r="D2" s="39" t="inlineStr"/>
      <c r="E2" s="39" t="inlineStr">
        <is>
          <t>5 criteria</t>
        </is>
      </c>
      <c r="F2" s="39" t="inlineStr">
        <is>
          <t>Chief AI Officer</t>
        </is>
      </c>
      <c r="G2" s="39" t="inlineStr"/>
      <c r="H2" s="39" t="inlineStr"/>
      <c r="I2" s="39" t="inlineStr"/>
      <c r="J2" s="39" t="inlineStr"/>
      <c r="K2" s="39" t="inlineStr"/>
    </row>
    <row r="3" outlineLevel="1" ht="26" customHeight="1">
      <c r="A3" s="11" t="inlineStr">
        <is>
          <t>D1</t>
        </is>
      </c>
      <c r="B3" s="11" t="inlineStr">
        <is>
          <t>1.1</t>
        </is>
      </c>
      <c r="C3" s="15" t="inlineStr">
        <is>
          <t>AI Vision &amp; Strategy Definition</t>
        </is>
      </c>
      <c r="D3" s="12" t="inlineStr">
        <is>
          <t>1.1.1</t>
        </is>
      </c>
      <c r="E3" s="13" t="inlineStr">
        <is>
          <t>AI Ambition &amp; Positioning</t>
        </is>
      </c>
      <c r="F3" s="14" t="inlineStr">
        <is>
          <t>Define what role AI plays in the institutional mandate and how far the organization intends to go.</t>
        </is>
      </c>
      <c r="G3" s="16" t="inlineStr"/>
      <c r="H3" s="20" t="n"/>
      <c r="I3" s="20" t="n"/>
      <c r="J3" s="20" t="n"/>
      <c r="K3" s="23" t="n"/>
    </row>
    <row r="4" outlineLevel="1" ht="26" customHeight="1">
      <c r="A4" s="11" t="inlineStr">
        <is>
          <t>D1</t>
        </is>
      </c>
      <c r="B4" s="11" t="inlineStr">
        <is>
          <t>1.1</t>
        </is>
      </c>
      <c r="C4" s="15" t="inlineStr">
        <is>
          <t>AI Vision &amp; Strategy Definition</t>
        </is>
      </c>
      <c r="D4" s="12" t="inlineStr">
        <is>
          <t>1.1.2</t>
        </is>
      </c>
      <c r="E4" s="13" t="inlineStr">
        <is>
          <t>AI Strategy Formulation &amp; Refresh</t>
        </is>
      </c>
      <c r="F4" s="14" t="inlineStr">
        <is>
          <t>Produce and periodically revise an endorsed AI strategy with explicit scope and stated exclusions.</t>
        </is>
      </c>
      <c r="G4" s="16" t="inlineStr"/>
      <c r="H4" s="20" t="n"/>
      <c r="I4" s="20" t="n"/>
      <c r="J4" s="20" t="n"/>
      <c r="K4" s="23" t="n"/>
    </row>
    <row r="5" outlineLevel="1" ht="26" customHeight="1">
      <c r="A5" s="11" t="inlineStr">
        <is>
          <t>D1</t>
        </is>
      </c>
      <c r="B5" s="11" t="inlineStr">
        <is>
          <t>1.1</t>
        </is>
      </c>
      <c r="C5" s="15" t="inlineStr">
        <is>
          <t>AI Vision &amp; Strategy Definition</t>
        </is>
      </c>
      <c r="D5" s="12" t="inlineStr">
        <is>
          <t>1.1.3</t>
        </is>
      </c>
      <c r="E5" s="13" t="inlineStr">
        <is>
          <t>Strategic Alignment to Institutional Priorities</t>
        </is>
      </c>
      <c r="F5" s="14" t="inlineStr">
        <is>
          <t>Trace every AI objective to a corporate goal, sector strategy or country program.</t>
        </is>
      </c>
      <c r="G5" s="16" t="inlineStr"/>
      <c r="H5" s="20" t="n"/>
      <c r="I5" s="20" t="n"/>
      <c r="J5" s="20" t="n"/>
      <c r="K5" s="23" t="n"/>
    </row>
    <row r="6" outlineLevel="1" ht="26" customHeight="1">
      <c r="A6" s="11" t="inlineStr">
        <is>
          <t>D1</t>
        </is>
      </c>
      <c r="B6" s="11" t="inlineStr">
        <is>
          <t>1.1</t>
        </is>
      </c>
      <c r="C6" s="15" t="inlineStr">
        <is>
          <t>AI Vision &amp; Strategy Definition</t>
        </is>
      </c>
      <c r="D6" s="12" t="inlineStr">
        <is>
          <t>1.1.4</t>
        </is>
      </c>
      <c r="E6" s="13" t="inlineStr">
        <is>
          <t>AI Principles &amp; Ethical Positioning</t>
        </is>
      </c>
      <c r="F6" s="14" t="inlineStr">
        <is>
          <t>Set the non-negotiable commitments that constrain all downstream AI decisions.</t>
        </is>
      </c>
      <c r="G6" s="16" t="inlineStr"/>
      <c r="H6" s="20" t="n"/>
      <c r="I6" s="20" t="n"/>
      <c r="J6" s="20" t="n"/>
      <c r="K6" s="23" t="n"/>
    </row>
    <row r="7" outlineLevel="1" ht="26" customHeight="1">
      <c r="A7" s="11" t="inlineStr">
        <is>
          <t>D1</t>
        </is>
      </c>
      <c r="B7" s="11" t="inlineStr">
        <is>
          <t>1.1</t>
        </is>
      </c>
      <c r="C7" s="15" t="inlineStr">
        <is>
          <t>AI Vision &amp; Strategy Definition</t>
        </is>
      </c>
      <c r="D7" s="12" t="inlineStr">
        <is>
          <t>1.1.5</t>
        </is>
      </c>
      <c r="E7" s="13" t="inlineStr">
        <is>
          <t>Horizon Scanning &amp; Technology Foresight</t>
        </is>
      </c>
      <c r="F7" s="14" t="inlineStr">
        <is>
          <t>Track emerging AI capability and judge what it changes for the institution.</t>
        </is>
      </c>
      <c r="G7" s="16" t="inlineStr"/>
      <c r="H7" s="20" t="n"/>
      <c r="I7" s="20" t="n"/>
      <c r="J7" s="20" t="n"/>
      <c r="K7" s="23" t="n"/>
    </row>
    <row r="8" ht="20" customHeight="1">
      <c r="A8" s="39" t="inlineStr">
        <is>
          <t>D1</t>
        </is>
      </c>
      <c r="B8" s="40" t="inlineStr">
        <is>
          <t>1.2</t>
        </is>
      </c>
      <c r="C8" s="41" t="inlineStr">
        <is>
          <t>AI Portfolio &amp; Investment Management</t>
        </is>
      </c>
      <c r="D8" s="39" t="inlineStr"/>
      <c r="E8" s="39" t="inlineStr">
        <is>
          <t>5 criteria</t>
        </is>
      </c>
      <c r="F8" s="39" t="inlineStr">
        <is>
          <t>Enterprise Portfolio Owner</t>
        </is>
      </c>
      <c r="G8" s="39" t="inlineStr"/>
      <c r="H8" s="39" t="inlineStr"/>
      <c r="I8" s="39" t="inlineStr"/>
      <c r="J8" s="39" t="inlineStr"/>
      <c r="K8" s="39" t="inlineStr"/>
    </row>
    <row r="9" outlineLevel="1" ht="26" customHeight="1">
      <c r="A9" s="11" t="inlineStr">
        <is>
          <t>D1</t>
        </is>
      </c>
      <c r="B9" s="11" t="inlineStr">
        <is>
          <t>1.2</t>
        </is>
      </c>
      <c r="C9" s="15" t="inlineStr">
        <is>
          <t>AI Portfolio &amp; Investment Management</t>
        </is>
      </c>
      <c r="D9" s="12" t="inlineStr">
        <is>
          <t>1.2.1</t>
        </is>
      </c>
      <c r="E9" s="13" t="inlineStr">
        <is>
          <t>AI Investment Case Development</t>
        </is>
      </c>
      <c r="F9" s="14" t="inlineStr">
        <is>
          <t>Build comparable business cases stating cost, benefit and risk on a common basis.</t>
        </is>
      </c>
      <c r="G9" s="16" t="inlineStr"/>
      <c r="H9" s="20" t="n"/>
      <c r="I9" s="20" t="n"/>
      <c r="J9" s="20" t="n"/>
      <c r="K9" s="23" t="n"/>
    </row>
    <row r="10" outlineLevel="1" ht="26" customHeight="1">
      <c r="A10" s="11" t="inlineStr">
        <is>
          <t>D1</t>
        </is>
      </c>
      <c r="B10" s="11" t="inlineStr">
        <is>
          <t>1.2</t>
        </is>
      </c>
      <c r="C10" s="15" t="inlineStr">
        <is>
          <t>AI Portfolio &amp; Investment Management</t>
        </is>
      </c>
      <c r="D10" s="12" t="inlineStr">
        <is>
          <t>1.2.2</t>
        </is>
      </c>
      <c r="E10" s="13" t="inlineStr">
        <is>
          <t>Portfolio Prioritization &amp; Sequencing</t>
        </is>
      </c>
      <c r="F10" s="14" t="inlineStr">
        <is>
          <t>Rank and stage the AI portfolio against delivery capacity, risk appetite and dependency.</t>
        </is>
      </c>
      <c r="G10" s="16" t="inlineStr"/>
      <c r="H10" s="20" t="n"/>
      <c r="I10" s="20" t="n"/>
      <c r="J10" s="20" t="n"/>
      <c r="K10" s="23" t="n"/>
    </row>
    <row r="11" outlineLevel="1" ht="26" customHeight="1">
      <c r="A11" s="11" t="inlineStr">
        <is>
          <t>D1</t>
        </is>
      </c>
      <c r="B11" s="11" t="inlineStr">
        <is>
          <t>1.2</t>
        </is>
      </c>
      <c r="C11" s="15" t="inlineStr">
        <is>
          <t>AI Portfolio &amp; Investment Management</t>
        </is>
      </c>
      <c r="D11" s="12" t="inlineStr">
        <is>
          <t>1.2.3</t>
        </is>
      </c>
      <c r="E11" s="13" t="inlineStr">
        <is>
          <t>Funding &amp; Budget Allocation</t>
        </is>
      </c>
      <c r="F11" s="14" t="inlineStr">
        <is>
          <t>Route funds to AI work through a mechanism that survives audit and annual planning.</t>
        </is>
      </c>
      <c r="G11" s="16" t="inlineStr"/>
      <c r="H11" s="20" t="n"/>
      <c r="I11" s="20" t="n"/>
      <c r="J11" s="20" t="n"/>
      <c r="K11" s="23" t="n"/>
    </row>
    <row r="12" outlineLevel="1" ht="26" customHeight="1">
      <c r="A12" s="11" t="inlineStr">
        <is>
          <t>D1</t>
        </is>
      </c>
      <c r="B12" s="11" t="inlineStr">
        <is>
          <t>1.2</t>
        </is>
      </c>
      <c r="C12" s="15" t="inlineStr">
        <is>
          <t>AI Portfolio &amp; Investment Management</t>
        </is>
      </c>
      <c r="D12" s="12" t="inlineStr">
        <is>
          <t>1.2.4</t>
        </is>
      </c>
      <c r="E12" s="13" t="inlineStr">
        <is>
          <t>Portfolio Balance &amp; Exposure Management</t>
        </is>
      </c>
      <c r="F12" s="14" t="inlineStr">
        <is>
          <t>Keep the mix of experimental, scaling and production AI within stated tolerance.</t>
        </is>
      </c>
      <c r="G12" s="16" t="inlineStr"/>
      <c r="H12" s="20" t="n"/>
      <c r="I12" s="20" t="n"/>
      <c r="J12" s="20" t="n"/>
      <c r="K12" s="23" t="n"/>
    </row>
    <row r="13" outlineLevel="1" ht="26" customHeight="1">
      <c r="A13" s="11" t="inlineStr">
        <is>
          <t>D1</t>
        </is>
      </c>
      <c r="B13" s="11" t="inlineStr">
        <is>
          <t>1.2</t>
        </is>
      </c>
      <c r="C13" s="15" t="inlineStr">
        <is>
          <t>AI Portfolio &amp; Investment Management</t>
        </is>
      </c>
      <c r="D13" s="12" t="inlineStr">
        <is>
          <t>1.2.5</t>
        </is>
      </c>
      <c r="E13" s="13" t="inlineStr">
        <is>
          <t>Stage-Gate &amp; Investment Review</t>
        </is>
      </c>
      <c r="F13" s="14" t="inlineStr">
        <is>
          <t>Decide continuation, pivot or termination at defined decision points on recorded criteria.</t>
        </is>
      </c>
      <c r="G13" s="16" t="inlineStr"/>
      <c r="H13" s="20" t="n"/>
      <c r="I13" s="20" t="n"/>
      <c r="J13" s="20" t="n"/>
      <c r="K13" s="23" t="n"/>
    </row>
    <row r="14" ht="20" customHeight="1">
      <c r="A14" s="39" t="inlineStr">
        <is>
          <t>D1</t>
        </is>
      </c>
      <c r="B14" s="40" t="inlineStr">
        <is>
          <t>1.3</t>
        </is>
      </c>
      <c r="C14" s="41" t="inlineStr">
        <is>
          <t>Value Realization &amp; Performance Reporting</t>
        </is>
      </c>
      <c r="D14" s="39" t="inlineStr"/>
      <c r="E14" s="39" t="inlineStr">
        <is>
          <t>5 criteria</t>
        </is>
      </c>
      <c r="F14" s="39" t="inlineStr">
        <is>
          <t>Strategy Performance Owner</t>
        </is>
      </c>
      <c r="G14" s="39" t="inlineStr"/>
      <c r="H14" s="39" t="inlineStr"/>
      <c r="I14" s="39" t="inlineStr"/>
      <c r="J14" s="39" t="inlineStr"/>
      <c r="K14" s="39" t="inlineStr"/>
    </row>
    <row r="15" outlineLevel="1" ht="26" customHeight="1">
      <c r="A15" s="11" t="inlineStr">
        <is>
          <t>D1</t>
        </is>
      </c>
      <c r="B15" s="11" t="inlineStr">
        <is>
          <t>1.3</t>
        </is>
      </c>
      <c r="C15" s="15" t="inlineStr">
        <is>
          <t>Value Realization &amp; Performance Reporting</t>
        </is>
      </c>
      <c r="D15" s="12" t="inlineStr">
        <is>
          <t>1.3.1</t>
        </is>
      </c>
      <c r="E15" s="13" t="inlineStr">
        <is>
          <t>Benefit Definition &amp; Baselining</t>
        </is>
      </c>
      <c r="F15" s="14" t="inlineStr">
        <is>
          <t>State expected benefit in measurable terms before build, with a recorded pre-intervention baseline.</t>
        </is>
      </c>
      <c r="G15" s="16" t="inlineStr"/>
      <c r="H15" s="20" t="n"/>
      <c r="I15" s="20" t="n"/>
      <c r="J15" s="20" t="n"/>
      <c r="K15" s="23" t="n"/>
    </row>
    <row r="16" outlineLevel="1" ht="26" customHeight="1">
      <c r="A16" s="11" t="inlineStr">
        <is>
          <t>D1</t>
        </is>
      </c>
      <c r="B16" s="11" t="inlineStr">
        <is>
          <t>1.3</t>
        </is>
      </c>
      <c r="C16" s="15" t="inlineStr">
        <is>
          <t>Value Realization &amp; Performance Reporting</t>
        </is>
      </c>
      <c r="D16" s="12" t="inlineStr">
        <is>
          <t>1.3.2</t>
        </is>
      </c>
      <c r="E16" s="13" t="inlineStr">
        <is>
          <t>Value Tracking &amp; Attribution</t>
        </is>
      </c>
      <c r="F16" s="14" t="inlineStr">
        <is>
          <t>Measure realized benefit and attribute it defensibly to the AI intervention rather than to trend.</t>
        </is>
      </c>
      <c r="G16" s="16" t="inlineStr"/>
      <c r="H16" s="20" t="n"/>
      <c r="I16" s="20" t="n"/>
      <c r="J16" s="20" t="n"/>
      <c r="K16" s="23" t="n"/>
    </row>
    <row r="17" outlineLevel="1" ht="26" customHeight="1">
      <c r="A17" s="11" t="inlineStr">
        <is>
          <t>D1</t>
        </is>
      </c>
      <c r="B17" s="11" t="inlineStr">
        <is>
          <t>1.3</t>
        </is>
      </c>
      <c r="C17" s="15" t="inlineStr">
        <is>
          <t>Value Realization &amp; Performance Reporting</t>
        </is>
      </c>
      <c r="D17" s="12" t="inlineStr">
        <is>
          <t>1.3.3</t>
        </is>
      </c>
      <c r="E17" s="13" t="inlineStr">
        <is>
          <t>AI Performance Metrics &amp; KPI Management</t>
        </is>
      </c>
      <c r="F17" s="14" t="inlineStr">
        <is>
          <t>Maintain the indicator set that describes AI performance institution-wide.</t>
        </is>
      </c>
      <c r="G17" s="16" t="inlineStr"/>
      <c r="H17" s="20" t="n"/>
      <c r="I17" s="20" t="n"/>
      <c r="J17" s="20" t="n"/>
      <c r="K17" s="23" t="n"/>
    </row>
    <row r="18" outlineLevel="1" ht="26" customHeight="1">
      <c r="A18" s="11" t="inlineStr">
        <is>
          <t>D1</t>
        </is>
      </c>
      <c r="B18" s="11" t="inlineStr">
        <is>
          <t>1.3</t>
        </is>
      </c>
      <c r="C18" s="15" t="inlineStr">
        <is>
          <t>Value Realization &amp; Performance Reporting</t>
        </is>
      </c>
      <c r="D18" s="12" t="inlineStr">
        <is>
          <t>1.3.4</t>
        </is>
      </c>
      <c r="E18" s="13" t="inlineStr">
        <is>
          <t>Executive &amp; Board Reporting</t>
        </is>
      </c>
      <c r="F18" s="14" t="inlineStr">
        <is>
          <t>Report AI status, risk and value to governing bodies at their cadence and in their language.</t>
        </is>
      </c>
      <c r="G18" s="16" t="inlineStr"/>
      <c r="H18" s="20" t="n"/>
      <c r="I18" s="20" t="n"/>
      <c r="J18" s="20" t="n"/>
      <c r="K18" s="23" t="n"/>
    </row>
    <row r="19" outlineLevel="1" ht="26" customHeight="1">
      <c r="A19" s="11" t="inlineStr">
        <is>
          <t>D1</t>
        </is>
      </c>
      <c r="B19" s="11" t="inlineStr">
        <is>
          <t>1.3</t>
        </is>
      </c>
      <c r="C19" s="15" t="inlineStr">
        <is>
          <t>Value Realization &amp; Performance Reporting</t>
        </is>
      </c>
      <c r="D19" s="12" t="inlineStr">
        <is>
          <t>1.3.5</t>
        </is>
      </c>
      <c r="E19" s="13" t="inlineStr">
        <is>
          <t>Post-Implementation Review</t>
        </is>
      </c>
      <c r="F19" s="14" t="inlineStr">
        <is>
          <t>Assess delivered outcomes against the approved case and feed findings back into prioritization.</t>
        </is>
      </c>
      <c r="G19" s="16" t="inlineStr"/>
      <c r="H19" s="20" t="n"/>
      <c r="I19" s="20" t="n"/>
      <c r="J19" s="20" t="n"/>
      <c r="K19" s="23" t="n"/>
    </row>
    <row r="20" ht="20" customHeight="1">
      <c r="A20" s="39" t="inlineStr">
        <is>
          <t>D1</t>
        </is>
      </c>
      <c r="B20" s="40" t="inlineStr">
        <is>
          <t>1.4</t>
        </is>
      </c>
      <c r="C20" s="41" t="inlineStr">
        <is>
          <t>AI Sourcing &amp; Partner Strategy</t>
        </is>
      </c>
      <c r="D20" s="39" t="inlineStr"/>
      <c r="E20" s="39" t="inlineStr">
        <is>
          <t>5 criteria</t>
        </is>
      </c>
      <c r="F20" s="39" t="inlineStr">
        <is>
          <t>Chief Procurement Officer</t>
        </is>
      </c>
      <c r="G20" s="39" t="inlineStr"/>
      <c r="H20" s="39" t="inlineStr"/>
      <c r="I20" s="39" t="inlineStr"/>
      <c r="J20" s="39" t="inlineStr"/>
      <c r="K20" s="39" t="inlineStr"/>
    </row>
    <row r="21" outlineLevel="1" ht="26" customHeight="1">
      <c r="A21" s="11" t="inlineStr">
        <is>
          <t>D1</t>
        </is>
      </c>
      <c r="B21" s="11" t="inlineStr">
        <is>
          <t>1.4</t>
        </is>
      </c>
      <c r="C21" s="15" t="inlineStr">
        <is>
          <t>AI Sourcing &amp; Partner Strategy</t>
        </is>
      </c>
      <c r="D21" s="12" t="inlineStr">
        <is>
          <t>1.4.1</t>
        </is>
      </c>
      <c r="E21" s="13" t="inlineStr">
        <is>
          <t>Build / Buy / Partner Decisioning</t>
        </is>
      </c>
      <c r="F21" s="14" t="inlineStr">
        <is>
          <t>Choose the sourcing route per capability with recorded rationale and revisit triggers.</t>
        </is>
      </c>
      <c r="G21" s="16" t="inlineStr"/>
      <c r="H21" s="20" t="n"/>
      <c r="I21" s="20" t="n"/>
      <c r="J21" s="20" t="n"/>
      <c r="K21" s="23" t="n"/>
    </row>
    <row r="22" outlineLevel="1" ht="26" customHeight="1">
      <c r="A22" s="11" t="inlineStr">
        <is>
          <t>D1</t>
        </is>
      </c>
      <c r="B22" s="11" t="inlineStr">
        <is>
          <t>1.4</t>
        </is>
      </c>
      <c r="C22" s="15" t="inlineStr">
        <is>
          <t>AI Sourcing &amp; Partner Strategy</t>
        </is>
      </c>
      <c r="D22" s="12" t="inlineStr">
        <is>
          <t>1.4.2</t>
        </is>
      </c>
      <c r="E22" s="13" t="inlineStr">
        <is>
          <t>AI Vendor &amp; Model Provider Evaluation</t>
        </is>
      </c>
      <c r="F22" s="14" t="inlineStr">
        <is>
          <t>Assess providers on capability, trustworthiness, transparency and cost of exit.</t>
        </is>
      </c>
      <c r="G22" s="16" t="inlineStr"/>
      <c r="H22" s="20" t="n"/>
      <c r="I22" s="20" t="n"/>
      <c r="J22" s="20" t="n"/>
      <c r="K22" s="23" t="n"/>
    </row>
    <row r="23" outlineLevel="1" ht="26" customHeight="1">
      <c r="A23" s="11" t="inlineStr">
        <is>
          <t>D1</t>
        </is>
      </c>
      <c r="B23" s="11" t="inlineStr">
        <is>
          <t>1.4</t>
        </is>
      </c>
      <c r="C23" s="15" t="inlineStr">
        <is>
          <t>AI Sourcing &amp; Partner Strategy</t>
        </is>
      </c>
      <c r="D23" s="12" t="inlineStr">
        <is>
          <t>1.4.3</t>
        </is>
      </c>
      <c r="E23" s="13" t="inlineStr">
        <is>
          <t>Contractual Safeguards &amp; AI Clauses</t>
        </is>
      </c>
      <c r="F23" s="14" t="inlineStr">
        <is>
          <t>Secure rights covering data use, IP, indemnity, audit access and notification of model change.</t>
        </is>
      </c>
      <c r="G23" s="16" t="inlineStr"/>
      <c r="H23" s="20" t="n"/>
      <c r="I23" s="20" t="n"/>
      <c r="J23" s="20" t="n"/>
      <c r="K23" s="23" t="n"/>
    </row>
    <row r="24" outlineLevel="1" ht="26" customHeight="1">
      <c r="A24" s="11" t="inlineStr">
        <is>
          <t>D1</t>
        </is>
      </c>
      <c r="B24" s="11" t="inlineStr">
        <is>
          <t>1.4</t>
        </is>
      </c>
      <c r="C24" s="15" t="inlineStr">
        <is>
          <t>AI Sourcing &amp; Partner Strategy</t>
        </is>
      </c>
      <c r="D24" s="12" t="inlineStr">
        <is>
          <t>1.4.4</t>
        </is>
      </c>
      <c r="E24" s="13" t="inlineStr">
        <is>
          <t>Concentration &amp; Exit Risk Management</t>
        </is>
      </c>
      <c r="F24" s="14" t="inlineStr">
        <is>
          <t>Limit dependence on any single provider and keep a tested, costed exit path.</t>
        </is>
      </c>
      <c r="G24" s="16" t="inlineStr"/>
      <c r="H24" s="20" t="n"/>
      <c r="I24" s="20" t="n"/>
      <c r="J24" s="20" t="n"/>
      <c r="K24" s="23" t="n"/>
    </row>
    <row r="25" outlineLevel="1" ht="26" customHeight="1">
      <c r="A25" s="11" t="inlineStr">
        <is>
          <t>D1</t>
        </is>
      </c>
      <c r="B25" s="11" t="inlineStr">
        <is>
          <t>1.4</t>
        </is>
      </c>
      <c r="C25" s="15" t="inlineStr">
        <is>
          <t>AI Sourcing &amp; Partner Strategy</t>
        </is>
      </c>
      <c r="D25" s="12" t="inlineStr">
        <is>
          <t>1.4.5</t>
        </is>
      </c>
      <c r="E25" s="13" t="inlineStr">
        <is>
          <t>Supplier Performance &amp; Assurance Monitoring</t>
        </is>
      </c>
      <c r="F25" s="14" t="inlineStr">
        <is>
          <t>Monitor contracted providers against their obligations and assurance commitments for the life of the relationship.</t>
        </is>
      </c>
      <c r="G25" s="16" t="inlineStr"/>
      <c r="H25" s="20" t="n"/>
      <c r="I25" s="20" t="n"/>
      <c r="J25" s="20" t="n"/>
      <c r="K25" s="23" t="n"/>
    </row>
    <row r="26" ht="20" customHeight="1">
      <c r="A26" s="39" t="inlineStr">
        <is>
          <t>D1</t>
        </is>
      </c>
      <c r="B26" s="40" t="inlineStr">
        <is>
          <t>1.5</t>
        </is>
      </c>
      <c r="C26" s="41" t="inlineStr">
        <is>
          <t>AI Ecosystem &amp; Alliance Management</t>
        </is>
      </c>
      <c r="D26" s="39" t="inlineStr"/>
      <c r="E26" s="39" t="inlineStr">
        <is>
          <t>6 criteria</t>
        </is>
      </c>
      <c r="F26" s="39" t="inlineStr">
        <is>
          <t>Chief AI Officer</t>
        </is>
      </c>
      <c r="G26" s="39" t="inlineStr"/>
      <c r="H26" s="39" t="inlineStr"/>
      <c r="I26" s="39" t="inlineStr"/>
      <c r="J26" s="39" t="inlineStr"/>
      <c r="K26" s="39" t="inlineStr"/>
    </row>
    <row r="27" outlineLevel="1" ht="26" customHeight="1">
      <c r="A27" s="11" t="inlineStr">
        <is>
          <t>D1</t>
        </is>
      </c>
      <c r="B27" s="11" t="inlineStr">
        <is>
          <t>1.5</t>
        </is>
      </c>
      <c r="C27" s="15" t="inlineStr">
        <is>
          <t>AI Ecosystem &amp; Alliance Management</t>
        </is>
      </c>
      <c r="D27" s="12" t="inlineStr">
        <is>
          <t>1.5.1</t>
        </is>
      </c>
      <c r="E27" s="13" t="inlineStr">
        <is>
          <t>Partnership Portfolio Definition</t>
        </is>
      </c>
      <c r="F27" s="14" t="inlineStr">
        <is>
          <t>Decide which external relationships the institution needs in order to hold AI capability it will not build itself.</t>
        </is>
      </c>
      <c r="G27" s="16" t="inlineStr"/>
      <c r="H27" s="20" t="n"/>
      <c r="I27" s="20" t="n"/>
      <c r="J27" s="20" t="n"/>
      <c r="K27" s="23" t="n"/>
    </row>
    <row r="28" outlineLevel="1" ht="26" customHeight="1">
      <c r="A28" s="11" t="inlineStr">
        <is>
          <t>D1</t>
        </is>
      </c>
      <c r="B28" s="11" t="inlineStr">
        <is>
          <t>1.5</t>
        </is>
      </c>
      <c r="C28" s="15" t="inlineStr">
        <is>
          <t>AI Ecosystem &amp; Alliance Management</t>
        </is>
      </c>
      <c r="D28" s="12" t="inlineStr">
        <is>
          <t>1.5.2</t>
        </is>
      </c>
      <c r="E28" s="13" t="inlineStr">
        <is>
          <t>Research &amp; Academic Collaboration</t>
        </is>
      </c>
      <c r="F28" s="14" t="inlineStr">
        <is>
          <t>Operate collaborations whose output is knowledge, method or evidence rather than a delivered system.</t>
        </is>
      </c>
      <c r="G28" s="16" t="inlineStr"/>
      <c r="H28" s="20" t="n"/>
      <c r="I28" s="20" t="n"/>
      <c r="J28" s="20" t="n"/>
      <c r="K28" s="23" t="n"/>
    </row>
    <row r="29" outlineLevel="1" ht="26" customHeight="1">
      <c r="A29" s="11" t="inlineStr">
        <is>
          <t>D1</t>
        </is>
      </c>
      <c r="B29" s="11" t="inlineStr">
        <is>
          <t>1.5</t>
        </is>
      </c>
      <c r="C29" s="15" t="inlineStr">
        <is>
          <t>AI Ecosystem &amp; Alliance Management</t>
        </is>
      </c>
      <c r="D29" s="12" t="inlineStr">
        <is>
          <t>1.5.3</t>
        </is>
      </c>
      <c r="E29" s="13" t="inlineStr">
        <is>
          <t>Peer &amp; Multilateral Cooperation</t>
        </is>
      </c>
      <c r="F29" s="14" t="inlineStr">
        <is>
          <t>Exchange AI practice, assets and evidence with counterpart institutions under agreed terms.</t>
        </is>
      </c>
      <c r="G29" s="16" t="inlineStr"/>
      <c r="H29" s="20" t="n"/>
      <c r="I29" s="20" t="n"/>
      <c r="J29" s="20" t="n"/>
      <c r="K29" s="23" t="n"/>
    </row>
    <row r="30" outlineLevel="1" ht="26" customHeight="1">
      <c r="A30" s="11" t="inlineStr">
        <is>
          <t>D1</t>
        </is>
      </c>
      <c r="B30" s="11" t="inlineStr">
        <is>
          <t>1.5</t>
        </is>
      </c>
      <c r="C30" s="15" t="inlineStr">
        <is>
          <t>AI Ecosystem &amp; Alliance Management</t>
        </is>
      </c>
      <c r="D30" s="12" t="inlineStr">
        <is>
          <t>1.5.4</t>
        </is>
      </c>
      <c r="E30" s="13" t="inlineStr">
        <is>
          <t>Insourcing / Outsourcing Posture Management</t>
        </is>
      </c>
      <c r="F30" s="14" t="inlineStr">
        <is>
          <t>Set and periodically revisit which AI work is held internally and which is placed outside.</t>
        </is>
      </c>
      <c r="G30" s="16" t="inlineStr"/>
      <c r="H30" s="20" t="n"/>
      <c r="I30" s="20" t="n"/>
      <c r="J30" s="20" t="n"/>
      <c r="K30" s="23" t="n"/>
    </row>
    <row r="31" outlineLevel="1" ht="26" customHeight="1">
      <c r="A31" s="11" t="inlineStr">
        <is>
          <t>D1</t>
        </is>
      </c>
      <c r="B31" s="11" t="inlineStr">
        <is>
          <t>1.5</t>
        </is>
      </c>
      <c r="C31" s="15" t="inlineStr">
        <is>
          <t>AI Ecosystem &amp; Alliance Management</t>
        </is>
      </c>
      <c r="D31" s="12" t="inlineStr">
        <is>
          <t>1.5.5</t>
        </is>
      </c>
      <c r="E31" s="13" t="inlineStr">
        <is>
          <t>Ecosystem Dependency &amp; Continuity Management</t>
        </is>
      </c>
      <c r="F31" s="14" t="inlineStr">
        <is>
          <t>Track aggregate dependency across the external AI ecosystem and stay able to operate when a member changes, merges or exits.</t>
        </is>
      </c>
      <c r="G31" s="16" t="inlineStr"/>
      <c r="H31" s="20" t="n"/>
      <c r="I31" s="20" t="n"/>
      <c r="J31" s="20" t="n"/>
      <c r="K31" s="23" t="n"/>
    </row>
    <row r="32" outlineLevel="1" ht="26" customHeight="1">
      <c r="A32" s="11" t="inlineStr">
        <is>
          <t>D1</t>
        </is>
      </c>
      <c r="B32" s="11" t="inlineStr">
        <is>
          <t>1.5</t>
        </is>
      </c>
      <c r="C32" s="15" t="inlineStr">
        <is>
          <t>AI Ecosystem &amp; Alliance Management</t>
        </is>
      </c>
      <c r="D32" s="12" t="inlineStr">
        <is>
          <t>1.5.6</t>
        </is>
      </c>
      <c r="E32" s="13" t="inlineStr">
        <is>
          <t>Partnership Value &amp; Obligation Tracking</t>
        </is>
      </c>
      <c r="F32" s="14" t="inlineStr">
        <is>
          <t>Monitor what each relationship returns against what it obliges the institution to do.</t>
        </is>
      </c>
      <c r="G32" s="16" t="inlineStr"/>
      <c r="H32" s="20" t="n"/>
      <c r="I32" s="20" t="n"/>
      <c r="J32" s="20" t="n"/>
      <c r="K32" s="23" t="n"/>
    </row>
    <row r="33" ht="20" customHeight="1">
      <c r="A33" s="39" t="inlineStr">
        <is>
          <t>D2</t>
        </is>
      </c>
      <c r="B33" s="40" t="inlineStr">
        <is>
          <t>2.1</t>
        </is>
      </c>
      <c r="C33" s="41" t="inlineStr">
        <is>
          <t>Use Case Discovery &amp; Intake</t>
        </is>
      </c>
      <c r="D33" s="39" t="inlineStr"/>
      <c r="E33" s="39" t="inlineStr">
        <is>
          <t>4 criteria</t>
        </is>
      </c>
      <c r="F33" s="39" t="inlineStr">
        <is>
          <t>Demand Management Owner</t>
        </is>
      </c>
      <c r="G33" s="39" t="inlineStr"/>
      <c r="H33" s="39" t="inlineStr"/>
      <c r="I33" s="39" t="inlineStr"/>
      <c r="J33" s="39" t="inlineStr"/>
      <c r="K33" s="39" t="inlineStr"/>
    </row>
    <row r="34" outlineLevel="1" ht="26" customHeight="1">
      <c r="A34" s="11" t="inlineStr">
        <is>
          <t>D2</t>
        </is>
      </c>
      <c r="B34" s="11" t="inlineStr">
        <is>
          <t>2.1</t>
        </is>
      </c>
      <c r="C34" s="15" t="inlineStr">
        <is>
          <t>Use Case Discovery &amp; Intake</t>
        </is>
      </c>
      <c r="D34" s="12" t="inlineStr">
        <is>
          <t>2.1.1</t>
        </is>
      </c>
      <c r="E34" s="13" t="inlineStr">
        <is>
          <t>Opportunity Identification &amp; Ideation</t>
        </is>
      </c>
      <c r="F34" s="14" t="inlineStr">
        <is>
          <t>Actively generate candidate use cases from business need rather than waiting for requests.</t>
        </is>
      </c>
      <c r="G34" s="16" t="inlineStr"/>
      <c r="H34" s="20" t="n"/>
      <c r="I34" s="20" t="n"/>
      <c r="J34" s="20" t="n"/>
      <c r="K34" s="23" t="n"/>
    </row>
    <row r="35" outlineLevel="1" ht="26" customHeight="1">
      <c r="A35" s="11" t="inlineStr">
        <is>
          <t>D2</t>
        </is>
      </c>
      <c r="B35" s="11" t="inlineStr">
        <is>
          <t>2.1</t>
        </is>
      </c>
      <c r="C35" s="15" t="inlineStr">
        <is>
          <t>Use Case Discovery &amp; Intake</t>
        </is>
      </c>
      <c r="D35" s="12" t="inlineStr">
        <is>
          <t>2.1.2</t>
        </is>
      </c>
      <c r="E35" s="13" t="inlineStr">
        <is>
          <t>Demand Intake &amp; Triage</t>
        </is>
      </c>
      <c r="F35" s="14" t="inlineStr">
        <is>
          <t>Operate a single intake route that classifies and routes every AI request.</t>
        </is>
      </c>
      <c r="G35" s="16" t="inlineStr"/>
      <c r="H35" s="20" t="n"/>
      <c r="I35" s="20" t="n"/>
      <c r="J35" s="20" t="n"/>
      <c r="K35" s="23" t="n"/>
    </row>
    <row r="36" outlineLevel="1" ht="26" customHeight="1">
      <c r="A36" s="11" t="inlineStr">
        <is>
          <t>D2</t>
        </is>
      </c>
      <c r="B36" s="11" t="inlineStr">
        <is>
          <t>2.1</t>
        </is>
      </c>
      <c r="C36" s="15" t="inlineStr">
        <is>
          <t>Use Case Discovery &amp; Intake</t>
        </is>
      </c>
      <c r="D36" s="12" t="inlineStr">
        <is>
          <t>2.1.3</t>
        </is>
      </c>
      <c r="E36" s="13" t="inlineStr">
        <is>
          <t>Use Case Registration &amp; Classification</t>
        </is>
      </c>
      <c r="F36" s="14" t="inlineStr">
        <is>
          <t>Record each candidate against a common taxonomy before any build effort begins.</t>
        </is>
      </c>
      <c r="G36" s="16" t="inlineStr"/>
      <c r="H36" s="20" t="n"/>
      <c r="I36" s="20" t="n"/>
      <c r="J36" s="20" t="n"/>
      <c r="K36" s="23" t="n"/>
    </row>
    <row r="37" outlineLevel="1" ht="26" customHeight="1">
      <c r="A37" s="11" t="inlineStr">
        <is>
          <t>D2</t>
        </is>
      </c>
      <c r="B37" s="11" t="inlineStr">
        <is>
          <t>2.1</t>
        </is>
      </c>
      <c r="C37" s="15" t="inlineStr">
        <is>
          <t>Use Case Discovery &amp; Intake</t>
        </is>
      </c>
      <c r="D37" s="12" t="inlineStr">
        <is>
          <t>2.1.4</t>
        </is>
      </c>
      <c r="E37" s="13" t="inlineStr">
        <is>
          <t>Duplicate &amp; Reuse Screening</t>
        </is>
      </c>
      <c r="F37" s="14" t="inlineStr">
        <is>
          <t>Detect that a request is already solved, in flight, or satisfiable by an existing asset.</t>
        </is>
      </c>
      <c r="G37" s="16" t="inlineStr"/>
      <c r="H37" s="20" t="n"/>
      <c r="I37" s="20" t="n"/>
      <c r="J37" s="20" t="n"/>
      <c r="K37" s="23" t="n"/>
    </row>
    <row r="38" ht="20" customHeight="1">
      <c r="A38" s="39" t="inlineStr">
        <is>
          <t>D2</t>
        </is>
      </c>
      <c r="B38" s="40" t="inlineStr">
        <is>
          <t>2.2</t>
        </is>
      </c>
      <c r="C38" s="41" t="inlineStr">
        <is>
          <t>AI Use-Case Feasibility &amp; Qualification</t>
        </is>
      </c>
      <c r="D38" s="39" t="inlineStr"/>
      <c r="E38" s="39" t="inlineStr">
        <is>
          <t>4 criteria</t>
        </is>
      </c>
      <c r="F38" s="39" t="inlineStr">
        <is>
          <t>AI Product Owner</t>
        </is>
      </c>
      <c r="G38" s="39" t="inlineStr"/>
      <c r="H38" s="39" t="inlineStr"/>
      <c r="I38" s="39" t="inlineStr"/>
      <c r="J38" s="39" t="inlineStr"/>
      <c r="K38" s="39" t="inlineStr"/>
    </row>
    <row r="39" outlineLevel="1" ht="26" customHeight="1">
      <c r="A39" s="11" t="inlineStr">
        <is>
          <t>D2</t>
        </is>
      </c>
      <c r="B39" s="11" t="inlineStr">
        <is>
          <t>2.2</t>
        </is>
      </c>
      <c r="C39" s="15" t="inlineStr">
        <is>
          <t>AI Use-Case Feasibility &amp; Qualification</t>
        </is>
      </c>
      <c r="D39" s="12" t="inlineStr">
        <is>
          <t>2.2.1</t>
        </is>
      </c>
      <c r="E39" s="13" t="inlineStr">
        <is>
          <t>Technical &amp; Data Feasibility Assessment</t>
        </is>
      </c>
      <c r="F39" s="14" t="inlineStr">
        <is>
          <t>Judge whether the data, models and integration required actually exist and are obtainable.</t>
        </is>
      </c>
      <c r="G39" s="16" t="inlineStr"/>
      <c r="H39" s="20" t="n"/>
      <c r="I39" s="20" t="n"/>
      <c r="J39" s="20" t="n"/>
      <c r="K39" s="23" t="n"/>
    </row>
    <row r="40" outlineLevel="1" ht="26" customHeight="1">
      <c r="A40" s="11" t="inlineStr">
        <is>
          <t>D2</t>
        </is>
      </c>
      <c r="B40" s="11" t="inlineStr">
        <is>
          <t>2.2</t>
        </is>
      </c>
      <c r="C40" s="15" t="inlineStr">
        <is>
          <t>AI Use-Case Feasibility &amp; Qualification</t>
        </is>
      </c>
      <c r="D40" s="12" t="inlineStr">
        <is>
          <t>2.2.2</t>
        </is>
      </c>
      <c r="E40" s="13" t="inlineStr">
        <is>
          <t>Cost, Effort &amp; Capacity Feasibility</t>
        </is>
      </c>
      <c r="F40" s="14" t="inlineStr">
        <is>
          <t>Estimate build and run cost, effort and the specialist capacity a use case would consume.</t>
        </is>
      </c>
      <c r="G40" s="16" t="inlineStr"/>
      <c r="H40" s="20" t="n"/>
      <c r="I40" s="20" t="n"/>
      <c r="J40" s="20" t="n"/>
      <c r="K40" s="23" t="n"/>
    </row>
    <row r="41" outlineLevel="1" ht="26" customHeight="1">
      <c r="A41" s="11" t="inlineStr">
        <is>
          <t>D2</t>
        </is>
      </c>
      <c r="B41" s="11" t="inlineStr">
        <is>
          <t>2.2</t>
        </is>
      </c>
      <c r="C41" s="15" t="inlineStr">
        <is>
          <t>AI Use-Case Feasibility &amp; Qualification</t>
        </is>
      </c>
      <c r="D41" s="12" t="inlineStr">
        <is>
          <t>2.2.3</t>
        </is>
      </c>
      <c r="E41" s="13" t="inlineStr">
        <is>
          <t>Operational &amp; Adoption Feasibility</t>
        </is>
      </c>
      <c r="F41" s="14" t="inlineStr">
        <is>
          <t>Judge whether the receiving business area can absorb, operate and sustain the change.</t>
        </is>
      </c>
      <c r="G41" s="16" t="inlineStr"/>
      <c r="H41" s="20" t="n"/>
      <c r="I41" s="20" t="n"/>
      <c r="J41" s="20" t="n"/>
      <c r="K41" s="23" t="n"/>
    </row>
    <row r="42" outlineLevel="1" ht="26" customHeight="1">
      <c r="A42" s="11" t="inlineStr">
        <is>
          <t>D2</t>
        </is>
      </c>
      <c r="B42" s="11" t="inlineStr">
        <is>
          <t>2.2</t>
        </is>
      </c>
      <c r="C42" s="15" t="inlineStr">
        <is>
          <t>AI Use-Case Feasibility &amp; Qualification</t>
        </is>
      </c>
      <c r="D42" s="12" t="inlineStr">
        <is>
          <t>2.2.4</t>
        </is>
      </c>
      <c r="E42" s="13" t="inlineStr">
        <is>
          <t>Go / No-Go Determination</t>
        </is>
      </c>
      <c r="F42" s="14" t="inlineStr">
        <is>
          <t>Make and record a proceed decision with named accountability and stated conditions.</t>
        </is>
      </c>
      <c r="G42" s="16" t="inlineStr"/>
      <c r="H42" s="20" t="n"/>
      <c r="I42" s="20" t="n"/>
      <c r="J42" s="20" t="n"/>
      <c r="K42" s="23" t="n"/>
    </row>
    <row r="43" ht="20" customHeight="1">
      <c r="A43" s="39" t="inlineStr">
        <is>
          <t>D2</t>
        </is>
      </c>
      <c r="B43" s="40" t="inlineStr">
        <is>
          <t>2.3</t>
        </is>
      </c>
      <c r="C43" s="41" t="inlineStr">
        <is>
          <t>AI Product Management</t>
        </is>
      </c>
      <c r="D43" s="39" t="inlineStr"/>
      <c r="E43" s="39" t="inlineStr">
        <is>
          <t>5 criteria</t>
        </is>
      </c>
      <c r="F43" s="39" t="inlineStr">
        <is>
          <t>AI Product Owner</t>
        </is>
      </c>
      <c r="G43" s="39" t="inlineStr"/>
      <c r="H43" s="39" t="inlineStr"/>
      <c r="I43" s="39" t="inlineStr"/>
      <c r="J43" s="39" t="inlineStr"/>
      <c r="K43" s="39" t="inlineStr"/>
    </row>
    <row r="44" outlineLevel="1" ht="26" customHeight="1">
      <c r="A44" s="11" t="inlineStr">
        <is>
          <t>D2</t>
        </is>
      </c>
      <c r="B44" s="11" t="inlineStr">
        <is>
          <t>2.3</t>
        </is>
      </c>
      <c r="C44" s="15" t="inlineStr">
        <is>
          <t>AI Product Management</t>
        </is>
      </c>
      <c r="D44" s="12" t="inlineStr">
        <is>
          <t>2.3.1</t>
        </is>
      </c>
      <c r="E44" s="13" t="inlineStr">
        <is>
          <t>AI Product Definition &amp; Roadmapping</t>
        </is>
      </c>
      <c r="F44" s="14" t="inlineStr">
        <is>
          <t>Define the product, its users, its boundary and its forward path.</t>
        </is>
      </c>
      <c r="G44" s="16" t="inlineStr"/>
      <c r="H44" s="20" t="n"/>
      <c r="I44" s="20" t="n"/>
      <c r="J44" s="20" t="n"/>
      <c r="K44" s="23" t="n"/>
    </row>
    <row r="45" outlineLevel="1" ht="26" customHeight="1">
      <c r="A45" s="11" t="inlineStr">
        <is>
          <t>D2</t>
        </is>
      </c>
      <c r="B45" s="11" t="inlineStr">
        <is>
          <t>2.3</t>
        </is>
      </c>
      <c r="C45" s="15" t="inlineStr">
        <is>
          <t>AI Product Management</t>
        </is>
      </c>
      <c r="D45" s="12" t="inlineStr">
        <is>
          <t>2.3.2</t>
        </is>
      </c>
      <c r="E45" s="13" t="inlineStr">
        <is>
          <t>Requirements &amp; Acceptance Criteria Management</t>
        </is>
      </c>
      <c r="F45" s="14" t="inlineStr">
        <is>
          <t>Express what good looks like precisely enough to be tested against.</t>
        </is>
      </c>
      <c r="G45" s="16" t="inlineStr"/>
      <c r="H45" s="20" t="n"/>
      <c r="I45" s="20" t="n"/>
      <c r="J45" s="20" t="n"/>
      <c r="K45" s="23" t="n"/>
    </row>
    <row r="46" outlineLevel="1" ht="26" customHeight="1">
      <c r="A46" s="11" t="inlineStr">
        <is>
          <t>D2</t>
        </is>
      </c>
      <c r="B46" s="11" t="inlineStr">
        <is>
          <t>2.3</t>
        </is>
      </c>
      <c r="C46" s="15" t="inlineStr">
        <is>
          <t>AI Product Management</t>
        </is>
      </c>
      <c r="D46" s="12" t="inlineStr">
        <is>
          <t>2.3.3</t>
        </is>
      </c>
      <c r="E46" s="13" t="inlineStr">
        <is>
          <t>User Research &amp; Feedback Integration</t>
        </is>
      </c>
      <c r="F46" s="14" t="inlineStr">
        <is>
          <t>Learn from actual use and feed it back into the product.</t>
        </is>
      </c>
      <c r="G46" s="16" t="inlineStr"/>
      <c r="H46" s="20" t="n"/>
      <c r="I46" s="20" t="n"/>
      <c r="J46" s="20" t="n"/>
      <c r="K46" s="23" t="n"/>
    </row>
    <row r="47" outlineLevel="1" ht="26" customHeight="1">
      <c r="A47" s="11" t="inlineStr">
        <is>
          <t>D2</t>
        </is>
      </c>
      <c r="B47" s="11" t="inlineStr">
        <is>
          <t>2.3</t>
        </is>
      </c>
      <c r="C47" s="15" t="inlineStr">
        <is>
          <t>AI Product Management</t>
        </is>
      </c>
      <c r="D47" s="12" t="inlineStr">
        <is>
          <t>2.3.4</t>
        </is>
      </c>
      <c r="E47" s="13" t="inlineStr">
        <is>
          <t>Backlog &amp; Release Planning</t>
        </is>
      </c>
      <c r="F47" s="14" t="inlineStr">
        <is>
          <t>Sequence work and commit to releases against capacity.</t>
        </is>
      </c>
      <c r="G47" s="16" t="inlineStr"/>
      <c r="H47" s="20" t="n"/>
      <c r="I47" s="20" t="n"/>
      <c r="J47" s="20" t="n"/>
      <c r="K47" s="23" t="n"/>
    </row>
    <row r="48" outlineLevel="1" ht="26" customHeight="1">
      <c r="A48" s="11" t="inlineStr">
        <is>
          <t>D2</t>
        </is>
      </c>
      <c r="B48" s="11" t="inlineStr">
        <is>
          <t>2.3</t>
        </is>
      </c>
      <c r="C48" s="15" t="inlineStr">
        <is>
          <t>AI Product Management</t>
        </is>
      </c>
      <c r="D48" s="12" t="inlineStr">
        <is>
          <t>2.3.5</t>
        </is>
      </c>
      <c r="E48" s="13" t="inlineStr">
        <is>
          <t>Product Performance Ownership</t>
        </is>
      </c>
      <c r="F48" s="14" t="inlineStr">
        <is>
          <t>Hold a named owner accountable for the product's outcomes in production.</t>
        </is>
      </c>
      <c r="G48" s="16" t="inlineStr"/>
      <c r="H48" s="20" t="n"/>
      <c r="I48" s="20" t="n"/>
      <c r="J48" s="20" t="n"/>
      <c r="K48" s="23" t="n"/>
    </row>
    <row r="49" ht="20" customHeight="1">
      <c r="A49" s="39" t="inlineStr">
        <is>
          <t>D2</t>
        </is>
      </c>
      <c r="B49" s="40" t="inlineStr">
        <is>
          <t>2.4</t>
        </is>
      </c>
      <c r="C49" s="41" t="inlineStr">
        <is>
          <t>Business Process &amp; Service Redesign</t>
        </is>
      </c>
      <c r="D49" s="39" t="inlineStr"/>
      <c r="E49" s="39" t="inlineStr">
        <is>
          <t>6 criteria</t>
        </is>
      </c>
      <c r="F49" s="39" t="inlineStr">
        <is>
          <t>Business Process Owner</t>
        </is>
      </c>
      <c r="G49" s="39" t="inlineStr"/>
      <c r="H49" s="39" t="inlineStr"/>
      <c r="I49" s="39" t="inlineStr"/>
      <c r="J49" s="39" t="inlineStr"/>
      <c r="K49" s="39" t="inlineStr"/>
    </row>
    <row r="50" outlineLevel="1" ht="26" customHeight="1">
      <c r="A50" s="11" t="inlineStr">
        <is>
          <t>D2</t>
        </is>
      </c>
      <c r="B50" s="11" t="inlineStr">
        <is>
          <t>2.4</t>
        </is>
      </c>
      <c r="C50" s="15" t="inlineStr">
        <is>
          <t>Business Process &amp; Service Redesign</t>
        </is>
      </c>
      <c r="D50" s="12" t="inlineStr">
        <is>
          <t>2.4.1</t>
        </is>
      </c>
      <c r="E50" s="13" t="inlineStr">
        <is>
          <t>Process Analysis &amp; AI Fit Assessment</t>
        </is>
      </c>
      <c r="F50" s="14" t="inlineStr">
        <is>
          <t>Understand the current process well enough to know where AI changes it.</t>
        </is>
      </c>
      <c r="G50" s="16" t="inlineStr"/>
      <c r="H50" s="20" t="n"/>
      <c r="I50" s="20" t="n"/>
      <c r="J50" s="20" t="n"/>
      <c r="K50" s="23" t="n"/>
    </row>
    <row r="51" outlineLevel="1" ht="26" customHeight="1">
      <c r="A51" s="11" t="inlineStr">
        <is>
          <t>D2</t>
        </is>
      </c>
      <c r="B51" s="11" t="inlineStr">
        <is>
          <t>2.4</t>
        </is>
      </c>
      <c r="C51" s="15" t="inlineStr">
        <is>
          <t>Business Process &amp; Service Redesign</t>
        </is>
      </c>
      <c r="D51" s="12" t="inlineStr">
        <is>
          <t>2.4.2</t>
        </is>
      </c>
      <c r="E51" s="13" t="inlineStr">
        <is>
          <t>Target Process &amp; Task Redesign</t>
        </is>
      </c>
      <c r="F51" s="14" t="inlineStr">
        <is>
          <t>Design the intended process, including what stops being done.</t>
        </is>
      </c>
      <c r="G51" s="16" t="inlineStr"/>
      <c r="H51" s="20" t="n"/>
      <c r="I51" s="20" t="n"/>
      <c r="J51" s="20" t="n"/>
      <c r="K51" s="23" t="n"/>
    </row>
    <row r="52" outlineLevel="1" ht="26" customHeight="1">
      <c r="A52" s="11" t="inlineStr">
        <is>
          <t>D2</t>
        </is>
      </c>
      <c r="B52" s="11" t="inlineStr">
        <is>
          <t>2.4</t>
        </is>
      </c>
      <c r="C52" s="15" t="inlineStr">
        <is>
          <t>Business Process &amp; Service Redesign</t>
        </is>
      </c>
      <c r="D52" s="12" t="inlineStr">
        <is>
          <t>2.4.3</t>
        </is>
      </c>
      <c r="E52" s="13" t="inlineStr">
        <is>
          <t>Human / Machine Task Allocation</t>
        </is>
      </c>
      <c r="F52" s="14" t="inlineStr">
        <is>
          <t>Decide explicitly which tasks move, which stay, and which become supervisory.</t>
        </is>
      </c>
      <c r="G52" s="16" t="inlineStr"/>
      <c r="H52" s="20" t="n"/>
      <c r="I52" s="20" t="n"/>
      <c r="J52" s="20" t="n"/>
      <c r="K52" s="23" t="n"/>
    </row>
    <row r="53" outlineLevel="1" ht="26" customHeight="1">
      <c r="A53" s="11" t="inlineStr">
        <is>
          <t>D2</t>
        </is>
      </c>
      <c r="B53" s="11" t="inlineStr">
        <is>
          <t>2.4</t>
        </is>
      </c>
      <c r="C53" s="15" t="inlineStr">
        <is>
          <t>Business Process &amp; Service Redesign</t>
        </is>
      </c>
      <c r="D53" s="12" t="inlineStr">
        <is>
          <t>2.4.4</t>
        </is>
      </c>
      <c r="E53" s="13" t="inlineStr">
        <is>
          <t>Control Point Redesign</t>
        </is>
      </c>
      <c r="F53" s="14" t="inlineStr">
        <is>
          <t>Relocate or rebuild the controls that the old process embedded in human steps.</t>
        </is>
      </c>
      <c r="G53" s="16" t="inlineStr"/>
      <c r="H53" s="20" t="n"/>
      <c r="I53" s="20" t="n"/>
      <c r="J53" s="20" t="n"/>
      <c r="K53" s="23" t="n"/>
    </row>
    <row r="54" outlineLevel="1" ht="26" customHeight="1">
      <c r="A54" s="11" t="inlineStr">
        <is>
          <t>D2</t>
        </is>
      </c>
      <c r="B54" s="11" t="inlineStr">
        <is>
          <t>2.4</t>
        </is>
      </c>
      <c r="C54" s="15" t="inlineStr">
        <is>
          <t>Business Process &amp; Service Redesign</t>
        </is>
      </c>
      <c r="D54" s="12" t="inlineStr">
        <is>
          <t>2.4.5</t>
        </is>
      </c>
      <c r="E54" s="13" t="inlineStr">
        <is>
          <t>Service Model &amp; Service Level Redefinition</t>
        </is>
      </c>
      <c r="F54" s="14" t="inlineStr">
        <is>
          <t>Restate the service promise once AI changes what is deliverable.</t>
        </is>
      </c>
      <c r="G54" s="16" t="inlineStr"/>
      <c r="H54" s="20" t="n"/>
      <c r="I54" s="20" t="n"/>
      <c r="J54" s="20" t="n"/>
      <c r="K54" s="23" t="n"/>
    </row>
    <row r="55" outlineLevel="1" ht="26" customHeight="1">
      <c r="A55" s="11" t="inlineStr">
        <is>
          <t>D2</t>
        </is>
      </c>
      <c r="B55" s="11" t="inlineStr">
        <is>
          <t>2.4</t>
        </is>
      </c>
      <c r="C55" s="15" t="inlineStr">
        <is>
          <t>Business Process &amp; Service Redesign</t>
        </is>
      </c>
      <c r="D55" s="12" t="inlineStr">
        <is>
          <t>2.4.6</t>
        </is>
      </c>
      <c r="E55" s="13" t="inlineStr">
        <is>
          <t>Language Coverage &amp; Service Equity</t>
        </is>
      </c>
      <c r="F55" s="14" t="inlineStr">
        <is>
          <t>Determine which languages an AI-delivered service must support, and at what measured quality, across the institution's countries.</t>
        </is>
      </c>
      <c r="G55" s="16" t="inlineStr"/>
      <c r="H55" s="20" t="n"/>
      <c r="I55" s="20" t="n"/>
      <c r="J55" s="20" t="n"/>
      <c r="K55" s="23" t="n"/>
    </row>
    <row r="56" ht="20" customHeight="1">
      <c r="A56" s="39" t="inlineStr">
        <is>
          <t>D2</t>
        </is>
      </c>
      <c r="B56" s="40" t="inlineStr">
        <is>
          <t>2.5</t>
        </is>
      </c>
      <c r="C56" s="41" t="inlineStr">
        <is>
          <t>Human-AI Interaction &amp; Oversight Design</t>
        </is>
      </c>
      <c r="D56" s="39" t="inlineStr"/>
      <c r="E56" s="39" t="inlineStr">
        <is>
          <t>6 criteria</t>
        </is>
      </c>
      <c r="F56" s="39" t="inlineStr">
        <is>
          <t>Product Design Owner</t>
        </is>
      </c>
      <c r="G56" s="39" t="inlineStr"/>
      <c r="H56" s="39" t="inlineStr"/>
      <c r="I56" s="39" t="inlineStr"/>
      <c r="J56" s="39" t="inlineStr"/>
      <c r="K56" s="39" t="inlineStr"/>
    </row>
    <row r="57" outlineLevel="1" ht="26" customHeight="1">
      <c r="A57" s="11" t="inlineStr">
        <is>
          <t>D2</t>
        </is>
      </c>
      <c r="B57" s="11" t="inlineStr">
        <is>
          <t>2.5</t>
        </is>
      </c>
      <c r="C57" s="15" t="inlineStr">
        <is>
          <t>Human-AI Interaction &amp; Oversight Design</t>
        </is>
      </c>
      <c r="D57" s="12" t="inlineStr">
        <is>
          <t>2.5.1</t>
        </is>
      </c>
      <c r="E57" s="13" t="inlineStr">
        <is>
          <t>Autonomy &amp; Interaction Pattern Determination</t>
        </is>
      </c>
      <c r="F57" s="14" t="inlineStr">
        <is>
          <t>Set and record, per system, the interaction pattern and how much an AI system or agent may do without human confirmation.</t>
        </is>
      </c>
      <c r="G57" s="16" t="inlineStr">
        <is>
          <t>Yes</t>
        </is>
      </c>
      <c r="H57" s="20" t="n"/>
      <c r="I57" s="20" t="n"/>
      <c r="J57" s="20" t="n"/>
      <c r="K57" s="23" t="n"/>
    </row>
    <row r="58" outlineLevel="1" ht="26" customHeight="1">
      <c r="A58" s="11" t="inlineStr">
        <is>
          <t>D2</t>
        </is>
      </c>
      <c r="B58" s="11" t="inlineStr">
        <is>
          <t>2.5</t>
        </is>
      </c>
      <c r="C58" s="15" t="inlineStr">
        <is>
          <t>Human-AI Interaction &amp; Oversight Design</t>
        </is>
      </c>
      <c r="D58" s="12" t="inlineStr">
        <is>
          <t>2.5.2</t>
        </is>
      </c>
      <c r="E58" s="13" t="inlineStr">
        <is>
          <t>Human Oversight &amp; Intervention Design</t>
        </is>
      </c>
      <c r="F58" s="14" t="inlineStr">
        <is>
          <t>Design the specific point, information and control through which a human can intervene.</t>
        </is>
      </c>
      <c r="G58" s="16" t="inlineStr">
        <is>
          <t>Yes</t>
        </is>
      </c>
      <c r="H58" s="20" t="n"/>
      <c r="I58" s="20" t="n"/>
      <c r="J58" s="20" t="n"/>
      <c r="K58" s="23" t="n"/>
    </row>
    <row r="59" outlineLevel="1" ht="26" customHeight="1">
      <c r="A59" s="11" t="inlineStr">
        <is>
          <t>D2</t>
        </is>
      </c>
      <c r="B59" s="11" t="inlineStr">
        <is>
          <t>2.5</t>
        </is>
      </c>
      <c r="C59" s="15" t="inlineStr">
        <is>
          <t>Human-AI Interaction &amp; Oversight Design</t>
        </is>
      </c>
      <c r="D59" s="12" t="inlineStr">
        <is>
          <t>2.5.3</t>
        </is>
      </c>
      <c r="E59" s="13" t="inlineStr">
        <is>
          <t>Explanation &amp; Disclosure Design</t>
        </is>
      </c>
      <c r="F59" s="14" t="inlineStr">
        <is>
          <t>Design what the system tells its user about what it is and how it reached an output.</t>
        </is>
      </c>
      <c r="G59" s="16" t="inlineStr"/>
      <c r="H59" s="20" t="n"/>
      <c r="I59" s="20" t="n"/>
      <c r="J59" s="20" t="n"/>
      <c r="K59" s="23" t="n"/>
    </row>
    <row r="60" outlineLevel="1" ht="26" customHeight="1">
      <c r="A60" s="11" t="inlineStr">
        <is>
          <t>D2</t>
        </is>
      </c>
      <c r="B60" s="11" t="inlineStr">
        <is>
          <t>2.5</t>
        </is>
      </c>
      <c r="C60" s="15" t="inlineStr">
        <is>
          <t>Human-AI Interaction &amp; Oversight Design</t>
        </is>
      </c>
      <c r="D60" s="12" t="inlineStr">
        <is>
          <t>2.5.4</t>
        </is>
      </c>
      <c r="E60" s="13" t="inlineStr">
        <is>
          <t>Escalation &amp; Handover Design</t>
        </is>
      </c>
      <c r="F60" s="14" t="inlineStr">
        <is>
          <t>Design the path by which work returns to a human, with sufficient context to act.</t>
        </is>
      </c>
      <c r="G60" s="16" t="inlineStr">
        <is>
          <t>Yes</t>
        </is>
      </c>
      <c r="H60" s="20" t="n"/>
      <c r="I60" s="20" t="n"/>
      <c r="J60" s="20" t="n"/>
      <c r="K60" s="23" t="n"/>
    </row>
    <row r="61" outlineLevel="1" ht="26" customHeight="1">
      <c r="A61" s="11" t="inlineStr">
        <is>
          <t>D2</t>
        </is>
      </c>
      <c r="B61" s="11" t="inlineStr">
        <is>
          <t>2.5</t>
        </is>
      </c>
      <c r="C61" s="15" t="inlineStr">
        <is>
          <t>Human-AI Interaction &amp; Oversight Design</t>
        </is>
      </c>
      <c r="D61" s="12" t="inlineStr">
        <is>
          <t>2.5.5</t>
        </is>
      </c>
      <c r="E61" s="13" t="inlineStr">
        <is>
          <t>Oversight Competence &amp; Workload Design</t>
        </is>
      </c>
      <c r="F61" s="14" t="inlineStr">
        <is>
          <t>Ensure the person assigned oversight has the time, information, training and authority to actually exercise it.</t>
        </is>
      </c>
      <c r="G61" s="16" t="inlineStr">
        <is>
          <t>Yes</t>
        </is>
      </c>
      <c r="H61" s="20" t="n"/>
      <c r="I61" s="20" t="n"/>
      <c r="J61" s="20" t="n"/>
      <c r="K61" s="23" t="n"/>
    </row>
    <row r="62" outlineLevel="1" ht="26" customHeight="1">
      <c r="A62" s="11" t="inlineStr">
        <is>
          <t>D2</t>
        </is>
      </c>
      <c r="B62" s="11" t="inlineStr">
        <is>
          <t>2.5</t>
        </is>
      </c>
      <c r="C62" s="15" t="inlineStr">
        <is>
          <t>Human-AI Interaction &amp; Oversight Design</t>
        </is>
      </c>
      <c r="D62" s="12" t="inlineStr">
        <is>
          <t>2.5.6</t>
        </is>
      </c>
      <c r="E62" s="13" t="inlineStr">
        <is>
          <t>Accessible &amp; Inclusive Interaction Design</t>
        </is>
      </c>
      <c r="F62" s="14" t="inlineStr">
        <is>
          <t>Design AI-delivered interaction to be usable with assistive technology and across literacy and channel constraints.</t>
        </is>
      </c>
      <c r="G62" s="16" t="inlineStr"/>
      <c r="H62" s="20" t="n"/>
      <c r="I62" s="20" t="n"/>
      <c r="J62" s="20" t="n"/>
      <c r="K62" s="23" t="n"/>
    </row>
    <row r="63" ht="20" customHeight="1">
      <c r="A63" s="39" t="inlineStr">
        <is>
          <t>D2</t>
        </is>
      </c>
      <c r="B63" s="40" t="inlineStr">
        <is>
          <t>2.6</t>
        </is>
      </c>
      <c r="C63" s="41" t="inlineStr">
        <is>
          <t>AI Innovation &amp; Incubation</t>
        </is>
      </c>
      <c r="D63" s="39" t="inlineStr"/>
      <c r="E63" s="39" t="inlineStr">
        <is>
          <t>5 criteria</t>
        </is>
      </c>
      <c r="F63" s="39" t="inlineStr">
        <is>
          <t>AI CoE Owner</t>
        </is>
      </c>
      <c r="G63" s="39" t="inlineStr"/>
      <c r="H63" s="39" t="inlineStr"/>
      <c r="I63" s="39" t="inlineStr"/>
      <c r="J63" s="39" t="inlineStr"/>
      <c r="K63" s="39" t="inlineStr"/>
    </row>
    <row r="64" outlineLevel="1" ht="26" customHeight="1">
      <c r="A64" s="11" t="inlineStr">
        <is>
          <t>D2</t>
        </is>
      </c>
      <c r="B64" s="11" t="inlineStr">
        <is>
          <t>2.6</t>
        </is>
      </c>
      <c r="C64" s="15" t="inlineStr">
        <is>
          <t>AI Innovation &amp; Incubation</t>
        </is>
      </c>
      <c r="D64" s="12" t="inlineStr">
        <is>
          <t>2.6.1</t>
        </is>
      </c>
      <c r="E64" s="13" t="inlineStr">
        <is>
          <t>Idea Capture &amp; Innovation Sourcing</t>
        </is>
      </c>
      <c r="F64" s="14" t="inlineStr">
        <is>
          <t>Collect candidate AI ideas from staff, partners and technology watch outside the formal demand route.</t>
        </is>
      </c>
      <c r="G64" s="16" t="inlineStr"/>
      <c r="H64" s="20" t="n"/>
      <c r="I64" s="20" t="n"/>
      <c r="J64" s="20" t="n"/>
      <c r="K64" s="23" t="n"/>
    </row>
    <row r="65" outlineLevel="1" ht="26" customHeight="1">
      <c r="A65" s="11" t="inlineStr">
        <is>
          <t>D2</t>
        </is>
      </c>
      <c r="B65" s="11" t="inlineStr">
        <is>
          <t>2.6</t>
        </is>
      </c>
      <c r="C65" s="15" t="inlineStr">
        <is>
          <t>AI Innovation &amp; Incubation</t>
        </is>
      </c>
      <c r="D65" s="12" t="inlineStr">
        <is>
          <t>2.6.2</t>
        </is>
      </c>
      <c r="E65" s="13" t="inlineStr">
        <is>
          <t>Sandboxed Experimentation</t>
        </is>
      </c>
      <c r="F65" s="14" t="inlineStr">
        <is>
          <t>Run time-boxed experiments in an environment where failure is contained and permitted.</t>
        </is>
      </c>
      <c r="G65" s="16" t="inlineStr"/>
      <c r="H65" s="20" t="n"/>
      <c r="I65" s="20" t="n"/>
      <c r="J65" s="20" t="n"/>
      <c r="K65" s="23" t="n"/>
    </row>
    <row r="66" outlineLevel="1" ht="26" customHeight="1">
      <c r="A66" s="11" t="inlineStr">
        <is>
          <t>D2</t>
        </is>
      </c>
      <c r="B66" s="11" t="inlineStr">
        <is>
          <t>2.6</t>
        </is>
      </c>
      <c r="C66" s="15" t="inlineStr">
        <is>
          <t>AI Innovation &amp; Incubation</t>
        </is>
      </c>
      <c r="D66" s="12" t="inlineStr">
        <is>
          <t>2.6.3</t>
        </is>
      </c>
      <c r="E66" s="13" t="inlineStr">
        <is>
          <t>Innovation Portfolio &amp; Scaling Decisions</t>
        </is>
      </c>
      <c r="F66" s="14" t="inlineStr">
        <is>
          <t>Hold the set of live experiments within capacity and decide which of them scale.</t>
        </is>
      </c>
      <c r="G66" s="16" t="inlineStr"/>
      <c r="H66" s="20" t="n"/>
      <c r="I66" s="20" t="n"/>
      <c r="J66" s="20" t="n"/>
      <c r="K66" s="23" t="n"/>
    </row>
    <row r="67" outlineLevel="1" ht="26" customHeight="1">
      <c r="A67" s="11" t="inlineStr">
        <is>
          <t>D2</t>
        </is>
      </c>
      <c r="B67" s="11" t="inlineStr">
        <is>
          <t>2.6</t>
        </is>
      </c>
      <c r="C67" s="15" t="inlineStr">
        <is>
          <t>AI Innovation &amp; Incubation</t>
        </is>
      </c>
      <c r="D67" s="12" t="inlineStr">
        <is>
          <t>2.6.4</t>
        </is>
      </c>
      <c r="E67" s="13" t="inlineStr">
        <is>
          <t>Experiment-to-Product Transition</t>
        </is>
      </c>
      <c r="F67" s="14" t="inlineStr">
        <is>
          <t>Move a proven experiment onto the funded delivery route, or record why it stops.</t>
        </is>
      </c>
      <c r="G67" s="16" t="inlineStr"/>
      <c r="H67" s="20" t="n"/>
      <c r="I67" s="20" t="n"/>
      <c r="J67" s="20" t="n"/>
      <c r="K67" s="23" t="n"/>
    </row>
    <row r="68" outlineLevel="1" ht="26" customHeight="1">
      <c r="A68" s="11" t="inlineStr">
        <is>
          <t>D2</t>
        </is>
      </c>
      <c r="B68" s="11" t="inlineStr">
        <is>
          <t>2.6</t>
        </is>
      </c>
      <c r="C68" s="15" t="inlineStr">
        <is>
          <t>AI Innovation &amp; Incubation</t>
        </is>
      </c>
      <c r="D68" s="12" t="inlineStr">
        <is>
          <t>2.6.5</t>
        </is>
      </c>
      <c r="E68" s="13" t="inlineStr">
        <is>
          <t>Controlled Failure &amp; Learning Capture</t>
        </is>
      </c>
      <c r="F68" s="14" t="inlineStr">
        <is>
          <t>Permit experiments to fail and extract reusable learning from the failure.</t>
        </is>
      </c>
      <c r="G68" s="16" t="inlineStr"/>
      <c r="H68" s="20" t="n"/>
      <c r="I68" s="20" t="n"/>
      <c r="J68" s="20" t="n"/>
      <c r="K68" s="23" t="n"/>
    </row>
    <row r="69" ht="20" customHeight="1">
      <c r="A69" s="39" t="inlineStr">
        <is>
          <t>D3</t>
        </is>
      </c>
      <c r="B69" s="40" t="inlineStr">
        <is>
          <t>3.1</t>
        </is>
      </c>
      <c r="C69" s="41" t="inlineStr">
        <is>
          <t>Data Governance &amp; Stewardship for AI</t>
        </is>
      </c>
      <c r="D69" s="39" t="inlineStr"/>
      <c r="E69" s="39" t="inlineStr">
        <is>
          <t>5 criteria</t>
        </is>
      </c>
      <c r="F69" s="39" t="inlineStr">
        <is>
          <t>Chief Data Officer</t>
        </is>
      </c>
      <c r="G69" s="39" t="inlineStr"/>
      <c r="H69" s="39" t="inlineStr"/>
      <c r="I69" s="39" t="inlineStr"/>
      <c r="J69" s="39" t="inlineStr"/>
      <c r="K69" s="39" t="inlineStr"/>
    </row>
    <row r="70" outlineLevel="1" ht="26" customHeight="1">
      <c r="A70" s="11" t="inlineStr">
        <is>
          <t>D3</t>
        </is>
      </c>
      <c r="B70" s="11" t="inlineStr">
        <is>
          <t>3.1</t>
        </is>
      </c>
      <c r="C70" s="15" t="inlineStr">
        <is>
          <t>Data Governance &amp; Stewardship for AI</t>
        </is>
      </c>
      <c r="D70" s="12" t="inlineStr">
        <is>
          <t>3.1.1</t>
        </is>
      </c>
      <c r="E70" s="13" t="inlineStr">
        <is>
          <t>Data Ownership &amp; Stewardship Assignment</t>
        </is>
      </c>
      <c r="F70" s="14" t="inlineStr">
        <is>
          <t>Name an accountable owner and an operating steward for each data asset used by AI.</t>
        </is>
      </c>
      <c r="G70" s="16" t="inlineStr"/>
      <c r="H70" s="20" t="n"/>
      <c r="I70" s="20" t="n"/>
      <c r="J70" s="20" t="n"/>
      <c r="K70" s="23" t="n"/>
    </row>
    <row r="71" outlineLevel="1" ht="26" customHeight="1">
      <c r="A71" s="11" t="inlineStr">
        <is>
          <t>D3</t>
        </is>
      </c>
      <c r="B71" s="11" t="inlineStr">
        <is>
          <t>3.1</t>
        </is>
      </c>
      <c r="C71" s="15" t="inlineStr">
        <is>
          <t>Data Governance &amp; Stewardship for AI</t>
        </is>
      </c>
      <c r="D71" s="12" t="inlineStr">
        <is>
          <t>3.1.2</t>
        </is>
      </c>
      <c r="E71" s="13" t="inlineStr">
        <is>
          <t>Data Classification &amp; Sensitivity Labeling</t>
        </is>
      </c>
      <c r="F71" s="14" t="inlineStr">
        <is>
          <t>Apply a consistent sensitivity classification that downstream controls can act on.</t>
        </is>
      </c>
      <c r="G71" s="16" t="inlineStr"/>
      <c r="H71" s="20" t="n"/>
      <c r="I71" s="20" t="n"/>
      <c r="J71" s="20" t="n"/>
      <c r="K71" s="23" t="n"/>
    </row>
    <row r="72" outlineLevel="1" ht="26" customHeight="1">
      <c r="A72" s="11" t="inlineStr">
        <is>
          <t>D3</t>
        </is>
      </c>
      <c r="B72" s="11" t="inlineStr">
        <is>
          <t>3.1</t>
        </is>
      </c>
      <c r="C72" s="15" t="inlineStr">
        <is>
          <t>Data Governance &amp; Stewardship for AI</t>
        </is>
      </c>
      <c r="D72" s="12" t="inlineStr">
        <is>
          <t>3.1.3</t>
        </is>
      </c>
      <c r="E72" s="13" t="inlineStr">
        <is>
          <t>Data Access Policy &amp; Entitlement Management</t>
        </is>
      </c>
      <c r="F72" s="14" t="inlineStr">
        <is>
          <t>Define and enforce who may access which data, for which purpose.</t>
        </is>
      </c>
      <c r="G72" s="16" t="inlineStr"/>
      <c r="H72" s="20" t="n"/>
      <c r="I72" s="20" t="n"/>
      <c r="J72" s="20" t="n"/>
      <c r="K72" s="23" t="n"/>
    </row>
    <row r="73" outlineLevel="1" ht="26" customHeight="1">
      <c r="A73" s="11" t="inlineStr">
        <is>
          <t>D3</t>
        </is>
      </c>
      <c r="B73" s="11" t="inlineStr">
        <is>
          <t>3.1</t>
        </is>
      </c>
      <c r="C73" s="15" t="inlineStr">
        <is>
          <t>Data Governance &amp; Stewardship for AI</t>
        </is>
      </c>
      <c r="D73" s="12" t="inlineStr">
        <is>
          <t>3.1.4</t>
        </is>
      </c>
      <c r="E73" s="13" t="inlineStr">
        <is>
          <t>Data Retention &amp; Records Management</t>
        </is>
      </c>
      <c r="F73" s="14" t="inlineStr">
        <is>
          <t>Apply retention and disposal rules to AI inputs, outputs and interaction records.</t>
        </is>
      </c>
      <c r="G73" s="16" t="inlineStr"/>
      <c r="H73" s="20" t="n"/>
      <c r="I73" s="20" t="n"/>
      <c r="J73" s="20" t="n"/>
      <c r="K73" s="23" t="n"/>
    </row>
    <row r="74" outlineLevel="1" ht="26" customHeight="1">
      <c r="A74" s="11" t="inlineStr">
        <is>
          <t>D3</t>
        </is>
      </c>
      <c r="B74" s="11" t="inlineStr">
        <is>
          <t>3.1</t>
        </is>
      </c>
      <c r="C74" s="15" t="inlineStr">
        <is>
          <t>Data Governance &amp; Stewardship for AI</t>
        </is>
      </c>
      <c r="D74" s="12" t="inlineStr">
        <is>
          <t>3.1.5</t>
        </is>
      </c>
      <c r="E74" s="13" t="inlineStr">
        <is>
          <t>Cross-Border Data Transfer Control</t>
        </is>
      </c>
      <c r="F74" s="14" t="inlineStr">
        <is>
          <t>Determine and enforce which jurisdictions the institution's data may be transferred to and processed in.</t>
        </is>
      </c>
      <c r="G74" s="16" t="inlineStr"/>
      <c r="H74" s="20" t="n"/>
      <c r="I74" s="20" t="n"/>
      <c r="J74" s="20" t="n"/>
      <c r="K74" s="23" t="n"/>
    </row>
    <row r="75" ht="20" customHeight="1">
      <c r="A75" s="39" t="inlineStr">
        <is>
          <t>D3</t>
        </is>
      </c>
      <c r="B75" s="40" t="inlineStr">
        <is>
          <t>3.2</t>
        </is>
      </c>
      <c r="C75" s="41" t="inlineStr">
        <is>
          <t>Data Sourcing, Licensing &amp; Provenance</t>
        </is>
      </c>
      <c r="D75" s="39" t="inlineStr"/>
      <c r="E75" s="39" t="inlineStr">
        <is>
          <t>5 criteria</t>
        </is>
      </c>
      <c r="F75" s="39" t="inlineStr">
        <is>
          <t>Chief Data Officer</t>
        </is>
      </c>
      <c r="G75" s="39" t="inlineStr"/>
      <c r="H75" s="39" t="inlineStr"/>
      <c r="I75" s="39" t="inlineStr"/>
      <c r="J75" s="39" t="inlineStr"/>
      <c r="K75" s="39" t="inlineStr"/>
    </row>
    <row r="76" outlineLevel="1" ht="26" customHeight="1">
      <c r="A76" s="11" t="inlineStr">
        <is>
          <t>D3</t>
        </is>
      </c>
      <c r="B76" s="11" t="inlineStr">
        <is>
          <t>3.2</t>
        </is>
      </c>
      <c r="C76" s="15" t="inlineStr">
        <is>
          <t>Data Sourcing, Licensing &amp; Provenance</t>
        </is>
      </c>
      <c r="D76" s="12" t="inlineStr">
        <is>
          <t>3.2.1</t>
        </is>
      </c>
      <c r="E76" s="13" t="inlineStr">
        <is>
          <t>Data Acquisition &amp; Onboarding</t>
        </is>
      </c>
      <c r="F76" s="14" t="inlineStr">
        <is>
          <t>Bring external and internal data into the estate through a controlled route.</t>
        </is>
      </c>
      <c r="G76" s="16" t="inlineStr"/>
      <c r="H76" s="20" t="n"/>
      <c r="I76" s="20" t="n"/>
      <c r="J76" s="20" t="n"/>
      <c r="K76" s="23" t="n"/>
    </row>
    <row r="77" outlineLevel="1" ht="26" customHeight="1">
      <c r="A77" s="11" t="inlineStr">
        <is>
          <t>D3</t>
        </is>
      </c>
      <c r="B77" s="11" t="inlineStr">
        <is>
          <t>3.2</t>
        </is>
      </c>
      <c r="C77" s="15" t="inlineStr">
        <is>
          <t>Data Sourcing, Licensing &amp; Provenance</t>
        </is>
      </c>
      <c r="D77" s="12" t="inlineStr">
        <is>
          <t>3.2.2</t>
        </is>
      </c>
      <c r="E77" s="13" t="inlineStr">
        <is>
          <t>Licensing &amp; Permitted-Use Verification</t>
        </is>
      </c>
      <c r="F77" s="14" t="inlineStr">
        <is>
          <t>Confirm and record that intended AI use is permitted by the source's terms.</t>
        </is>
      </c>
      <c r="G77" s="16" t="inlineStr"/>
      <c r="H77" s="20" t="n"/>
      <c r="I77" s="20" t="n"/>
      <c r="J77" s="20" t="n"/>
      <c r="K77" s="23" t="n"/>
    </row>
    <row r="78" outlineLevel="1" ht="26" customHeight="1">
      <c r="A78" s="11" t="inlineStr">
        <is>
          <t>D3</t>
        </is>
      </c>
      <c r="B78" s="11" t="inlineStr">
        <is>
          <t>3.2</t>
        </is>
      </c>
      <c r="C78" s="15" t="inlineStr">
        <is>
          <t>Data Sourcing, Licensing &amp; Provenance</t>
        </is>
      </c>
      <c r="D78" s="12" t="inlineStr">
        <is>
          <t>3.2.3</t>
        </is>
      </c>
      <c r="E78" s="13" t="inlineStr">
        <is>
          <t>Provenance &amp; Chain-of-Custody Recording</t>
        </is>
      </c>
      <c r="F78" s="14" t="inlineStr">
        <is>
          <t>Record where data came from and every transformation applied to it.</t>
        </is>
      </c>
      <c r="G78" s="16" t="inlineStr"/>
      <c r="H78" s="20" t="n"/>
      <c r="I78" s="20" t="n"/>
      <c r="J78" s="20" t="n"/>
      <c r="K78" s="23" t="n"/>
    </row>
    <row r="79" outlineLevel="1" ht="26" customHeight="1">
      <c r="A79" s="11" t="inlineStr">
        <is>
          <t>D3</t>
        </is>
      </c>
      <c r="B79" s="11" t="inlineStr">
        <is>
          <t>3.2</t>
        </is>
      </c>
      <c r="C79" s="15" t="inlineStr">
        <is>
          <t>Data Sourcing, Licensing &amp; Provenance</t>
        </is>
      </c>
      <c r="D79" s="12" t="inlineStr">
        <is>
          <t>3.2.4</t>
        </is>
      </c>
      <c r="E79" s="13" t="inlineStr">
        <is>
          <t>Consent &amp; Purpose Limitation Management</t>
        </is>
      </c>
      <c r="F79" s="14" t="inlineStr">
        <is>
          <t>Track the basis on which data was collected and confine use to it.</t>
        </is>
      </c>
      <c r="G79" s="16" t="inlineStr"/>
      <c r="H79" s="20" t="n"/>
      <c r="I79" s="20" t="n"/>
      <c r="J79" s="20" t="n"/>
      <c r="K79" s="23" t="n"/>
    </row>
    <row r="80" outlineLevel="1" ht="26" customHeight="1">
      <c r="A80" s="11" t="inlineStr">
        <is>
          <t>D3</t>
        </is>
      </c>
      <c r="B80" s="11" t="inlineStr">
        <is>
          <t>3.2</t>
        </is>
      </c>
      <c r="C80" s="15" t="inlineStr">
        <is>
          <t>Data Sourcing, Licensing &amp; Provenance</t>
        </is>
      </c>
      <c r="D80" s="12" t="inlineStr">
        <is>
          <t>3.2.5</t>
        </is>
      </c>
      <c r="E80" s="13" t="inlineStr">
        <is>
          <t>Synthetic Data Generation &amp; Control</t>
        </is>
      </c>
      <c r="F80" s="14" t="inlineStr">
        <is>
          <t>Produce and govern synthetic data, including disclosure of its synthetic nature.</t>
        </is>
      </c>
      <c r="G80" s="16" t="inlineStr"/>
      <c r="H80" s="20" t="n"/>
      <c r="I80" s="20" t="n"/>
      <c r="J80" s="20" t="n"/>
      <c r="K80" s="23" t="n"/>
    </row>
    <row r="81" ht="20" customHeight="1">
      <c r="A81" s="39" t="inlineStr">
        <is>
          <t>D3</t>
        </is>
      </c>
      <c r="B81" s="40" t="inlineStr">
        <is>
          <t>3.3</t>
        </is>
      </c>
      <c r="C81" s="41" t="inlineStr">
        <is>
          <t>Data Quality &amp; Preparation for AI</t>
        </is>
      </c>
      <c r="D81" s="39" t="inlineStr"/>
      <c r="E81" s="39" t="inlineStr">
        <is>
          <t>5 criteria</t>
        </is>
      </c>
      <c r="F81" s="39" t="inlineStr">
        <is>
          <t>Data Product Owner</t>
        </is>
      </c>
      <c r="G81" s="39" t="inlineStr"/>
      <c r="H81" s="39" t="inlineStr"/>
      <c r="I81" s="39" t="inlineStr"/>
      <c r="J81" s="39" t="inlineStr"/>
      <c r="K81" s="39" t="inlineStr"/>
    </row>
    <row r="82" outlineLevel="1" ht="26" customHeight="1">
      <c r="A82" s="11" t="inlineStr">
        <is>
          <t>D3</t>
        </is>
      </c>
      <c r="B82" s="11" t="inlineStr">
        <is>
          <t>3.3</t>
        </is>
      </c>
      <c r="C82" s="15" t="inlineStr">
        <is>
          <t>Data Quality &amp; Preparation for AI</t>
        </is>
      </c>
      <c r="D82" s="12" t="inlineStr">
        <is>
          <t>3.3.1</t>
        </is>
      </c>
      <c r="E82" s="13" t="inlineStr">
        <is>
          <t>Data Profiling &amp; Quality Assessment</t>
        </is>
      </c>
      <c r="F82" s="14" t="inlineStr">
        <is>
          <t>Measure completeness, accuracy, timeliness and consistency against stated thresholds.</t>
        </is>
      </c>
      <c r="G82" s="16" t="inlineStr"/>
      <c r="H82" s="20" t="n"/>
      <c r="I82" s="20" t="n"/>
      <c r="J82" s="20" t="n"/>
      <c r="K82" s="23" t="n"/>
    </row>
    <row r="83" outlineLevel="1" ht="26" customHeight="1">
      <c r="A83" s="11" t="inlineStr">
        <is>
          <t>D3</t>
        </is>
      </c>
      <c r="B83" s="11" t="inlineStr">
        <is>
          <t>3.3</t>
        </is>
      </c>
      <c r="C83" s="15" t="inlineStr">
        <is>
          <t>Data Quality &amp; Preparation for AI</t>
        </is>
      </c>
      <c r="D83" s="12" t="inlineStr">
        <is>
          <t>3.3.2</t>
        </is>
      </c>
      <c r="E83" s="13" t="inlineStr">
        <is>
          <t>Data Cleansing &amp; Remediation</t>
        </is>
      </c>
      <c r="F83" s="14" t="inlineStr">
        <is>
          <t>Correct defects at source where possible, and record what was corrected downstream.</t>
        </is>
      </c>
      <c r="G83" s="16" t="inlineStr"/>
      <c r="H83" s="20" t="n"/>
      <c r="I83" s="20" t="n"/>
      <c r="J83" s="20" t="n"/>
      <c r="K83" s="23" t="n"/>
    </row>
    <row r="84" outlineLevel="1" ht="26" customHeight="1">
      <c r="A84" s="11" t="inlineStr">
        <is>
          <t>D3</t>
        </is>
      </c>
      <c r="B84" s="11" t="inlineStr">
        <is>
          <t>3.3</t>
        </is>
      </c>
      <c r="C84" s="15" t="inlineStr">
        <is>
          <t>Data Quality &amp; Preparation for AI</t>
        </is>
      </c>
      <c r="D84" s="12" t="inlineStr">
        <is>
          <t>3.3.3</t>
        </is>
      </c>
      <c r="E84" s="13" t="inlineStr">
        <is>
          <t>Representativeness &amp; Bias Screening</t>
        </is>
      </c>
      <c r="F84" s="14" t="inlineStr">
        <is>
          <t>Test datasets for gaps and skews relative to the affected population.</t>
        </is>
      </c>
      <c r="G84" s="16" t="inlineStr"/>
      <c r="H84" s="20" t="n"/>
      <c r="I84" s="20" t="n"/>
      <c r="J84" s="20" t="n"/>
      <c r="K84" s="23" t="n"/>
    </row>
    <row r="85" outlineLevel="1" ht="26" customHeight="1">
      <c r="A85" s="11" t="inlineStr">
        <is>
          <t>D3</t>
        </is>
      </c>
      <c r="B85" s="11" t="inlineStr">
        <is>
          <t>3.3</t>
        </is>
      </c>
      <c r="C85" s="15" t="inlineStr">
        <is>
          <t>Data Quality &amp; Preparation for AI</t>
        </is>
      </c>
      <c r="D85" s="12" t="inlineStr">
        <is>
          <t>3.3.4</t>
        </is>
      </c>
      <c r="E85" s="13" t="inlineStr">
        <is>
          <t>Labeling &amp; Annotation Management</t>
        </is>
      </c>
      <c r="F85" s="14" t="inlineStr">
        <is>
          <t>Produce, quality-check and version human and machine labels.</t>
        </is>
      </c>
      <c r="G85" s="16" t="inlineStr"/>
      <c r="H85" s="20" t="n"/>
      <c r="I85" s="20" t="n"/>
      <c r="J85" s="20" t="n"/>
      <c r="K85" s="23" t="n"/>
    </row>
    <row r="86" outlineLevel="1" ht="26" customHeight="1">
      <c r="A86" s="11" t="inlineStr">
        <is>
          <t>D3</t>
        </is>
      </c>
      <c r="B86" s="11" t="inlineStr">
        <is>
          <t>3.3</t>
        </is>
      </c>
      <c r="C86" s="15" t="inlineStr">
        <is>
          <t>Data Quality &amp; Preparation for AI</t>
        </is>
      </c>
      <c r="D86" s="12" t="inlineStr">
        <is>
          <t>3.3.5</t>
        </is>
      </c>
      <c r="E86" s="13" t="inlineStr">
        <is>
          <t>Dataset Versioning &amp; Snapshotting</t>
        </is>
      </c>
      <c r="F86" s="14" t="inlineStr">
        <is>
          <t>Freeze and identify the exact dataset a model or evaluation used.</t>
        </is>
      </c>
      <c r="G86" s="16" t="inlineStr"/>
      <c r="H86" s="20" t="n"/>
      <c r="I86" s="20" t="n"/>
      <c r="J86" s="20" t="n"/>
      <c r="K86" s="23" t="n"/>
    </row>
    <row r="87" ht="20" customHeight="1">
      <c r="A87" s="39" t="inlineStr">
        <is>
          <t>D3</t>
        </is>
      </c>
      <c r="B87" s="40" t="inlineStr">
        <is>
          <t>3.4</t>
        </is>
      </c>
      <c r="C87" s="41" t="inlineStr">
        <is>
          <t>Metadata, Lineage &amp; Cataloging for AI</t>
        </is>
      </c>
      <c r="D87" s="39" t="inlineStr"/>
      <c r="E87" s="39" t="inlineStr">
        <is>
          <t>4 criteria</t>
        </is>
      </c>
      <c r="F87" s="39" t="inlineStr">
        <is>
          <t>Data Governance Owner</t>
        </is>
      </c>
      <c r="G87" s="39" t="inlineStr"/>
      <c r="H87" s="39" t="inlineStr"/>
      <c r="I87" s="39" t="inlineStr"/>
      <c r="J87" s="39" t="inlineStr"/>
      <c r="K87" s="39" t="inlineStr"/>
    </row>
    <row r="88" outlineLevel="1" ht="26" customHeight="1">
      <c r="A88" s="11" t="inlineStr">
        <is>
          <t>D3</t>
        </is>
      </c>
      <c r="B88" s="11" t="inlineStr">
        <is>
          <t>3.4</t>
        </is>
      </c>
      <c r="C88" s="15" t="inlineStr">
        <is>
          <t>Metadata, Lineage &amp; Cataloging for AI</t>
        </is>
      </c>
      <c r="D88" s="12" t="inlineStr">
        <is>
          <t>3.4.1</t>
        </is>
      </c>
      <c r="E88" s="13" t="inlineStr">
        <is>
          <t>Data Catalog Management</t>
        </is>
      </c>
      <c r="F88" s="14" t="inlineStr">
        <is>
          <t>Maintain a searchable inventory of data assets with their attributes.</t>
        </is>
      </c>
      <c r="G88" s="16" t="inlineStr"/>
      <c r="H88" s="20" t="n"/>
      <c r="I88" s="20" t="n"/>
      <c r="J88" s="20" t="n"/>
      <c r="K88" s="23" t="n"/>
    </row>
    <row r="89" outlineLevel="1" ht="26" customHeight="1">
      <c r="A89" s="11" t="inlineStr">
        <is>
          <t>D3</t>
        </is>
      </c>
      <c r="B89" s="11" t="inlineStr">
        <is>
          <t>3.4</t>
        </is>
      </c>
      <c r="C89" s="15" t="inlineStr">
        <is>
          <t>Metadata, Lineage &amp; Cataloging for AI</t>
        </is>
      </c>
      <c r="D89" s="12" t="inlineStr">
        <is>
          <t>3.4.2</t>
        </is>
      </c>
      <c r="E89" s="13" t="inlineStr">
        <is>
          <t>Business Glossary &amp; Semantic Definition</t>
        </is>
      </c>
      <c r="F89" s="14" t="inlineStr">
        <is>
          <t>Hold one agreed definition per business term that data assets bind to.</t>
        </is>
      </c>
      <c r="G89" s="16" t="inlineStr"/>
      <c r="H89" s="20" t="n"/>
      <c r="I89" s="20" t="n"/>
      <c r="J89" s="20" t="n"/>
      <c r="K89" s="23" t="n"/>
    </row>
    <row r="90" outlineLevel="1" ht="26" customHeight="1">
      <c r="A90" s="11" t="inlineStr">
        <is>
          <t>D3</t>
        </is>
      </c>
      <c r="B90" s="11" t="inlineStr">
        <is>
          <t>3.4</t>
        </is>
      </c>
      <c r="C90" s="15" t="inlineStr">
        <is>
          <t>Metadata, Lineage &amp; Cataloging for AI</t>
        </is>
      </c>
      <c r="D90" s="12" t="inlineStr">
        <is>
          <t>3.4.3</t>
        </is>
      </c>
      <c r="E90" s="13" t="inlineStr">
        <is>
          <t>Lineage Capture &amp; Traceability</t>
        </is>
      </c>
      <c r="F90" s="14" t="inlineStr">
        <is>
          <t>Trace a model output back through transformations to source records.</t>
        </is>
      </c>
      <c r="G90" s="16" t="inlineStr"/>
      <c r="H90" s="20" t="n"/>
      <c r="I90" s="20" t="n"/>
      <c r="J90" s="20" t="n"/>
      <c r="K90" s="23" t="n"/>
    </row>
    <row r="91" outlineLevel="1" ht="26" customHeight="1">
      <c r="A91" s="11" t="inlineStr">
        <is>
          <t>D3</t>
        </is>
      </c>
      <c r="B91" s="11" t="inlineStr">
        <is>
          <t>3.4</t>
        </is>
      </c>
      <c r="C91" s="15" t="inlineStr">
        <is>
          <t>Metadata, Lineage &amp; Cataloging for AI</t>
        </is>
      </c>
      <c r="D91" s="12" t="inlineStr">
        <is>
          <t>3.4.4</t>
        </is>
      </c>
      <c r="E91" s="13" t="inlineStr">
        <is>
          <t>Data Product Publication</t>
        </is>
      </c>
      <c r="F91" s="14" t="inlineStr">
        <is>
          <t>Publish curated, contracted datasets that consumers can depend on.</t>
        </is>
      </c>
      <c r="G91" s="16" t="inlineStr"/>
      <c r="H91" s="20" t="n"/>
      <c r="I91" s="20" t="n"/>
      <c r="J91" s="20" t="n"/>
      <c r="K91" s="23" t="n"/>
    </row>
    <row r="92" ht="20" customHeight="1">
      <c r="A92" s="39" t="inlineStr">
        <is>
          <t>D3</t>
        </is>
      </c>
      <c r="B92" s="40" t="inlineStr">
        <is>
          <t>3.5</t>
        </is>
      </c>
      <c r="C92" s="41" t="inlineStr">
        <is>
          <t>Knowledge Corpus &amp; Content Management</t>
        </is>
      </c>
      <c r="D92" s="39" t="inlineStr"/>
      <c r="E92" s="39" t="inlineStr">
        <is>
          <t>5 criteria</t>
        </is>
      </c>
      <c r="F92" s="39" t="inlineStr">
        <is>
          <t>Knowledge Management Owner</t>
        </is>
      </c>
      <c r="G92" s="39" t="inlineStr"/>
      <c r="H92" s="39" t="inlineStr"/>
      <c r="I92" s="39" t="inlineStr"/>
      <c r="J92" s="39" t="inlineStr"/>
      <c r="K92" s="39" t="inlineStr"/>
    </row>
    <row r="93" outlineLevel="1" ht="26" customHeight="1">
      <c r="A93" s="11" t="inlineStr">
        <is>
          <t>D3</t>
        </is>
      </c>
      <c r="B93" s="11" t="inlineStr">
        <is>
          <t>3.5</t>
        </is>
      </c>
      <c r="C93" s="15" t="inlineStr">
        <is>
          <t>Knowledge Corpus &amp; Content Management</t>
        </is>
      </c>
      <c r="D93" s="12" t="inlineStr">
        <is>
          <t>3.5.1</t>
        </is>
      </c>
      <c r="E93" s="13" t="inlineStr">
        <is>
          <t>Corpus Definition &amp; Curation</t>
        </is>
      </c>
      <c r="F93" s="14" t="inlineStr">
        <is>
          <t>Decide what belongs in a knowledge corpus and what is deliberately excluded.</t>
        </is>
      </c>
      <c r="G93" s="16" t="inlineStr"/>
      <c r="H93" s="20" t="n"/>
      <c r="I93" s="20" t="n"/>
      <c r="J93" s="20" t="n"/>
      <c r="K93" s="23" t="n"/>
    </row>
    <row r="94" outlineLevel="1" ht="26" customHeight="1">
      <c r="A94" s="11" t="inlineStr">
        <is>
          <t>D3</t>
        </is>
      </c>
      <c r="B94" s="11" t="inlineStr">
        <is>
          <t>3.5</t>
        </is>
      </c>
      <c r="C94" s="15" t="inlineStr">
        <is>
          <t>Knowledge Corpus &amp; Content Management</t>
        </is>
      </c>
      <c r="D94" s="12" t="inlineStr">
        <is>
          <t>3.5.2</t>
        </is>
      </c>
      <c r="E94" s="13" t="inlineStr">
        <is>
          <t>Content Ingestion &amp; Normalization</t>
        </is>
      </c>
      <c r="F94" s="14" t="inlineStr">
        <is>
          <t>Bring heterogeneous content into a consistent, machine-usable form.</t>
        </is>
      </c>
      <c r="G94" s="16" t="inlineStr"/>
      <c r="H94" s="20" t="n"/>
      <c r="I94" s="20" t="n"/>
      <c r="J94" s="20" t="n"/>
      <c r="K94" s="23" t="n"/>
    </row>
    <row r="95" outlineLevel="1" ht="26" customHeight="1">
      <c r="A95" s="11" t="inlineStr">
        <is>
          <t>D3</t>
        </is>
      </c>
      <c r="B95" s="11" t="inlineStr">
        <is>
          <t>3.5</t>
        </is>
      </c>
      <c r="C95" s="15" t="inlineStr">
        <is>
          <t>Knowledge Corpus &amp; Content Management</t>
        </is>
      </c>
      <c r="D95" s="12" t="inlineStr">
        <is>
          <t>3.5.3</t>
        </is>
      </c>
      <c r="E95" s="13" t="inlineStr">
        <is>
          <t>Content Segmentation Design</t>
        </is>
      </c>
      <c r="F95" s="14" t="inlineStr">
        <is>
          <t>Choose and apply segmentation that preserves meaning and citability.</t>
        </is>
      </c>
      <c r="G95" s="16" t="inlineStr"/>
      <c r="H95" s="20" t="n"/>
      <c r="I95" s="20" t="n"/>
      <c r="J95" s="20" t="n"/>
      <c r="K95" s="23" t="n"/>
    </row>
    <row r="96" outlineLevel="1" ht="26" customHeight="1">
      <c r="A96" s="11" t="inlineStr">
        <is>
          <t>D3</t>
        </is>
      </c>
      <c r="B96" s="11" t="inlineStr">
        <is>
          <t>3.5</t>
        </is>
      </c>
      <c r="C96" s="15" t="inlineStr">
        <is>
          <t>Knowledge Corpus &amp; Content Management</t>
        </is>
      </c>
      <c r="D96" s="12" t="inlineStr">
        <is>
          <t>3.5.4</t>
        </is>
      </c>
      <c r="E96" s="13" t="inlineStr">
        <is>
          <t>Corpus Freshness &amp; Refresh Management</t>
        </is>
      </c>
      <c r="F96" s="14" t="inlineStr">
        <is>
          <t>Keep the corpus current and know how stale any part of it is.</t>
        </is>
      </c>
      <c r="G96" s="16" t="inlineStr"/>
      <c r="H96" s="20" t="n"/>
      <c r="I96" s="20" t="n"/>
      <c r="J96" s="20" t="n"/>
      <c r="K96" s="23" t="n"/>
    </row>
    <row r="97" outlineLevel="1" ht="26" customHeight="1">
      <c r="A97" s="11" t="inlineStr">
        <is>
          <t>D3</t>
        </is>
      </c>
      <c r="B97" s="11" t="inlineStr">
        <is>
          <t>3.5</t>
        </is>
      </c>
      <c r="C97" s="15" t="inlineStr">
        <is>
          <t>Knowledge Corpus &amp; Content Management</t>
        </is>
      </c>
      <c r="D97" s="12" t="inlineStr">
        <is>
          <t>3.5.5</t>
        </is>
      </c>
      <c r="E97" s="13" t="inlineStr">
        <is>
          <t>Authoritative Source Designation</t>
        </is>
      </c>
      <c r="F97" s="14" t="inlineStr">
        <is>
          <t>Declare which source wins when two documents disagree.</t>
        </is>
      </c>
      <c r="G97" s="16" t="inlineStr"/>
      <c r="H97" s="20" t="n"/>
      <c r="I97" s="20" t="n"/>
      <c r="J97" s="20" t="n"/>
      <c r="K97" s="23" t="n"/>
    </row>
    <row r="98" ht="20" customHeight="1">
      <c r="A98" s="39" t="inlineStr">
        <is>
          <t>D3</t>
        </is>
      </c>
      <c r="B98" s="40" t="inlineStr">
        <is>
          <t>3.6</t>
        </is>
      </c>
      <c r="C98" s="41" t="inlineStr">
        <is>
          <t>Knowledge Access &amp; Retrieval</t>
        </is>
      </c>
      <c r="D98" s="39" t="inlineStr"/>
      <c r="E98" s="39" t="inlineStr">
        <is>
          <t>5 criteria</t>
        </is>
      </c>
      <c r="F98" s="39" t="inlineStr">
        <is>
          <t>Knowledge Platform Owner</t>
        </is>
      </c>
      <c r="G98" s="39" t="inlineStr"/>
      <c r="H98" s="39" t="inlineStr"/>
      <c r="I98" s="39" t="inlineStr"/>
      <c r="J98" s="39" t="inlineStr"/>
      <c r="K98" s="39" t="inlineStr"/>
    </row>
    <row r="99" outlineLevel="1" ht="26" customHeight="1">
      <c r="A99" s="11" t="inlineStr">
        <is>
          <t>D3</t>
        </is>
      </c>
      <c r="B99" s="11" t="inlineStr">
        <is>
          <t>3.6</t>
        </is>
      </c>
      <c r="C99" s="15" t="inlineStr">
        <is>
          <t>Knowledge Access &amp; Retrieval</t>
        </is>
      </c>
      <c r="D99" s="12" t="inlineStr">
        <is>
          <t>3.6.1</t>
        </is>
      </c>
      <c r="E99" s="13" t="inlineStr">
        <is>
          <t>Retrieval Service Provision</t>
        </is>
      </c>
      <c r="F99" s="14" t="inlineStr">
        <is>
          <t>Provide governed retrieval over institutional content — by meaning, by term, or both — as a reusable service.</t>
        </is>
      </c>
      <c r="G99" s="16" t="inlineStr"/>
      <c r="H99" s="20" t="n"/>
      <c r="I99" s="20" t="n"/>
      <c r="J99" s="20" t="n"/>
      <c r="K99" s="23" t="n"/>
    </row>
    <row r="100" outlineLevel="1" ht="26" customHeight="1">
      <c r="A100" s="11" t="inlineStr">
        <is>
          <t>D3</t>
        </is>
      </c>
      <c r="B100" s="11" t="inlineStr">
        <is>
          <t>3.6</t>
        </is>
      </c>
      <c r="C100" s="15" t="inlineStr">
        <is>
          <t>Knowledge Access &amp; Retrieval</t>
        </is>
      </c>
      <c r="D100" s="12" t="inlineStr">
        <is>
          <t>3.6.2</t>
        </is>
      </c>
      <c r="E100" s="13" t="inlineStr">
        <is>
          <t>Access-Trimmed Retrieval Enforcement</t>
        </is>
      </c>
      <c r="F100" s="14" t="inlineStr">
        <is>
          <t>Enforce, at retrieval time, the entitlements determined in 3.1.3, so a requester sees only what they may see.</t>
        </is>
      </c>
      <c r="G100" s="16" t="inlineStr"/>
      <c r="H100" s="20" t="n"/>
      <c r="I100" s="20" t="n"/>
      <c r="J100" s="20" t="n"/>
      <c r="K100" s="23" t="n"/>
    </row>
    <row r="101" outlineLevel="1" ht="26" customHeight="1">
      <c r="A101" s="11" t="inlineStr">
        <is>
          <t>D3</t>
        </is>
      </c>
      <c r="B101" s="11" t="inlineStr">
        <is>
          <t>3.6</t>
        </is>
      </c>
      <c r="C101" s="15" t="inlineStr">
        <is>
          <t>Knowledge Access &amp; Retrieval</t>
        </is>
      </c>
      <c r="D101" s="12" t="inlineStr">
        <is>
          <t>3.6.3</t>
        </is>
      </c>
      <c r="E101" s="13" t="inlineStr">
        <is>
          <t>Retrieval Quality Evaluation &amp; Tuning</t>
        </is>
      </c>
      <c r="F101" s="14" t="inlineStr">
        <is>
          <t>Measure and improve retrieval precision and recall against a known set.</t>
        </is>
      </c>
      <c r="G101" s="16" t="inlineStr"/>
      <c r="H101" s="20" t="n"/>
      <c r="I101" s="20" t="n"/>
      <c r="J101" s="20" t="n"/>
      <c r="K101" s="23" t="n"/>
    </row>
    <row r="102" outlineLevel="1" ht="26" customHeight="1">
      <c r="A102" s="11" t="inlineStr">
        <is>
          <t>D3</t>
        </is>
      </c>
      <c r="B102" s="11" t="inlineStr">
        <is>
          <t>3.6</t>
        </is>
      </c>
      <c r="C102" s="15" t="inlineStr">
        <is>
          <t>Knowledge Access &amp; Retrieval</t>
        </is>
      </c>
      <c r="D102" s="12" t="inlineStr">
        <is>
          <t>3.6.4</t>
        </is>
      </c>
      <c r="E102" s="13" t="inlineStr">
        <is>
          <t>Multi-Source Federation &amp; Ranking</t>
        </is>
      </c>
      <c r="F102" s="14" t="inlineStr">
        <is>
          <t>Retrieve across several repositories and rank the combined result coherently.</t>
        </is>
      </c>
      <c r="G102" s="16" t="inlineStr"/>
      <c r="H102" s="20" t="n"/>
      <c r="I102" s="20" t="n"/>
      <c r="J102" s="20" t="n"/>
      <c r="K102" s="23" t="n"/>
    </row>
    <row r="103" outlineLevel="1" ht="26" customHeight="1">
      <c r="A103" s="11" t="inlineStr">
        <is>
          <t>D3</t>
        </is>
      </c>
      <c r="B103" s="11" t="inlineStr">
        <is>
          <t>3.6</t>
        </is>
      </c>
      <c r="C103" s="15" t="inlineStr">
        <is>
          <t>Knowledge Access &amp; Retrieval</t>
        </is>
      </c>
      <c r="D103" s="12" t="inlineStr">
        <is>
          <t>3.6.5</t>
        </is>
      </c>
      <c r="E103" s="13" t="inlineStr">
        <is>
          <t>Citation, Grounding &amp; Traceability</t>
        </is>
      </c>
      <c r="F103" s="14" t="inlineStr">
        <is>
          <t>Return every answer with the source it rests on, resolvable by the reader.</t>
        </is>
      </c>
      <c r="G103" s="16" t="inlineStr"/>
      <c r="H103" s="20" t="n"/>
      <c r="I103" s="20" t="n"/>
      <c r="J103" s="20" t="n"/>
      <c r="K103" s="23" t="n"/>
    </row>
    <row r="104" ht="20" customHeight="1">
      <c r="A104" s="39" t="inlineStr">
        <is>
          <t>D3</t>
        </is>
      </c>
      <c r="B104" s="40" t="inlineStr">
        <is>
          <t>3.7</t>
        </is>
      </c>
      <c r="C104" s="41" t="inlineStr">
        <is>
          <t>Derived Representation Management</t>
        </is>
      </c>
      <c r="D104" s="39" t="inlineStr"/>
      <c r="E104" s="39" t="inlineStr">
        <is>
          <t>4 criteria</t>
        </is>
      </c>
      <c r="F104" s="39" t="inlineStr">
        <is>
          <t>Data/ML Platform Owner</t>
        </is>
      </c>
      <c r="G104" s="39" t="inlineStr"/>
      <c r="H104" s="39" t="inlineStr"/>
      <c r="I104" s="39" t="inlineStr"/>
      <c r="J104" s="39" t="inlineStr"/>
      <c r="K104" s="39" t="inlineStr"/>
    </row>
    <row r="105" outlineLevel="1" ht="26" customHeight="1">
      <c r="A105" s="11" t="inlineStr">
        <is>
          <t>D3</t>
        </is>
      </c>
      <c r="B105" s="11" t="inlineStr">
        <is>
          <t>3.7</t>
        </is>
      </c>
      <c r="C105" s="15" t="inlineStr">
        <is>
          <t>Derived Representation Management</t>
        </is>
      </c>
      <c r="D105" s="12" t="inlineStr">
        <is>
          <t>3.7.1</t>
        </is>
      </c>
      <c r="E105" s="13" t="inlineStr">
        <is>
          <t>Feature Engineering &amp; Store Management</t>
        </is>
      </c>
      <c r="F105" s="14" t="inlineStr">
        <is>
          <t>Produce, share and reuse engineered features under version control.</t>
        </is>
      </c>
      <c r="G105" s="16" t="inlineStr"/>
      <c r="H105" s="20" t="n"/>
      <c r="I105" s="20" t="n"/>
      <c r="J105" s="20" t="n"/>
      <c r="K105" s="23" t="n"/>
    </row>
    <row r="106" outlineLevel="1" ht="26" customHeight="1">
      <c r="A106" s="11" t="inlineStr">
        <is>
          <t>D3</t>
        </is>
      </c>
      <c r="B106" s="11" t="inlineStr">
        <is>
          <t>3.7</t>
        </is>
      </c>
      <c r="C106" s="15" t="inlineStr">
        <is>
          <t>Derived Representation Management</t>
        </is>
      </c>
      <c r="D106" s="12" t="inlineStr">
        <is>
          <t>3.7.2</t>
        </is>
      </c>
      <c r="E106" s="13" t="inlineStr">
        <is>
          <t>Embedding Model Selection &amp; Versioning</t>
        </is>
      </c>
      <c r="F106" s="14" t="inlineStr">
        <is>
          <t>Choose embedding models deliberately and record which version produced which index.</t>
        </is>
      </c>
      <c r="G106" s="16" t="inlineStr"/>
      <c r="H106" s="20" t="n"/>
      <c r="I106" s="20" t="n"/>
      <c r="J106" s="20" t="n"/>
      <c r="K106" s="23" t="n"/>
    </row>
    <row r="107" outlineLevel="1" ht="26" customHeight="1">
      <c r="A107" s="11" t="inlineStr">
        <is>
          <t>D3</t>
        </is>
      </c>
      <c r="B107" s="11" t="inlineStr">
        <is>
          <t>3.7</t>
        </is>
      </c>
      <c r="C107" s="15" t="inlineStr">
        <is>
          <t>Derived Representation Management</t>
        </is>
      </c>
      <c r="D107" s="12" t="inlineStr">
        <is>
          <t>3.7.3</t>
        </is>
      </c>
      <c r="E107" s="13" t="inlineStr">
        <is>
          <t>Index Lifecycle &amp; Re-embedding</t>
        </is>
      </c>
      <c r="F107" s="14" t="inlineStr">
        <is>
          <t>Rebuild and migrate indexes when content or embedding models change.</t>
        </is>
      </c>
      <c r="G107" s="16" t="inlineStr"/>
      <c r="H107" s="20" t="n"/>
      <c r="I107" s="20" t="n"/>
      <c r="J107" s="20" t="n"/>
      <c r="K107" s="23" t="n"/>
    </row>
    <row r="108" outlineLevel="1" ht="26" customHeight="1">
      <c r="A108" s="11" t="inlineStr">
        <is>
          <t>D3</t>
        </is>
      </c>
      <c r="B108" s="11" t="inlineStr">
        <is>
          <t>3.7</t>
        </is>
      </c>
      <c r="C108" s="15" t="inlineStr">
        <is>
          <t>Derived Representation Management</t>
        </is>
      </c>
      <c r="D108" s="12" t="inlineStr">
        <is>
          <t>3.7.4</t>
        </is>
      </c>
      <c r="E108" s="13" t="inlineStr">
        <is>
          <t>Derived Representation Governance</t>
        </is>
      </c>
      <c r="F108" s="14" t="inlineStr">
        <is>
          <t>Apply access, retention and residency controls to vector representations.</t>
        </is>
      </c>
      <c r="G108" s="16" t="inlineStr"/>
      <c r="H108" s="20" t="n"/>
      <c r="I108" s="20" t="n"/>
      <c r="J108" s="20" t="n"/>
      <c r="K108" s="23" t="n"/>
    </row>
    <row r="109" ht="20" customHeight="1">
      <c r="A109" s="39" t="inlineStr">
        <is>
          <t>D4</t>
        </is>
      </c>
      <c r="B109" s="40" t="inlineStr">
        <is>
          <t>4.1</t>
        </is>
      </c>
      <c r="C109" s="41" t="inlineStr">
        <is>
          <t>AI Architecture Management &amp; Solution Governance</t>
        </is>
      </c>
      <c r="D109" s="39" t="inlineStr"/>
      <c r="E109" s="39" t="inlineStr">
        <is>
          <t>7 criteria</t>
        </is>
      </c>
      <c r="F109" s="39" t="inlineStr">
        <is>
          <t>Chief Enterprise Architect</t>
        </is>
      </c>
      <c r="G109" s="39" t="inlineStr"/>
      <c r="H109" s="39" t="inlineStr"/>
      <c r="I109" s="39" t="inlineStr"/>
      <c r="J109" s="39" t="inlineStr"/>
      <c r="K109" s="39" t="inlineStr"/>
    </row>
    <row r="110" outlineLevel="1" ht="26" customHeight="1">
      <c r="A110" s="11" t="inlineStr">
        <is>
          <t>D4</t>
        </is>
      </c>
      <c r="B110" s="11" t="inlineStr">
        <is>
          <t>4.1</t>
        </is>
      </c>
      <c r="C110" s="15" t="inlineStr">
        <is>
          <t>AI Architecture Management &amp; Solution Governance</t>
        </is>
      </c>
      <c r="D110" s="12" t="inlineStr">
        <is>
          <t>4.1.1</t>
        </is>
      </c>
      <c r="E110" s="13" t="inlineStr">
        <is>
          <t>Solution Pattern Selection</t>
        </is>
      </c>
      <c r="F110" s="14" t="inlineStr">
        <is>
          <t>Choose the architecture building block that realizes the required capability.</t>
        </is>
      </c>
      <c r="G110" s="16" t="inlineStr"/>
      <c r="H110" s="20" t="n"/>
      <c r="I110" s="20" t="n"/>
      <c r="J110" s="20" t="n"/>
      <c r="K110" s="23" t="n"/>
    </row>
    <row r="111" outlineLevel="1" ht="26" customHeight="1">
      <c r="A111" s="11" t="inlineStr">
        <is>
          <t>D4</t>
        </is>
      </c>
      <c r="B111" s="11" t="inlineStr">
        <is>
          <t>4.1</t>
        </is>
      </c>
      <c r="C111" s="15" t="inlineStr">
        <is>
          <t>AI Architecture Management &amp; Solution Governance</t>
        </is>
      </c>
      <c r="D111" s="12" t="inlineStr">
        <is>
          <t>4.1.2</t>
        </is>
      </c>
      <c r="E111" s="13" t="inlineStr">
        <is>
          <t>Reference Architecture Compliance</t>
        </is>
      </c>
      <c r="F111" s="14" t="inlineStr">
        <is>
          <t>Build to published reference architectures and detect deviation.</t>
        </is>
      </c>
      <c r="G111" s="16" t="inlineStr"/>
      <c r="H111" s="20" t="n"/>
      <c r="I111" s="20" t="n"/>
      <c r="J111" s="20" t="n"/>
      <c r="K111" s="23" t="n"/>
    </row>
    <row r="112" outlineLevel="1" ht="26" customHeight="1">
      <c r="A112" s="11" t="inlineStr">
        <is>
          <t>D4</t>
        </is>
      </c>
      <c r="B112" s="11" t="inlineStr">
        <is>
          <t>4.1</t>
        </is>
      </c>
      <c r="C112" s="15" t="inlineStr">
        <is>
          <t>AI Architecture Management &amp; Solution Governance</t>
        </is>
      </c>
      <c r="D112" s="12" t="inlineStr">
        <is>
          <t>4.1.3</t>
        </is>
      </c>
      <c r="E112" s="13" t="inlineStr">
        <is>
          <t>Architecture Decision Recording</t>
        </is>
      </c>
      <c r="F112" s="14" t="inlineStr">
        <is>
          <t>Record significant decisions with alternatives and consequences.</t>
        </is>
      </c>
      <c r="G112" s="16" t="inlineStr"/>
      <c r="H112" s="20" t="n"/>
      <c r="I112" s="20" t="n"/>
      <c r="J112" s="20" t="n"/>
      <c r="K112" s="23" t="n"/>
    </row>
    <row r="113" outlineLevel="1" ht="26" customHeight="1">
      <c r="A113" s="11" t="inlineStr">
        <is>
          <t>D4</t>
        </is>
      </c>
      <c r="B113" s="11" t="inlineStr">
        <is>
          <t>4.1</t>
        </is>
      </c>
      <c r="C113" s="15" t="inlineStr">
        <is>
          <t>AI Architecture Management &amp; Solution Governance</t>
        </is>
      </c>
      <c r="D113" s="12" t="inlineStr">
        <is>
          <t>4.1.4</t>
        </is>
      </c>
      <c r="E113" s="13" t="inlineStr">
        <is>
          <t>Non-Functional Requirement Design</t>
        </is>
      </c>
      <c r="F113" s="14" t="inlineStr">
        <is>
          <t>Design explicitly for latency, cost, availability, and degradation behavior.</t>
        </is>
      </c>
      <c r="G113" s="16" t="inlineStr"/>
      <c r="H113" s="20" t="n"/>
      <c r="I113" s="20" t="n"/>
      <c r="J113" s="20" t="n"/>
      <c r="K113" s="23" t="n"/>
    </row>
    <row r="114" outlineLevel="1" ht="26" customHeight="1">
      <c r="A114" s="11" t="inlineStr">
        <is>
          <t>D4</t>
        </is>
      </c>
      <c r="B114" s="11" t="inlineStr">
        <is>
          <t>4.1</t>
        </is>
      </c>
      <c r="C114" s="15" t="inlineStr">
        <is>
          <t>AI Architecture Management &amp; Solution Governance</t>
        </is>
      </c>
      <c r="D114" s="12" t="inlineStr">
        <is>
          <t>4.1.5</t>
        </is>
      </c>
      <c r="E114" s="13" t="inlineStr">
        <is>
          <t>Architecture Review &amp; Dispensation</t>
        </is>
      </c>
      <c r="F114" s="14" t="inlineStr">
        <is>
          <t>Review designs and grant time-boxed exceptions with recorded conditions.</t>
        </is>
      </c>
      <c r="G114" s="16" t="inlineStr"/>
      <c r="H114" s="20" t="n"/>
      <c r="I114" s="20" t="n"/>
      <c r="J114" s="20" t="n"/>
      <c r="K114" s="23" t="n"/>
    </row>
    <row r="115" outlineLevel="1" ht="26" customHeight="1">
      <c r="A115" s="11" t="inlineStr">
        <is>
          <t>D4</t>
        </is>
      </c>
      <c r="B115" s="11" t="inlineStr">
        <is>
          <t>4.1</t>
        </is>
      </c>
      <c r="C115" s="15" t="inlineStr">
        <is>
          <t>AI Architecture Management &amp; Solution Governance</t>
        </is>
      </c>
      <c r="D115" s="12" t="inlineStr">
        <is>
          <t>4.1.6</t>
        </is>
      </c>
      <c r="E115" s="13" t="inlineStr">
        <is>
          <t>ABB &amp; Pattern Stewardship</t>
        </is>
      </c>
      <c r="F115" s="14" t="inlineStr">
        <is>
          <t>Define, version and retire the institution's logical building blocks and the patterns that compose them.</t>
        </is>
      </c>
      <c r="G115" s="16" t="inlineStr"/>
      <c r="H115" s="20" t="n"/>
      <c r="I115" s="20" t="n"/>
      <c r="J115" s="20" t="n"/>
      <c r="K115" s="23" t="n"/>
    </row>
    <row r="116" outlineLevel="1" ht="26" customHeight="1">
      <c r="A116" s="11" t="inlineStr">
        <is>
          <t>D4</t>
        </is>
      </c>
      <c r="B116" s="11" t="inlineStr">
        <is>
          <t>4.1</t>
        </is>
      </c>
      <c r="C116" s="15" t="inlineStr">
        <is>
          <t>AI Architecture Management &amp; Solution Governance</t>
        </is>
      </c>
      <c r="D116" s="12" t="inlineStr">
        <is>
          <t>4.1.7</t>
        </is>
      </c>
      <c r="E116" s="13" t="inlineStr">
        <is>
          <t>Solution Conformance Certification</t>
        </is>
      </c>
      <c r="F116" s="14" t="inlineStr">
        <is>
          <t>Certify that a concrete solution conforms to the building blocks and controls it claims, and record the deviations.</t>
        </is>
      </c>
      <c r="G116" s="16" t="inlineStr"/>
      <c r="H116" s="20" t="n"/>
      <c r="I116" s="20" t="n"/>
      <c r="J116" s="20" t="n"/>
      <c r="K116" s="23" t="n"/>
    </row>
    <row r="117" ht="20" customHeight="1">
      <c r="A117" s="39" t="inlineStr">
        <is>
          <t>D4</t>
        </is>
      </c>
      <c r="B117" s="40" t="inlineStr">
        <is>
          <t>4.2</t>
        </is>
      </c>
      <c r="C117" s="41" t="inlineStr">
        <is>
          <t>Model Selection, Customization &amp; Tuning</t>
        </is>
      </c>
      <c r="D117" s="39" t="inlineStr"/>
      <c r="E117" s="39" t="inlineStr">
        <is>
          <t>5 criteria</t>
        </is>
      </c>
      <c r="F117" s="39" t="inlineStr">
        <is>
          <t>AI Engineering Owner</t>
        </is>
      </c>
      <c r="G117" s="39" t="inlineStr"/>
      <c r="H117" s="39" t="inlineStr"/>
      <c r="I117" s="39" t="inlineStr"/>
      <c r="J117" s="39" t="inlineStr"/>
      <c r="K117" s="39" t="inlineStr"/>
    </row>
    <row r="118" outlineLevel="1" ht="26" customHeight="1">
      <c r="A118" s="11" t="inlineStr">
        <is>
          <t>D4</t>
        </is>
      </c>
      <c r="B118" s="11" t="inlineStr">
        <is>
          <t>4.2</t>
        </is>
      </c>
      <c r="C118" s="15" t="inlineStr">
        <is>
          <t>Model Selection, Customization &amp; Tuning</t>
        </is>
      </c>
      <c r="D118" s="12" t="inlineStr">
        <is>
          <t>4.2.1</t>
        </is>
      </c>
      <c r="E118" s="13" t="inlineStr">
        <is>
          <t>Model Selection for Use Case</t>
        </is>
      </c>
      <c r="F118" s="14" t="inlineStr">
        <is>
          <t>Select a model from within the cleared set against task-specific criteria and evidence.</t>
        </is>
      </c>
      <c r="G118" s="16" t="inlineStr"/>
      <c r="H118" s="20" t="n"/>
      <c r="I118" s="20" t="n"/>
      <c r="J118" s="20" t="n"/>
      <c r="K118" s="23" t="n"/>
    </row>
    <row r="119" outlineLevel="1" ht="26" customHeight="1">
      <c r="A119" s="11" t="inlineStr">
        <is>
          <t>D4</t>
        </is>
      </c>
      <c r="B119" s="11" t="inlineStr">
        <is>
          <t>4.2</t>
        </is>
      </c>
      <c r="C119" s="15" t="inlineStr">
        <is>
          <t>Model Selection, Customization &amp; Tuning</t>
        </is>
      </c>
      <c r="D119" s="12" t="inlineStr">
        <is>
          <t>4.2.2</t>
        </is>
      </c>
      <c r="E119" s="13" t="inlineStr">
        <is>
          <t>Fine-Tuning &amp; Adaptation</t>
        </is>
      </c>
      <c r="F119" s="14" t="inlineStr">
        <is>
          <t>Adapt models to institutional context under controlled, repeatable procedure.</t>
        </is>
      </c>
      <c r="G119" s="16" t="inlineStr"/>
      <c r="H119" s="20" t="n"/>
      <c r="I119" s="20" t="n"/>
      <c r="J119" s="20" t="n"/>
      <c r="K119" s="23" t="n"/>
    </row>
    <row r="120" outlineLevel="1" ht="26" customHeight="1">
      <c r="A120" s="11" t="inlineStr">
        <is>
          <t>D4</t>
        </is>
      </c>
      <c r="B120" s="11" t="inlineStr">
        <is>
          <t>4.2</t>
        </is>
      </c>
      <c r="C120" s="15" t="inlineStr">
        <is>
          <t>Model Selection, Customization &amp; Tuning</t>
        </is>
      </c>
      <c r="D120" s="12" t="inlineStr">
        <is>
          <t>4.2.3</t>
        </is>
      </c>
      <c r="E120" s="13" t="inlineStr">
        <is>
          <t>Model Training &amp; Experimentation</t>
        </is>
      </c>
      <c r="F120" s="14" t="inlineStr">
        <is>
          <t>Run and track experiments so results are reproducible.</t>
        </is>
      </c>
      <c r="G120" s="16" t="inlineStr"/>
      <c r="H120" s="20" t="n"/>
      <c r="I120" s="20" t="n"/>
      <c r="J120" s="20" t="n"/>
      <c r="K120" s="23" t="n"/>
    </row>
    <row r="121" outlineLevel="1" ht="26" customHeight="1">
      <c r="A121" s="11" t="inlineStr">
        <is>
          <t>D4</t>
        </is>
      </c>
      <c r="B121" s="11" t="inlineStr">
        <is>
          <t>4.2</t>
        </is>
      </c>
      <c r="C121" s="15" t="inlineStr">
        <is>
          <t>Model Selection, Customization &amp; Tuning</t>
        </is>
      </c>
      <c r="D121" s="12" t="inlineStr">
        <is>
          <t>4.2.4</t>
        </is>
      </c>
      <c r="E121" s="13" t="inlineStr">
        <is>
          <t>Model Documentation &amp; Disclosure Production</t>
        </is>
      </c>
      <c r="F121" s="14" t="inlineStr">
        <is>
          <t>Produce model cards covering intended use, limits, data and evaluation results.</t>
        </is>
      </c>
      <c r="G121" s="16" t="inlineStr"/>
      <c r="H121" s="20" t="n"/>
      <c r="I121" s="20" t="n"/>
      <c r="J121" s="20" t="n"/>
      <c r="K121" s="23" t="n"/>
    </row>
    <row r="122" outlineLevel="1" ht="26" customHeight="1">
      <c r="A122" s="11" t="inlineStr">
        <is>
          <t>D4</t>
        </is>
      </c>
      <c r="B122" s="11" t="inlineStr">
        <is>
          <t>4.2</t>
        </is>
      </c>
      <c r="C122" s="15" t="inlineStr">
        <is>
          <t>Model Selection, Customization &amp; Tuning</t>
        </is>
      </c>
      <c r="D122" s="12" t="inlineStr">
        <is>
          <t>4.2.5</t>
        </is>
      </c>
      <c r="E122" s="13" t="inlineStr">
        <is>
          <t>Model Versioning &amp; Registration</t>
        </is>
      </c>
      <c r="F122" s="14" t="inlineStr">
        <is>
          <t>Register every model version as an identifiable, ownable asset.</t>
        </is>
      </c>
      <c r="G122" s="16" t="inlineStr"/>
      <c r="H122" s="20" t="n"/>
      <c r="I122" s="20" t="n"/>
      <c r="J122" s="20" t="n"/>
      <c r="K122" s="23" t="n"/>
    </row>
    <row r="123" ht="20" customHeight="1">
      <c r="A123" s="39" t="inlineStr">
        <is>
          <t>D4</t>
        </is>
      </c>
      <c r="B123" s="40" t="inlineStr">
        <is>
          <t>4.3</t>
        </is>
      </c>
      <c r="C123" s="41" t="inlineStr">
        <is>
          <t>Prompt &amp; Context Engineering</t>
        </is>
      </c>
      <c r="D123" s="39" t="inlineStr"/>
      <c r="E123" s="39" t="inlineStr">
        <is>
          <t>5 criteria</t>
        </is>
      </c>
      <c r="F123" s="39" t="inlineStr">
        <is>
          <t>AI Engineering Owner</t>
        </is>
      </c>
      <c r="G123" s="39" t="inlineStr"/>
      <c r="H123" s="39" t="inlineStr"/>
      <c r="I123" s="39" t="inlineStr"/>
      <c r="J123" s="39" t="inlineStr"/>
      <c r="K123" s="39" t="inlineStr"/>
    </row>
    <row r="124" outlineLevel="1" ht="26" customHeight="1">
      <c r="A124" s="11" t="inlineStr">
        <is>
          <t>D4</t>
        </is>
      </c>
      <c r="B124" s="11" t="inlineStr">
        <is>
          <t>4.3</t>
        </is>
      </c>
      <c r="C124" s="15" t="inlineStr">
        <is>
          <t>Prompt &amp; Context Engineering</t>
        </is>
      </c>
      <c r="D124" s="12" t="inlineStr">
        <is>
          <t>4.3.1</t>
        </is>
      </c>
      <c r="E124" s="13" t="inlineStr">
        <is>
          <t>Prompt Design &amp; Templating</t>
        </is>
      </c>
      <c r="F124" s="14" t="inlineStr">
        <is>
          <t>Design prompts as reusable, parameterized templates rather than embedded strings.</t>
        </is>
      </c>
      <c r="G124" s="16" t="inlineStr"/>
      <c r="H124" s="20" t="n"/>
      <c r="I124" s="20" t="n"/>
      <c r="J124" s="20" t="n"/>
      <c r="K124" s="23" t="n"/>
    </row>
    <row r="125" outlineLevel="1" ht="26" customHeight="1">
      <c r="A125" s="11" t="inlineStr">
        <is>
          <t>D4</t>
        </is>
      </c>
      <c r="B125" s="11" t="inlineStr">
        <is>
          <t>4.3</t>
        </is>
      </c>
      <c r="C125" s="15" t="inlineStr">
        <is>
          <t>Prompt &amp; Context Engineering</t>
        </is>
      </c>
      <c r="D125" s="12" t="inlineStr">
        <is>
          <t>4.3.2</t>
        </is>
      </c>
      <c r="E125" s="13" t="inlineStr">
        <is>
          <t>Prompt Versioning &amp; Registry</t>
        </is>
      </c>
      <c r="F125" s="14" t="inlineStr">
        <is>
          <t>Version, review and register prompts as controlled artifacts.</t>
        </is>
      </c>
      <c r="G125" s="16" t="inlineStr"/>
      <c r="H125" s="20" t="n"/>
      <c r="I125" s="20" t="n"/>
      <c r="J125" s="20" t="n"/>
      <c r="K125" s="23" t="n"/>
    </row>
    <row r="126" outlineLevel="1" ht="26" customHeight="1">
      <c r="A126" s="11" t="inlineStr">
        <is>
          <t>D4</t>
        </is>
      </c>
      <c r="B126" s="11" t="inlineStr">
        <is>
          <t>4.3</t>
        </is>
      </c>
      <c r="C126" s="15" t="inlineStr">
        <is>
          <t>Prompt &amp; Context Engineering</t>
        </is>
      </c>
      <c r="D126" s="12" t="inlineStr">
        <is>
          <t>4.3.3</t>
        </is>
      </c>
      <c r="E126" s="13" t="inlineStr">
        <is>
          <t>Context Assembly &amp; Window Management</t>
        </is>
      </c>
      <c r="F126" s="14" t="inlineStr">
        <is>
          <t>Assemble context deliberately and manage what is included, ordered and dropped.</t>
        </is>
      </c>
      <c r="G126" s="16" t="inlineStr"/>
      <c r="H126" s="20" t="n"/>
      <c r="I126" s="20" t="n"/>
      <c r="J126" s="20" t="n"/>
      <c r="K126" s="23" t="n"/>
    </row>
    <row r="127" outlineLevel="1" ht="26" customHeight="1">
      <c r="A127" s="11" t="inlineStr">
        <is>
          <t>D4</t>
        </is>
      </c>
      <c r="B127" s="11" t="inlineStr">
        <is>
          <t>4.3</t>
        </is>
      </c>
      <c r="C127" s="15" t="inlineStr">
        <is>
          <t>Prompt &amp; Context Engineering</t>
        </is>
      </c>
      <c r="D127" s="12" t="inlineStr">
        <is>
          <t>4.3.4</t>
        </is>
      </c>
      <c r="E127" s="13" t="inlineStr">
        <is>
          <t>Grounding Strategy Design</t>
        </is>
      </c>
      <c r="F127" s="14" t="inlineStr">
        <is>
          <t>Decide what the model is permitted to answer from, and enforce it.</t>
        </is>
      </c>
      <c r="G127" s="16" t="inlineStr"/>
      <c r="H127" s="20" t="n"/>
      <c r="I127" s="20" t="n"/>
      <c r="J127" s="20" t="n"/>
      <c r="K127" s="23" t="n"/>
    </row>
    <row r="128" outlineLevel="1" ht="26" customHeight="1">
      <c r="A128" s="11" t="inlineStr">
        <is>
          <t>D4</t>
        </is>
      </c>
      <c r="B128" s="11" t="inlineStr">
        <is>
          <t>4.3</t>
        </is>
      </c>
      <c r="C128" s="15" t="inlineStr">
        <is>
          <t>Prompt &amp; Context Engineering</t>
        </is>
      </c>
      <c r="D128" s="12" t="inlineStr">
        <is>
          <t>4.3.5</t>
        </is>
      </c>
      <c r="E128" s="13" t="inlineStr">
        <is>
          <t>Prompt &amp; Context Boundary Design</t>
        </is>
      </c>
      <c r="F128" s="14" t="inlineStr">
        <is>
          <t>Construct prompt and context boundaries that constrain what untrusted content can instruct.</t>
        </is>
      </c>
      <c r="G128" s="16" t="inlineStr">
        <is>
          <t>Yes</t>
        </is>
      </c>
      <c r="H128" s="20" t="n"/>
      <c r="I128" s="20" t="n"/>
      <c r="J128" s="20" t="n"/>
      <c r="K128" s="23" t="n"/>
    </row>
    <row r="129" ht="20" customHeight="1">
      <c r="A129" s="39" t="inlineStr">
        <is>
          <t>D4</t>
        </is>
      </c>
      <c r="B129" s="40" t="inlineStr">
        <is>
          <t>4.4</t>
        </is>
      </c>
      <c r="C129" s="41" t="inlineStr">
        <is>
          <t>Agent &amp; Workflow Orchestration Design</t>
        </is>
      </c>
      <c r="D129" s="39" t="inlineStr"/>
      <c r="E129" s="39" t="inlineStr">
        <is>
          <t>6 criteria</t>
        </is>
      </c>
      <c r="F129" s="39" t="inlineStr">
        <is>
          <t>AI Engineering Owner</t>
        </is>
      </c>
      <c r="G129" s="39" t="inlineStr"/>
      <c r="H129" s="39" t="inlineStr"/>
      <c r="I129" s="39" t="inlineStr"/>
      <c r="J129" s="39" t="inlineStr"/>
      <c r="K129" s="39" t="inlineStr"/>
    </row>
    <row r="130" outlineLevel="1" ht="26" customHeight="1">
      <c r="A130" s="11" t="inlineStr">
        <is>
          <t>D4</t>
        </is>
      </c>
      <c r="B130" s="11" t="inlineStr">
        <is>
          <t>4.4</t>
        </is>
      </c>
      <c r="C130" s="15" t="inlineStr">
        <is>
          <t>Agent &amp; Workflow Orchestration Design</t>
        </is>
      </c>
      <c r="D130" s="12" t="inlineStr">
        <is>
          <t>4.4.1</t>
        </is>
      </c>
      <c r="E130" s="13" t="inlineStr">
        <is>
          <t>Agent Specification &amp; Goal Definition</t>
        </is>
      </c>
      <c r="F130" s="14" t="inlineStr">
        <is>
          <t>State an agent's objective, scope and prohibited actions before it is built.</t>
        </is>
      </c>
      <c r="G130" s="16" t="inlineStr">
        <is>
          <t>Yes</t>
        </is>
      </c>
      <c r="H130" s="20" t="n"/>
      <c r="I130" s="20" t="n"/>
      <c r="J130" s="20" t="n"/>
      <c r="K130" s="23" t="n"/>
    </row>
    <row r="131" outlineLevel="1" ht="26" customHeight="1">
      <c r="A131" s="11" t="inlineStr">
        <is>
          <t>D4</t>
        </is>
      </c>
      <c r="B131" s="11" t="inlineStr">
        <is>
          <t>4.4</t>
        </is>
      </c>
      <c r="C131" s="15" t="inlineStr">
        <is>
          <t>Agent &amp; Workflow Orchestration Design</t>
        </is>
      </c>
      <c r="D131" s="12" t="inlineStr">
        <is>
          <t>4.4.2</t>
        </is>
      </c>
      <c r="E131" s="13" t="inlineStr">
        <is>
          <t>Task Decomposition &amp; Planning Design</t>
        </is>
      </c>
      <c r="F131" s="14" t="inlineStr">
        <is>
          <t>Design how an agent breaks work down and selects its next step.</t>
        </is>
      </c>
      <c r="G131" s="16" t="inlineStr">
        <is>
          <t>Yes</t>
        </is>
      </c>
      <c r="H131" s="20" t="n"/>
      <c r="I131" s="20" t="n"/>
      <c r="J131" s="20" t="n"/>
      <c r="K131" s="23" t="n"/>
    </row>
    <row r="132" outlineLevel="1" ht="26" customHeight="1">
      <c r="A132" s="11" t="inlineStr">
        <is>
          <t>D4</t>
        </is>
      </c>
      <c r="B132" s="11" t="inlineStr">
        <is>
          <t>4.4</t>
        </is>
      </c>
      <c r="C132" s="15" t="inlineStr">
        <is>
          <t>Agent &amp; Workflow Orchestration Design</t>
        </is>
      </c>
      <c r="D132" s="12" t="inlineStr">
        <is>
          <t>4.4.3</t>
        </is>
      </c>
      <c r="E132" s="13" t="inlineStr">
        <is>
          <t>Multi-Agent Coordination Design</t>
        </is>
      </c>
      <c r="F132" s="14" t="inlineStr">
        <is>
          <t>Design how agents delegate, communicate and resolve conflict.</t>
        </is>
      </c>
      <c r="G132" s="16" t="inlineStr">
        <is>
          <t>Yes</t>
        </is>
      </c>
      <c r="H132" s="20" t="n"/>
      <c r="I132" s="20" t="n"/>
      <c r="J132" s="20" t="n"/>
      <c r="K132" s="23" t="n"/>
    </row>
    <row r="133" outlineLevel="1" ht="26" customHeight="1">
      <c r="A133" s="11" t="inlineStr">
        <is>
          <t>D4</t>
        </is>
      </c>
      <c r="B133" s="11" t="inlineStr">
        <is>
          <t>4.4</t>
        </is>
      </c>
      <c r="C133" s="15" t="inlineStr">
        <is>
          <t>Agent &amp; Workflow Orchestration Design</t>
        </is>
      </c>
      <c r="D133" s="12" t="inlineStr">
        <is>
          <t>4.4.4</t>
        </is>
      </c>
      <c r="E133" s="13" t="inlineStr">
        <is>
          <t>Agent Memory &amp; State Design</t>
        </is>
      </c>
      <c r="F133" s="14" t="inlineStr">
        <is>
          <t>Design what an agent retains, for how long, and who else can see it.</t>
        </is>
      </c>
      <c r="G133" s="16" t="inlineStr">
        <is>
          <t>Yes</t>
        </is>
      </c>
      <c r="H133" s="20" t="n"/>
      <c r="I133" s="20" t="n"/>
      <c r="J133" s="20" t="n"/>
      <c r="K133" s="23" t="n"/>
    </row>
    <row r="134" outlineLevel="1" ht="26" customHeight="1">
      <c r="A134" s="11" t="inlineStr">
        <is>
          <t>D4</t>
        </is>
      </c>
      <c r="B134" s="11" t="inlineStr">
        <is>
          <t>4.4</t>
        </is>
      </c>
      <c r="C134" s="15" t="inlineStr">
        <is>
          <t>Agent &amp; Workflow Orchestration Design</t>
        </is>
      </c>
      <c r="D134" s="12" t="inlineStr">
        <is>
          <t>4.4.5</t>
        </is>
      </c>
      <c r="E134" s="13" t="inlineStr">
        <is>
          <t>Guardrail &amp; Constraint Design</t>
        </is>
      </c>
      <c r="F134" s="14" t="inlineStr">
        <is>
          <t>Encode hard limits an agent cannot argue its way past.</t>
        </is>
      </c>
      <c r="G134" s="16" t="inlineStr">
        <is>
          <t>Yes</t>
        </is>
      </c>
      <c r="H134" s="20" t="n"/>
      <c r="I134" s="20" t="n"/>
      <c r="J134" s="20" t="n"/>
      <c r="K134" s="23" t="n"/>
    </row>
    <row r="135" outlineLevel="1" ht="26" customHeight="1">
      <c r="A135" s="11" t="inlineStr">
        <is>
          <t>D4</t>
        </is>
      </c>
      <c r="B135" s="11" t="inlineStr">
        <is>
          <t>4.4</t>
        </is>
      </c>
      <c r="C135" s="15" t="inlineStr">
        <is>
          <t>Agent &amp; Workflow Orchestration Design</t>
        </is>
      </c>
      <c r="D135" s="12" t="inlineStr">
        <is>
          <t>4.4.6</t>
        </is>
      </c>
      <c r="E135" s="13" t="inlineStr">
        <is>
          <t>Termination &amp; Loop Control Design</t>
        </is>
      </c>
      <c r="F135" s="14" t="inlineStr">
        <is>
          <t>Design stopping conditions, budgets and loop detection.</t>
        </is>
      </c>
      <c r="G135" s="16" t="inlineStr">
        <is>
          <t>Yes</t>
        </is>
      </c>
      <c r="H135" s="20" t="n"/>
      <c r="I135" s="20" t="n"/>
      <c r="J135" s="20" t="n"/>
      <c r="K135" s="23" t="n"/>
    </row>
    <row r="136" ht="20" customHeight="1">
      <c r="A136" s="39" t="inlineStr">
        <is>
          <t>D4</t>
        </is>
      </c>
      <c r="B136" s="40" t="inlineStr">
        <is>
          <t>4.5</t>
        </is>
      </c>
      <c r="C136" s="41" t="inlineStr">
        <is>
          <t>Integration &amp; Tool Enablement</t>
        </is>
      </c>
      <c r="D136" s="39" t="inlineStr"/>
      <c r="E136" s="39" t="inlineStr">
        <is>
          <t>5 criteria</t>
        </is>
      </c>
      <c r="F136" s="39" t="inlineStr">
        <is>
          <t>Integration Architecture Owner</t>
        </is>
      </c>
      <c r="G136" s="39" t="inlineStr"/>
      <c r="H136" s="39" t="inlineStr"/>
      <c r="I136" s="39" t="inlineStr"/>
      <c r="J136" s="39" t="inlineStr"/>
      <c r="K136" s="39" t="inlineStr"/>
    </row>
    <row r="137" outlineLevel="1" ht="26" customHeight="1">
      <c r="A137" s="11" t="inlineStr">
        <is>
          <t>D4</t>
        </is>
      </c>
      <c r="B137" s="11" t="inlineStr">
        <is>
          <t>4.5</t>
        </is>
      </c>
      <c r="C137" s="15" t="inlineStr">
        <is>
          <t>Integration &amp; Tool Enablement</t>
        </is>
      </c>
      <c r="D137" s="12" t="inlineStr">
        <is>
          <t>4.5.1</t>
        </is>
      </c>
      <c r="E137" s="13" t="inlineStr">
        <is>
          <t>API &amp; System Integration Design</t>
        </is>
      </c>
      <c r="F137" s="14" t="inlineStr">
        <is>
          <t>Design integration to institutional systems with contracts and error semantics.</t>
        </is>
      </c>
      <c r="G137" s="16" t="inlineStr"/>
      <c r="H137" s="20" t="n"/>
      <c r="I137" s="20" t="n"/>
      <c r="J137" s="20" t="n"/>
      <c r="K137" s="23" t="n"/>
    </row>
    <row r="138" outlineLevel="1" ht="26" customHeight="1">
      <c r="A138" s="11" t="inlineStr">
        <is>
          <t>D4</t>
        </is>
      </c>
      <c r="B138" s="11" t="inlineStr">
        <is>
          <t>4.5</t>
        </is>
      </c>
      <c r="C138" s="15" t="inlineStr">
        <is>
          <t>Integration &amp; Tool Enablement</t>
        </is>
      </c>
      <c r="D138" s="12" t="inlineStr">
        <is>
          <t>4.5.2</t>
        </is>
      </c>
      <c r="E138" s="13" t="inlineStr">
        <is>
          <t>Tool &amp; Function Definition</t>
        </is>
      </c>
      <c r="F138" s="14" t="inlineStr">
        <is>
          <t>Define the callable actions exposed to a model, with typed inputs and stated effects.</t>
        </is>
      </c>
      <c r="G138" s="16" t="inlineStr">
        <is>
          <t>Yes</t>
        </is>
      </c>
      <c r="H138" s="20" t="n"/>
      <c r="I138" s="20" t="n"/>
      <c r="J138" s="20" t="n"/>
      <c r="K138" s="23" t="n"/>
    </row>
    <row r="139" outlineLevel="1" ht="26" customHeight="1">
      <c r="A139" s="11" t="inlineStr">
        <is>
          <t>D4</t>
        </is>
      </c>
      <c r="B139" s="11" t="inlineStr">
        <is>
          <t>4.5</t>
        </is>
      </c>
      <c r="C139" s="15" t="inlineStr">
        <is>
          <t>Integration &amp; Tool Enablement</t>
        </is>
      </c>
      <c r="D139" s="12" t="inlineStr">
        <is>
          <t>4.5.3</t>
        </is>
      </c>
      <c r="E139" s="13" t="inlineStr">
        <is>
          <t>Capability Exposure to AI Clients</t>
        </is>
      </c>
      <c r="F139" s="14" t="inlineStr">
        <is>
          <t>Expose institutional capability to AI clients through the prevailing open tool-interface standard.</t>
        </is>
      </c>
      <c r="G139" s="16" t="inlineStr">
        <is>
          <t>Yes</t>
        </is>
      </c>
      <c r="H139" s="20" t="n"/>
      <c r="I139" s="20" t="n"/>
      <c r="J139" s="20" t="n"/>
      <c r="K139" s="23" t="n"/>
    </row>
    <row r="140" outlineLevel="1" ht="26" customHeight="1">
      <c r="A140" s="11" t="inlineStr">
        <is>
          <t>D4</t>
        </is>
      </c>
      <c r="B140" s="11" t="inlineStr">
        <is>
          <t>4.5</t>
        </is>
      </c>
      <c r="C140" s="15" t="inlineStr">
        <is>
          <t>Integration &amp; Tool Enablement</t>
        </is>
      </c>
      <c r="D140" s="12" t="inlineStr">
        <is>
          <t>4.5.4</t>
        </is>
      </c>
      <c r="E140" s="13" t="inlineStr">
        <is>
          <t>Identity Propagation &amp; Delegated Access</t>
        </is>
      </c>
      <c r="F140" s="14" t="inlineStr">
        <is>
          <t>Carry the acting user's identity through to the system of record.</t>
        </is>
      </c>
      <c r="G140" s="16" t="inlineStr">
        <is>
          <t>Yes</t>
        </is>
      </c>
      <c r="H140" s="20" t="n"/>
      <c r="I140" s="20" t="n"/>
      <c r="J140" s="20" t="n"/>
      <c r="K140" s="23" t="n"/>
    </row>
    <row r="141" outlineLevel="1" ht="26" customHeight="1">
      <c r="A141" s="11" t="inlineStr">
        <is>
          <t>D4</t>
        </is>
      </c>
      <c r="B141" s="11" t="inlineStr">
        <is>
          <t>4.5</t>
        </is>
      </c>
      <c r="C141" s="15" t="inlineStr">
        <is>
          <t>Integration &amp; Tool Enablement</t>
        </is>
      </c>
      <c r="D141" s="12" t="inlineStr">
        <is>
          <t>4.5.5</t>
        </is>
      </c>
      <c r="E141" s="13" t="inlineStr">
        <is>
          <t>Legacy &amp; Core System Adaptation</t>
        </is>
      </c>
      <c r="F141" s="14" t="inlineStr">
        <is>
          <t>Reach systems that were never designed to be called by an AI client.</t>
        </is>
      </c>
      <c r="G141" s="16" t="inlineStr"/>
      <c r="H141" s="20" t="n"/>
      <c r="I141" s="20" t="n"/>
      <c r="J141" s="20" t="n"/>
      <c r="K141" s="23" t="n"/>
    </row>
    <row r="142" ht="20" customHeight="1">
      <c r="A142" s="39" t="inlineStr">
        <is>
          <t>D4</t>
        </is>
      </c>
      <c r="B142" s="40" t="inlineStr">
        <is>
          <t>4.6</t>
        </is>
      </c>
      <c r="C142" s="41" t="inlineStr">
        <is>
          <t>AI Evaluation &amp; Testing</t>
        </is>
      </c>
      <c r="D142" s="39" t="inlineStr"/>
      <c r="E142" s="39" t="inlineStr">
        <is>
          <t>5 criteria</t>
        </is>
      </c>
      <c r="F142" s="39" t="inlineStr">
        <is>
          <t>Quality Engineering Owner</t>
        </is>
      </c>
      <c r="G142" s="39" t="inlineStr"/>
      <c r="H142" s="39" t="inlineStr"/>
      <c r="I142" s="39" t="inlineStr"/>
      <c r="J142" s="39" t="inlineStr"/>
      <c r="K142" s="39" t="inlineStr"/>
    </row>
    <row r="143" outlineLevel="1" ht="26" customHeight="1">
      <c r="A143" s="11" t="inlineStr">
        <is>
          <t>D4</t>
        </is>
      </c>
      <c r="B143" s="11" t="inlineStr">
        <is>
          <t>4.6</t>
        </is>
      </c>
      <c r="C143" s="15" t="inlineStr">
        <is>
          <t>AI Evaluation &amp; Testing</t>
        </is>
      </c>
      <c r="D143" s="12" t="inlineStr">
        <is>
          <t>4.6.1</t>
        </is>
      </c>
      <c r="E143" s="13" t="inlineStr">
        <is>
          <t>Evaluation Criteria &amp; Metric Definition</t>
        </is>
      </c>
      <c r="F143" s="14" t="inlineStr">
        <is>
          <t>Define the metrics that constitute acceptable performance for this use case.</t>
        </is>
      </c>
      <c r="G143" s="16" t="inlineStr"/>
      <c r="H143" s="20" t="n"/>
      <c r="I143" s="20" t="n"/>
      <c r="J143" s="20" t="n"/>
      <c r="K143" s="23" t="n"/>
    </row>
    <row r="144" outlineLevel="1" ht="26" customHeight="1">
      <c r="A144" s="11" t="inlineStr">
        <is>
          <t>D4</t>
        </is>
      </c>
      <c r="B144" s="11" t="inlineStr">
        <is>
          <t>4.6</t>
        </is>
      </c>
      <c r="C144" s="15" t="inlineStr">
        <is>
          <t>AI Evaluation &amp; Testing</t>
        </is>
      </c>
      <c r="D144" s="12" t="inlineStr">
        <is>
          <t>4.6.2</t>
        </is>
      </c>
      <c r="E144" s="13" t="inlineStr">
        <is>
          <t>Golden Dataset &amp; Test Set Management</t>
        </is>
      </c>
      <c r="F144" s="14" t="inlineStr">
        <is>
          <t>Build and maintain representative evaluation sets with known-correct answers.</t>
        </is>
      </c>
      <c r="G144" s="16" t="inlineStr"/>
      <c r="H144" s="20" t="n"/>
      <c r="I144" s="20" t="n"/>
      <c r="J144" s="20" t="n"/>
      <c r="K144" s="23" t="n"/>
    </row>
    <row r="145" outlineLevel="1" ht="26" customHeight="1">
      <c r="A145" s="11" t="inlineStr">
        <is>
          <t>D4</t>
        </is>
      </c>
      <c r="B145" s="11" t="inlineStr">
        <is>
          <t>4.6</t>
        </is>
      </c>
      <c r="C145" s="15" t="inlineStr">
        <is>
          <t>AI Evaluation &amp; Testing</t>
        </is>
      </c>
      <c r="D145" s="12" t="inlineStr">
        <is>
          <t>4.6.3</t>
        </is>
      </c>
      <c r="E145" s="13" t="inlineStr">
        <is>
          <t>Automated Evaluation Harness Operation</t>
        </is>
      </c>
      <c r="F145" s="14" t="inlineStr">
        <is>
          <t>Run evaluations repeatably as part of the delivery pipeline.</t>
        </is>
      </c>
      <c r="G145" s="16" t="inlineStr"/>
      <c r="H145" s="20" t="n"/>
      <c r="I145" s="20" t="n"/>
      <c r="J145" s="20" t="n"/>
      <c r="K145" s="23" t="n"/>
    </row>
    <row r="146" outlineLevel="1" ht="26" customHeight="1">
      <c r="A146" s="11" t="inlineStr">
        <is>
          <t>D4</t>
        </is>
      </c>
      <c r="B146" s="11" t="inlineStr">
        <is>
          <t>4.6</t>
        </is>
      </c>
      <c r="C146" s="15" t="inlineStr">
        <is>
          <t>AI Evaluation &amp; Testing</t>
        </is>
      </c>
      <c r="D146" s="12" t="inlineStr">
        <is>
          <t>4.6.4</t>
        </is>
      </c>
      <c r="E146" s="13" t="inlineStr">
        <is>
          <t>Human Review &amp; Expert Evaluation</t>
        </is>
      </c>
      <c r="F146" s="14" t="inlineStr">
        <is>
          <t>Obtain qualified human judgement where automated metrics are insufficient.</t>
        </is>
      </c>
      <c r="G146" s="16" t="inlineStr"/>
      <c r="H146" s="20" t="n"/>
      <c r="I146" s="20" t="n"/>
      <c r="J146" s="20" t="n"/>
      <c r="K146" s="23" t="n"/>
    </row>
    <row r="147" outlineLevel="1" ht="26" customHeight="1">
      <c r="A147" s="11" t="inlineStr">
        <is>
          <t>D4</t>
        </is>
      </c>
      <c r="B147" s="11" t="inlineStr">
        <is>
          <t>4.6</t>
        </is>
      </c>
      <c r="C147" s="15" t="inlineStr">
        <is>
          <t>AI Evaluation &amp; Testing</t>
        </is>
      </c>
      <c r="D147" s="12" t="inlineStr">
        <is>
          <t>4.6.5</t>
        </is>
      </c>
      <c r="E147" s="13" t="inlineStr">
        <is>
          <t>Pre-Deployment Acceptance Testing</t>
        </is>
      </c>
      <c r="F147" s="14" t="inlineStr">
        <is>
          <t>Test against acceptance criteria and record the result as release evidence.</t>
        </is>
      </c>
      <c r="G147" s="16" t="inlineStr"/>
      <c r="H147" s="20" t="n"/>
      <c r="I147" s="20" t="n"/>
      <c r="J147" s="20" t="n"/>
      <c r="K147" s="23" t="n"/>
    </row>
    <row r="148" ht="20" customHeight="1">
      <c r="A148" s="39" t="inlineStr">
        <is>
          <t>D4</t>
        </is>
      </c>
      <c r="B148" s="40" t="inlineStr">
        <is>
          <t>4.7</t>
        </is>
      </c>
      <c r="C148" s="41" t="inlineStr">
        <is>
          <t>AI Release &amp; Change Management</t>
        </is>
      </c>
      <c r="D148" s="39" t="inlineStr"/>
      <c r="E148" s="39" t="inlineStr">
        <is>
          <t>5 criteria</t>
        </is>
      </c>
      <c r="F148" s="39" t="inlineStr">
        <is>
          <t>DevSecOps Owner</t>
        </is>
      </c>
      <c r="G148" s="39" t="inlineStr"/>
      <c r="H148" s="39" t="inlineStr"/>
      <c r="I148" s="39" t="inlineStr"/>
      <c r="J148" s="39" t="inlineStr"/>
      <c r="K148" s="39" t="inlineStr"/>
    </row>
    <row r="149" outlineLevel="1" ht="26" customHeight="1">
      <c r="A149" s="11" t="inlineStr">
        <is>
          <t>D4</t>
        </is>
      </c>
      <c r="B149" s="11" t="inlineStr">
        <is>
          <t>4.7</t>
        </is>
      </c>
      <c r="C149" s="15" t="inlineStr">
        <is>
          <t>AI Release &amp; Change Management</t>
        </is>
      </c>
      <c r="D149" s="12" t="inlineStr">
        <is>
          <t>4.7.1</t>
        </is>
      </c>
      <c r="E149" s="13" t="inlineStr">
        <is>
          <t>Build &amp; Continuous Integration</t>
        </is>
      </c>
      <c r="F149" s="14" t="inlineStr">
        <is>
          <t>Build AI artifacts through an automated, auditable pipeline.</t>
        </is>
      </c>
      <c r="G149" s="16" t="inlineStr"/>
      <c r="H149" s="20" t="n"/>
      <c r="I149" s="20" t="n"/>
      <c r="J149" s="20" t="n"/>
      <c r="K149" s="23" t="n"/>
    </row>
    <row r="150" outlineLevel="1" ht="26" customHeight="1">
      <c r="A150" s="11" t="inlineStr">
        <is>
          <t>D4</t>
        </is>
      </c>
      <c r="B150" s="11" t="inlineStr">
        <is>
          <t>4.7</t>
        </is>
      </c>
      <c r="C150" s="15" t="inlineStr">
        <is>
          <t>AI Release &amp; Change Management</t>
        </is>
      </c>
      <c r="D150" s="12" t="inlineStr">
        <is>
          <t>4.7.2</t>
        </is>
      </c>
      <c r="E150" s="13" t="inlineStr">
        <is>
          <t>Promotion &amp; Environment Progression</t>
        </is>
      </c>
      <c r="F150" s="14" t="inlineStr">
        <is>
          <t>Move artifacts through environments under defined entry and exit criteria.</t>
        </is>
      </c>
      <c r="G150" s="16" t="inlineStr"/>
      <c r="H150" s="20" t="n"/>
      <c r="I150" s="20" t="n"/>
      <c r="J150" s="20" t="n"/>
      <c r="K150" s="23" t="n"/>
    </row>
    <row r="151" outlineLevel="1" ht="26" customHeight="1">
      <c r="A151" s="11" t="inlineStr">
        <is>
          <t>D4</t>
        </is>
      </c>
      <c r="B151" s="11" t="inlineStr">
        <is>
          <t>4.7</t>
        </is>
      </c>
      <c r="C151" s="15" t="inlineStr">
        <is>
          <t>AI Release &amp; Change Management</t>
        </is>
      </c>
      <c r="D151" s="12" t="inlineStr">
        <is>
          <t>4.7.3</t>
        </is>
      </c>
      <c r="E151" s="13" t="inlineStr">
        <is>
          <t>Change Approval &amp; Release Authorization</t>
        </is>
      </c>
      <c r="F151" s="14" t="inlineStr">
        <is>
          <t>Authorise AI change through a route proportionate to its risk tier.</t>
        </is>
      </c>
      <c r="G151" s="16" t="inlineStr"/>
      <c r="H151" s="20" t="n"/>
      <c r="I151" s="20" t="n"/>
      <c r="J151" s="20" t="n"/>
      <c r="K151" s="23" t="n"/>
    </row>
    <row r="152" outlineLevel="1" ht="26" customHeight="1">
      <c r="A152" s="11" t="inlineStr">
        <is>
          <t>D4</t>
        </is>
      </c>
      <c r="B152" s="11" t="inlineStr">
        <is>
          <t>4.7</t>
        </is>
      </c>
      <c r="C152" s="15" t="inlineStr">
        <is>
          <t>AI Release &amp; Change Management</t>
        </is>
      </c>
      <c r="D152" s="12" t="inlineStr">
        <is>
          <t>4.7.4</t>
        </is>
      </c>
      <c r="E152" s="13" t="inlineStr">
        <is>
          <t>Rollback &amp; Release Reversal</t>
        </is>
      </c>
      <c r="F152" s="14" t="inlineStr">
        <is>
          <t>Return a deployed AI system to a previously accepted release.</t>
        </is>
      </c>
      <c r="G152" s="16" t="inlineStr"/>
      <c r="H152" s="20" t="n"/>
      <c r="I152" s="20" t="n"/>
      <c r="J152" s="20" t="n"/>
      <c r="K152" s="23" t="n"/>
    </row>
    <row r="153" outlineLevel="1" ht="26" customHeight="1">
      <c r="A153" s="11" t="inlineStr">
        <is>
          <t>D4</t>
        </is>
      </c>
      <c r="B153" s="11" t="inlineStr">
        <is>
          <t>4.7</t>
        </is>
      </c>
      <c r="C153" s="15" t="inlineStr">
        <is>
          <t>AI Release &amp; Change Management</t>
        </is>
      </c>
      <c r="D153" s="12" t="inlineStr">
        <is>
          <t>4.7.5</t>
        </is>
      </c>
      <c r="E153" s="13" t="inlineStr">
        <is>
          <t>Release Documentation &amp; Evidence Capture</t>
        </is>
      </c>
      <c r="F153" s="14" t="inlineStr">
        <is>
          <t>Capture at release the evidence that later assurance work will need.</t>
        </is>
      </c>
      <c r="G153" s="16" t="inlineStr"/>
      <c r="H153" s="20" t="n"/>
      <c r="I153" s="20" t="n"/>
      <c r="J153" s="20" t="n"/>
      <c r="K153" s="23" t="n"/>
    </row>
    <row r="154" ht="20" customHeight="1">
      <c r="A154" s="39" t="inlineStr">
        <is>
          <t>D5</t>
        </is>
      </c>
      <c r="B154" s="40" t="inlineStr">
        <is>
          <t>5.1</t>
        </is>
      </c>
      <c r="C154" s="41" t="inlineStr">
        <is>
          <t>AI Platform Service Provisioning</t>
        </is>
      </c>
      <c r="D154" s="39" t="inlineStr"/>
      <c r="E154" s="39" t="inlineStr">
        <is>
          <t>5 criteria</t>
        </is>
      </c>
      <c r="F154" s="39" t="inlineStr">
        <is>
          <t>AI Platform Owner</t>
        </is>
      </c>
      <c r="G154" s="39" t="inlineStr"/>
      <c r="H154" s="39" t="inlineStr"/>
      <c r="I154" s="39" t="inlineStr"/>
      <c r="J154" s="39" t="inlineStr"/>
      <c r="K154" s="39" t="inlineStr"/>
    </row>
    <row r="155" outlineLevel="1" ht="26" customHeight="1">
      <c r="A155" s="11" t="inlineStr">
        <is>
          <t>D5</t>
        </is>
      </c>
      <c r="B155" s="11" t="inlineStr">
        <is>
          <t>5.1</t>
        </is>
      </c>
      <c r="C155" s="15" t="inlineStr">
        <is>
          <t>AI Platform Service Provisioning</t>
        </is>
      </c>
      <c r="D155" s="12" t="inlineStr">
        <is>
          <t>5.1.1</t>
        </is>
      </c>
      <c r="E155" s="13" t="inlineStr">
        <is>
          <t>Platform Service Catalog Management</t>
        </is>
      </c>
      <c r="F155" s="14" t="inlineStr">
        <is>
          <t>Publish what AI platform services exist, their terms and how to obtain them.</t>
        </is>
      </c>
      <c r="G155" s="16" t="inlineStr"/>
      <c r="H155" s="20" t="n"/>
      <c r="I155" s="20" t="n"/>
      <c r="J155" s="20" t="n"/>
      <c r="K155" s="23" t="n"/>
    </row>
    <row r="156" outlineLevel="1" ht="26" customHeight="1">
      <c r="A156" s="11" t="inlineStr">
        <is>
          <t>D5</t>
        </is>
      </c>
      <c r="B156" s="11" t="inlineStr">
        <is>
          <t>5.1</t>
        </is>
      </c>
      <c r="C156" s="15" t="inlineStr">
        <is>
          <t>AI Platform Service Provisioning</t>
        </is>
      </c>
      <c r="D156" s="12" t="inlineStr">
        <is>
          <t>5.1.2</t>
        </is>
      </c>
      <c r="E156" s="13" t="inlineStr">
        <is>
          <t>Landing Zone &amp; Baseline Provisioning</t>
        </is>
      </c>
      <c r="F156" s="14" t="inlineStr">
        <is>
          <t>Provision AI environments from a compliant baseline rather than by hand.</t>
        </is>
      </c>
      <c r="G156" s="16" t="inlineStr"/>
      <c r="H156" s="20" t="n"/>
      <c r="I156" s="20" t="n"/>
      <c r="J156" s="20" t="n"/>
      <c r="K156" s="23" t="n"/>
    </row>
    <row r="157" outlineLevel="1" ht="26" customHeight="1">
      <c r="A157" s="11" t="inlineStr">
        <is>
          <t>D5</t>
        </is>
      </c>
      <c r="B157" s="11" t="inlineStr">
        <is>
          <t>5.1</t>
        </is>
      </c>
      <c r="C157" s="15" t="inlineStr">
        <is>
          <t>AI Platform Service Provisioning</t>
        </is>
      </c>
      <c r="D157" s="12" t="inlineStr">
        <is>
          <t>5.1.3</t>
        </is>
      </c>
      <c r="E157" s="13" t="inlineStr">
        <is>
          <t>Platform Configuration &amp; Policy Enforcement</t>
        </is>
      </c>
      <c r="F157" s="14" t="inlineStr">
        <is>
          <t>Enforce configuration standards technically, not by instruction.</t>
        </is>
      </c>
      <c r="G157" s="16" t="inlineStr"/>
      <c r="H157" s="20" t="n"/>
      <c r="I157" s="20" t="n"/>
      <c r="J157" s="20" t="n"/>
      <c r="K157" s="23" t="n"/>
    </row>
    <row r="158" outlineLevel="1" ht="26" customHeight="1">
      <c r="A158" s="11" t="inlineStr">
        <is>
          <t>D5</t>
        </is>
      </c>
      <c r="B158" s="11" t="inlineStr">
        <is>
          <t>5.1</t>
        </is>
      </c>
      <c r="C158" s="15" t="inlineStr">
        <is>
          <t>AI Platform Service Provisioning</t>
        </is>
      </c>
      <c r="D158" s="12" t="inlineStr">
        <is>
          <t>5.1.4</t>
        </is>
      </c>
      <c r="E158" s="13" t="inlineStr">
        <is>
          <t>Platform Service Level Commitment</t>
        </is>
      </c>
      <c r="F158" s="14" t="inlineStr">
        <is>
          <t>Commit to and meet service levels for the shared AI platform services the institution offers.</t>
        </is>
      </c>
      <c r="G158" s="16" t="inlineStr"/>
      <c r="H158" s="20" t="n"/>
      <c r="I158" s="20" t="n"/>
      <c r="J158" s="20" t="n"/>
      <c r="K158" s="23" t="n"/>
    </row>
    <row r="159" outlineLevel="1" ht="26" customHeight="1">
      <c r="A159" s="11" t="inlineStr">
        <is>
          <t>D5</t>
        </is>
      </c>
      <c r="B159" s="11" t="inlineStr">
        <is>
          <t>5.1</t>
        </is>
      </c>
      <c r="C159" s="15" t="inlineStr">
        <is>
          <t>AI Platform Service Provisioning</t>
        </is>
      </c>
      <c r="D159" s="12" t="inlineStr">
        <is>
          <t>5.1.5</t>
        </is>
      </c>
      <c r="E159" s="13" t="inlineStr">
        <is>
          <t>Platform Upgrade &amp; Deprecation Management</t>
        </is>
      </c>
      <c r="F159" s="14" t="inlineStr">
        <is>
          <t>Move consumers across platform versions without stranding them.</t>
        </is>
      </c>
      <c r="G159" s="16" t="inlineStr"/>
      <c r="H159" s="20" t="n"/>
      <c r="I159" s="20" t="n"/>
      <c r="J159" s="20" t="n"/>
      <c r="K159" s="23" t="n"/>
    </row>
    <row r="160" ht="20" customHeight="1">
      <c r="A160" s="39" t="inlineStr">
        <is>
          <t>D5</t>
        </is>
      </c>
      <c r="B160" s="40" t="inlineStr">
        <is>
          <t>5.2</t>
        </is>
      </c>
      <c r="C160" s="41" t="inlineStr">
        <is>
          <t>Model Access &amp; Traffic Management</t>
        </is>
      </c>
      <c r="D160" s="39" t="inlineStr"/>
      <c r="E160" s="39" t="inlineStr">
        <is>
          <t>5 criteria</t>
        </is>
      </c>
      <c r="F160" s="39" t="inlineStr">
        <is>
          <t>AI Platform Owner</t>
        </is>
      </c>
      <c r="G160" s="39" t="inlineStr"/>
      <c r="H160" s="39" t="inlineStr"/>
      <c r="I160" s="39" t="inlineStr"/>
      <c r="J160" s="39" t="inlineStr"/>
      <c r="K160" s="39" t="inlineStr"/>
    </row>
    <row r="161" outlineLevel="1" ht="26" customHeight="1">
      <c r="A161" s="11" t="inlineStr">
        <is>
          <t>D5</t>
        </is>
      </c>
      <c r="B161" s="11" t="inlineStr">
        <is>
          <t>5.2</t>
        </is>
      </c>
      <c r="C161" s="15" t="inlineStr">
        <is>
          <t>Model Access &amp; Traffic Management</t>
        </is>
      </c>
      <c r="D161" s="12" t="inlineStr">
        <is>
          <t>5.2.1</t>
        </is>
      </c>
      <c r="E161" s="13" t="inlineStr">
        <is>
          <t>Model Clearance &amp; Approved Model List</t>
        </is>
      </c>
      <c r="F161" s="14" t="inlineStr">
        <is>
          <t>Assess candidate models against institutional criteria, record the clearance decision and its conditions, and maintain the approved list.</t>
        </is>
      </c>
      <c r="G161" s="16" t="inlineStr"/>
      <c r="H161" s="20" t="n"/>
      <c r="I161" s="20" t="n"/>
      <c r="J161" s="20" t="n"/>
      <c r="K161" s="23" t="n"/>
    </row>
    <row r="162" outlineLevel="1" ht="26" customHeight="1">
      <c r="A162" s="11" t="inlineStr">
        <is>
          <t>D5</t>
        </is>
      </c>
      <c r="B162" s="11" t="inlineStr">
        <is>
          <t>5.2</t>
        </is>
      </c>
      <c r="C162" s="15" t="inlineStr">
        <is>
          <t>Model Access &amp; Traffic Management</t>
        </is>
      </c>
      <c r="D162" s="12" t="inlineStr">
        <is>
          <t>5.2.2</t>
        </is>
      </c>
      <c r="E162" s="13" t="inlineStr">
        <is>
          <t>Model Traffic Control &amp; Routing</t>
        </is>
      </c>
      <c r="F162" s="14" t="inlineStr">
        <is>
          <t>Route all model traffic through a controlled point that can observe and enforce.</t>
        </is>
      </c>
      <c r="G162" s="16" t="inlineStr"/>
      <c r="H162" s="20" t="n"/>
      <c r="I162" s="20" t="n"/>
      <c r="J162" s="20" t="n"/>
      <c r="K162" s="23" t="n"/>
    </row>
    <row r="163" outlineLevel="1" ht="26" customHeight="1">
      <c r="A163" s="11" t="inlineStr">
        <is>
          <t>D5</t>
        </is>
      </c>
      <c r="B163" s="11" t="inlineStr">
        <is>
          <t>5.2</t>
        </is>
      </c>
      <c r="C163" s="15" t="inlineStr">
        <is>
          <t>Model Access &amp; Traffic Management</t>
        </is>
      </c>
      <c r="D163" s="12" t="inlineStr">
        <is>
          <t>5.2.3</t>
        </is>
      </c>
      <c r="E163" s="13" t="inlineStr">
        <is>
          <t>Quota, Throttling &amp; Rate Management</t>
        </is>
      </c>
      <c r="F163" s="14" t="inlineStr">
        <is>
          <t>Allocate and enforce consumption limits per consumer.</t>
        </is>
      </c>
      <c r="G163" s="16" t="inlineStr"/>
      <c r="H163" s="20" t="n"/>
      <c r="I163" s="20" t="n"/>
      <c r="J163" s="20" t="n"/>
      <c r="K163" s="23" t="n"/>
    </row>
    <row r="164" outlineLevel="1" ht="26" customHeight="1">
      <c r="A164" s="11" t="inlineStr">
        <is>
          <t>D5</t>
        </is>
      </c>
      <c r="B164" s="11" t="inlineStr">
        <is>
          <t>5.2</t>
        </is>
      </c>
      <c r="C164" s="15" t="inlineStr">
        <is>
          <t>Model Access &amp; Traffic Management</t>
        </is>
      </c>
      <c r="D164" s="12" t="inlineStr">
        <is>
          <t>5.2.4</t>
        </is>
      </c>
      <c r="E164" s="13" t="inlineStr">
        <is>
          <t>Model Provider Credential Management</t>
        </is>
      </c>
      <c r="F164" s="14" t="inlineStr">
        <is>
          <t>Issue, rotate and revoke the credentials used to reach model providers and platform services. Agent identity is 7.4.4.</t>
        </is>
      </c>
      <c r="G164" s="16" t="inlineStr"/>
      <c r="H164" s="20" t="n"/>
      <c r="I164" s="20" t="n"/>
      <c r="J164" s="20" t="n"/>
      <c r="K164" s="23" t="n"/>
    </row>
    <row r="165" outlineLevel="1" ht="26" customHeight="1">
      <c r="A165" s="11" t="inlineStr">
        <is>
          <t>D5</t>
        </is>
      </c>
      <c r="B165" s="11" t="inlineStr">
        <is>
          <t>5.2</t>
        </is>
      </c>
      <c r="C165" s="15" t="inlineStr">
        <is>
          <t>Model Access &amp; Traffic Management</t>
        </is>
      </c>
      <c r="D165" s="12" t="inlineStr">
        <is>
          <t>5.2.5</t>
        </is>
      </c>
      <c r="E165" s="13" t="inlineStr">
        <is>
          <t>Model Version Availability &amp; Provider Change Control</t>
        </is>
      </c>
      <c r="F165" s="14" t="inlineStr">
        <is>
          <t>Control which model versions remain reachable and absorb provider-side version change without breaking consumers.</t>
        </is>
      </c>
      <c r="G165" s="16" t="inlineStr"/>
      <c r="H165" s="20" t="n"/>
      <c r="I165" s="20" t="n"/>
      <c r="J165" s="20" t="n"/>
      <c r="K165" s="23" t="n"/>
    </row>
    <row r="166" ht="20" customHeight="1">
      <c r="A166" s="39" t="inlineStr">
        <is>
          <t>D5</t>
        </is>
      </c>
      <c r="B166" s="40" t="inlineStr">
        <is>
          <t>5.3</t>
        </is>
      </c>
      <c r="C166" s="41" t="inlineStr">
        <is>
          <t>AI Environment &amp; Workspace Management</t>
        </is>
      </c>
      <c r="D166" s="39" t="inlineStr"/>
      <c r="E166" s="39" t="inlineStr">
        <is>
          <t>4 criteria</t>
        </is>
      </c>
      <c r="F166" s="39" t="inlineStr">
        <is>
          <t>Cloud Platform Owner</t>
        </is>
      </c>
      <c r="G166" s="39" t="inlineStr"/>
      <c r="H166" s="39" t="inlineStr"/>
      <c r="I166" s="39" t="inlineStr"/>
      <c r="J166" s="39" t="inlineStr"/>
      <c r="K166" s="39" t="inlineStr"/>
    </row>
    <row r="167" outlineLevel="1" ht="26" customHeight="1">
      <c r="A167" s="11" t="inlineStr">
        <is>
          <t>D5</t>
        </is>
      </c>
      <c r="B167" s="11" t="inlineStr">
        <is>
          <t>5.3</t>
        </is>
      </c>
      <c r="C167" s="15" t="inlineStr">
        <is>
          <t>AI Environment &amp; Workspace Management</t>
        </is>
      </c>
      <c r="D167" s="12" t="inlineStr">
        <is>
          <t>5.3.1</t>
        </is>
      </c>
      <c r="E167" s="13" t="inlineStr">
        <is>
          <t>Experimentation Environment Provision</t>
        </is>
      </c>
      <c r="F167" s="14" t="inlineStr">
        <is>
          <t>Provide safe environments for experimentation with clear data rules.</t>
        </is>
      </c>
      <c r="G167" s="16" t="inlineStr"/>
      <c r="H167" s="20" t="n"/>
      <c r="I167" s="20" t="n"/>
      <c r="J167" s="20" t="n"/>
      <c r="K167" s="23" t="n"/>
    </row>
    <row r="168" outlineLevel="1" ht="26" customHeight="1">
      <c r="A168" s="11" t="inlineStr">
        <is>
          <t>D5</t>
        </is>
      </c>
      <c r="B168" s="11" t="inlineStr">
        <is>
          <t>5.3</t>
        </is>
      </c>
      <c r="C168" s="15" t="inlineStr">
        <is>
          <t>AI Environment &amp; Workspace Management</t>
        </is>
      </c>
      <c r="D168" s="12" t="inlineStr">
        <is>
          <t>5.3.2</t>
        </is>
      </c>
      <c r="E168" s="13" t="inlineStr">
        <is>
          <t>Workspace Tenancy &amp; Isolation</t>
        </is>
      </c>
      <c r="F168" s="14" t="inlineStr">
        <is>
          <t>Define and enforce the tenancy and isolation topology between team workspaces.</t>
        </is>
      </c>
      <c r="G168" s="16" t="inlineStr"/>
      <c r="H168" s="20" t="n"/>
      <c r="I168" s="20" t="n"/>
      <c r="J168" s="20" t="n"/>
      <c r="K168" s="23" t="n"/>
    </row>
    <row r="169" outlineLevel="1" ht="26" customHeight="1">
      <c r="A169" s="11" t="inlineStr">
        <is>
          <t>D5</t>
        </is>
      </c>
      <c r="B169" s="11" t="inlineStr">
        <is>
          <t>5.3</t>
        </is>
      </c>
      <c r="C169" s="15" t="inlineStr">
        <is>
          <t>AI Environment &amp; Workspace Management</t>
        </is>
      </c>
      <c r="D169" s="12" t="inlineStr">
        <is>
          <t>5.3.3</t>
        </is>
      </c>
      <c r="E169" s="13" t="inlineStr">
        <is>
          <t>Network &amp; Private Connectivity Control</t>
        </is>
      </c>
      <c r="F169" s="14" t="inlineStr">
        <is>
          <t>Control network reachability of AI services and keep traffic private where required.</t>
        </is>
      </c>
      <c r="G169" s="16" t="inlineStr"/>
      <c r="H169" s="20" t="n"/>
      <c r="I169" s="20" t="n"/>
      <c r="J169" s="20" t="n"/>
      <c r="K169" s="23" t="n"/>
    </row>
    <row r="170" outlineLevel="1" ht="26" customHeight="1">
      <c r="A170" s="11" t="inlineStr">
        <is>
          <t>D5</t>
        </is>
      </c>
      <c r="B170" s="11" t="inlineStr">
        <is>
          <t>5.3</t>
        </is>
      </c>
      <c r="C170" s="15" t="inlineStr">
        <is>
          <t>AI Environment &amp; Workspace Management</t>
        </is>
      </c>
      <c r="D170" s="12" t="inlineStr">
        <is>
          <t>5.3.4</t>
        </is>
      </c>
      <c r="E170" s="13" t="inlineStr">
        <is>
          <t>Environment Data Segregation</t>
        </is>
      </c>
      <c r="F170" s="14" t="inlineStr">
        <is>
          <t>Prevent production data from reaching environments not cleared for it.</t>
        </is>
      </c>
      <c r="G170" s="16" t="inlineStr"/>
      <c r="H170" s="20" t="n"/>
      <c r="I170" s="20" t="n"/>
      <c r="J170" s="20" t="n"/>
      <c r="K170" s="23" t="n"/>
    </row>
    <row r="171" ht="20" customHeight="1">
      <c r="A171" s="39" t="inlineStr">
        <is>
          <t>D5</t>
        </is>
      </c>
      <c r="B171" s="40" t="inlineStr">
        <is>
          <t>5.4</t>
        </is>
      </c>
      <c r="C171" s="41" t="inlineStr">
        <is>
          <t>AI Compute &amp; Capacity Management</t>
        </is>
      </c>
      <c r="D171" s="39" t="inlineStr"/>
      <c r="E171" s="39" t="inlineStr">
        <is>
          <t>5 criteria</t>
        </is>
      </c>
      <c r="F171" s="39" t="inlineStr">
        <is>
          <t>Infrastructure Platform Owner</t>
        </is>
      </c>
      <c r="G171" s="39" t="inlineStr"/>
      <c r="H171" s="39" t="inlineStr"/>
      <c r="I171" s="39" t="inlineStr"/>
      <c r="J171" s="39" t="inlineStr"/>
      <c r="K171" s="39" t="inlineStr"/>
    </row>
    <row r="172" outlineLevel="1" ht="26" customHeight="1">
      <c r="A172" s="11" t="inlineStr">
        <is>
          <t>D5</t>
        </is>
      </c>
      <c r="B172" s="11" t="inlineStr">
        <is>
          <t>5.4</t>
        </is>
      </c>
      <c r="C172" s="15" t="inlineStr">
        <is>
          <t>AI Compute &amp; Capacity Management</t>
        </is>
      </c>
      <c r="D172" s="12" t="inlineStr">
        <is>
          <t>5.4.1</t>
        </is>
      </c>
      <c r="E172" s="13" t="inlineStr">
        <is>
          <t>Compute Provisioning &amp; Scheduling</t>
        </is>
      </c>
      <c r="F172" s="14" t="inlineStr">
        <is>
          <t>Make compute available to workloads on a predictable basis.</t>
        </is>
      </c>
      <c r="G172" s="16" t="inlineStr"/>
      <c r="H172" s="20" t="n"/>
      <c r="I172" s="20" t="n"/>
      <c r="J172" s="20" t="n"/>
      <c r="K172" s="23" t="n"/>
    </row>
    <row r="173" outlineLevel="1" ht="26" customHeight="1">
      <c r="A173" s="11" t="inlineStr">
        <is>
          <t>D5</t>
        </is>
      </c>
      <c r="B173" s="11" t="inlineStr">
        <is>
          <t>5.4</t>
        </is>
      </c>
      <c r="C173" s="15" t="inlineStr">
        <is>
          <t>AI Compute &amp; Capacity Management</t>
        </is>
      </c>
      <c r="D173" s="12" t="inlineStr">
        <is>
          <t>5.4.2</t>
        </is>
      </c>
      <c r="E173" s="13" t="inlineStr">
        <is>
          <t>Capacity Planning &amp; Forecasting</t>
        </is>
      </c>
      <c r="F173" s="14" t="inlineStr">
        <is>
          <t>Forecast demand far enough ahead to secure supply.</t>
        </is>
      </c>
      <c r="G173" s="16" t="inlineStr"/>
      <c r="H173" s="20" t="n"/>
      <c r="I173" s="20" t="n"/>
      <c r="J173" s="20" t="n"/>
      <c r="K173" s="23" t="n"/>
    </row>
    <row r="174" outlineLevel="1" ht="26" customHeight="1">
      <c r="A174" s="11" t="inlineStr">
        <is>
          <t>D5</t>
        </is>
      </c>
      <c r="B174" s="11" t="inlineStr">
        <is>
          <t>5.4</t>
        </is>
      </c>
      <c r="C174" s="15" t="inlineStr">
        <is>
          <t>AI Compute &amp; Capacity Management</t>
        </is>
      </c>
      <c r="D174" s="12" t="inlineStr">
        <is>
          <t>5.4.3</t>
        </is>
      </c>
      <c r="E174" s="13" t="inlineStr">
        <is>
          <t>Accelerator &amp; Quota Allocation</t>
        </is>
      </c>
      <c r="F174" s="14" t="inlineStr">
        <is>
          <t>Allocate scarce accelerator capacity against portfolio priority.</t>
        </is>
      </c>
      <c r="G174" s="16" t="inlineStr"/>
      <c r="H174" s="20" t="n"/>
      <c r="I174" s="20" t="n"/>
      <c r="J174" s="20" t="n"/>
      <c r="K174" s="23" t="n"/>
    </row>
    <row r="175" outlineLevel="1" ht="26" customHeight="1">
      <c r="A175" s="11" t="inlineStr">
        <is>
          <t>D5</t>
        </is>
      </c>
      <c r="B175" s="11" t="inlineStr">
        <is>
          <t>5.4</t>
        </is>
      </c>
      <c r="C175" s="15" t="inlineStr">
        <is>
          <t>AI Compute &amp; Capacity Management</t>
        </is>
      </c>
      <c r="D175" s="12" t="inlineStr">
        <is>
          <t>5.4.4</t>
        </is>
      </c>
      <c r="E175" s="13" t="inlineStr">
        <is>
          <t>Workload Placement &amp; Residency Enforcement</t>
        </is>
      </c>
      <c r="F175" s="14" t="inlineStr">
        <is>
          <t>Place workloads in locations that enforce the transfer and residency decisions taken in 3.1.5.</t>
        </is>
      </c>
      <c r="G175" s="16" t="inlineStr"/>
      <c r="H175" s="20" t="n"/>
      <c r="I175" s="20" t="n"/>
      <c r="J175" s="20" t="n"/>
      <c r="K175" s="23" t="n"/>
    </row>
    <row r="176" outlineLevel="1" ht="26" customHeight="1">
      <c r="A176" s="11" t="inlineStr">
        <is>
          <t>D5</t>
        </is>
      </c>
      <c r="B176" s="11" t="inlineStr">
        <is>
          <t>5.4</t>
        </is>
      </c>
      <c r="C176" s="15" t="inlineStr">
        <is>
          <t>AI Compute &amp; Capacity Management</t>
        </is>
      </c>
      <c r="D176" s="12" t="inlineStr">
        <is>
          <t>5.4.5</t>
        </is>
      </c>
      <c r="E176" s="13" t="inlineStr">
        <is>
          <t>Edge &amp; Disconnected Operation</t>
        </is>
      </c>
      <c r="F176" s="14" t="inlineStr">
        <is>
          <t>Run AI where connectivity, latency or residency prevents central serving, including fully offline.</t>
        </is>
      </c>
      <c r="G176" s="16" t="inlineStr"/>
      <c r="H176" s="20" t="n"/>
      <c r="I176" s="20" t="n"/>
      <c r="J176" s="20" t="n"/>
      <c r="K176" s="23" t="n"/>
    </row>
    <row r="177" ht="20" customHeight="1">
      <c r="A177" s="39" t="inlineStr">
        <is>
          <t>D5</t>
        </is>
      </c>
      <c r="B177" s="40" t="inlineStr">
        <is>
          <t>5.5</t>
        </is>
      </c>
      <c r="C177" s="41" t="inlineStr">
        <is>
          <t>Tool &amp; Connector Catalog Management</t>
        </is>
      </c>
      <c r="D177" s="39" t="inlineStr"/>
      <c r="E177" s="39" t="inlineStr">
        <is>
          <t>5 criteria</t>
        </is>
      </c>
      <c r="F177" s="39" t="inlineStr">
        <is>
          <t>Integration Platform Owner</t>
        </is>
      </c>
      <c r="G177" s="39" t="inlineStr"/>
      <c r="H177" s="39" t="inlineStr"/>
      <c r="I177" s="39" t="inlineStr"/>
      <c r="J177" s="39" t="inlineStr"/>
      <c r="K177" s="39" t="inlineStr"/>
    </row>
    <row r="178" outlineLevel="1" ht="26" customHeight="1">
      <c r="A178" s="11" t="inlineStr">
        <is>
          <t>D5</t>
        </is>
      </c>
      <c r="B178" s="11" t="inlineStr">
        <is>
          <t>5.5</t>
        </is>
      </c>
      <c r="C178" s="15" t="inlineStr">
        <is>
          <t>Tool &amp; Connector Catalog Management</t>
        </is>
      </c>
      <c r="D178" s="12" t="inlineStr">
        <is>
          <t>5.5.1</t>
        </is>
      </c>
      <c r="E178" s="13" t="inlineStr">
        <is>
          <t>Tool &amp; Connector Catalog Management</t>
        </is>
      </c>
      <c r="F178" s="14" t="inlineStr">
        <is>
          <t>Maintain the inventory of actions and connectors available to AI systems.</t>
        </is>
      </c>
      <c r="G178" s="16" t="inlineStr">
        <is>
          <t>Yes</t>
        </is>
      </c>
      <c r="H178" s="20" t="n"/>
      <c r="I178" s="20" t="n"/>
      <c r="J178" s="20" t="n"/>
      <c r="K178" s="23" t="n"/>
    </row>
    <row r="179" outlineLevel="1" ht="26" customHeight="1">
      <c r="A179" s="11" t="inlineStr">
        <is>
          <t>D5</t>
        </is>
      </c>
      <c r="B179" s="11" t="inlineStr">
        <is>
          <t>5.5</t>
        </is>
      </c>
      <c r="C179" s="15" t="inlineStr">
        <is>
          <t>Tool &amp; Connector Catalog Management</t>
        </is>
      </c>
      <c r="D179" s="12" t="inlineStr">
        <is>
          <t>5.5.2</t>
        </is>
      </c>
      <c r="E179" s="13" t="inlineStr">
        <is>
          <t>Tool Source Registration &amp; Approval</t>
        </is>
      </c>
      <c r="F179" s="14" t="inlineStr">
        <is>
          <t>Register and approve any source of callable tools before an AI client may reach it.</t>
        </is>
      </c>
      <c r="G179" s="16" t="inlineStr">
        <is>
          <t>Yes</t>
        </is>
      </c>
      <c r="H179" s="20" t="n"/>
      <c r="I179" s="20" t="n"/>
      <c r="J179" s="20" t="n"/>
      <c r="K179" s="23" t="n"/>
    </row>
    <row r="180" outlineLevel="1" ht="26" customHeight="1">
      <c r="A180" s="11" t="inlineStr">
        <is>
          <t>D5</t>
        </is>
      </c>
      <c r="B180" s="11" t="inlineStr">
        <is>
          <t>5.5</t>
        </is>
      </c>
      <c r="C180" s="15" t="inlineStr">
        <is>
          <t>Tool &amp; Connector Catalog Management</t>
        </is>
      </c>
      <c r="D180" s="12" t="inlineStr">
        <is>
          <t>5.5.3</t>
        </is>
      </c>
      <c r="E180" s="13" t="inlineStr">
        <is>
          <t>Tool Permission &amp; Scope Governance</t>
        </is>
      </c>
      <c r="F180" s="14" t="inlineStr">
        <is>
          <t>Set and enforce the scope each tool grants, at least privilege.</t>
        </is>
      </c>
      <c r="G180" s="16" t="inlineStr">
        <is>
          <t>Yes</t>
        </is>
      </c>
      <c r="H180" s="20" t="n"/>
      <c r="I180" s="20" t="n"/>
      <c r="J180" s="20" t="n"/>
      <c r="K180" s="23" t="n"/>
    </row>
    <row r="181" outlineLevel="1" ht="26" customHeight="1">
      <c r="A181" s="11" t="inlineStr">
        <is>
          <t>D5</t>
        </is>
      </c>
      <c r="B181" s="11" t="inlineStr">
        <is>
          <t>5.5</t>
        </is>
      </c>
      <c r="C181" s="15" t="inlineStr">
        <is>
          <t>Tool &amp; Connector Catalog Management</t>
        </is>
      </c>
      <c r="D181" s="12" t="inlineStr">
        <is>
          <t>5.5.4</t>
        </is>
      </c>
      <c r="E181" s="13" t="inlineStr">
        <is>
          <t>Third-Party Tool Vetting</t>
        </is>
      </c>
      <c r="F181" s="14" t="inlineStr">
        <is>
          <t>Assess externally supplied tools and connectors before admission.</t>
        </is>
      </c>
      <c r="G181" s="16" t="inlineStr">
        <is>
          <t>Yes</t>
        </is>
      </c>
      <c r="H181" s="20" t="n"/>
      <c r="I181" s="20" t="n"/>
      <c r="J181" s="20" t="n"/>
      <c r="K181" s="23" t="n"/>
    </row>
    <row r="182" outlineLevel="1" ht="26" customHeight="1">
      <c r="A182" s="11" t="inlineStr">
        <is>
          <t>D5</t>
        </is>
      </c>
      <c r="B182" s="11" t="inlineStr">
        <is>
          <t>5.5</t>
        </is>
      </c>
      <c r="C182" s="15" t="inlineStr">
        <is>
          <t>Tool &amp; Connector Catalog Management</t>
        </is>
      </c>
      <c r="D182" s="12" t="inlineStr">
        <is>
          <t>5.5.5</t>
        </is>
      </c>
      <c r="E182" s="13" t="inlineStr">
        <is>
          <t>Tool Version &amp; Deprecation Control</t>
        </is>
      </c>
      <c r="F182" s="14" t="inlineStr">
        <is>
          <t>Manage tool change so agent behavior does not silently shift.</t>
        </is>
      </c>
      <c r="G182" s="16" t="inlineStr">
        <is>
          <t>Yes</t>
        </is>
      </c>
      <c r="H182" s="20" t="n"/>
      <c r="I182" s="20" t="n"/>
      <c r="J182" s="20" t="n"/>
      <c r="K182" s="23" t="n"/>
    </row>
    <row r="183" ht="20" customHeight="1">
      <c r="A183" s="39" t="inlineStr">
        <is>
          <t>D5</t>
        </is>
      </c>
      <c r="B183" s="40" t="inlineStr">
        <is>
          <t>5.6</t>
        </is>
      </c>
      <c r="C183" s="41" t="inlineStr">
        <is>
          <t>AI Developer Experience &amp; Reuse Assets</t>
        </is>
      </c>
      <c r="D183" s="39" t="inlineStr"/>
      <c r="E183" s="39" t="inlineStr">
        <is>
          <t>5 criteria</t>
        </is>
      </c>
      <c r="F183" s="39" t="inlineStr">
        <is>
          <t>Developer Platform Owner</t>
        </is>
      </c>
      <c r="G183" s="39" t="inlineStr"/>
      <c r="H183" s="39" t="inlineStr"/>
      <c r="I183" s="39" t="inlineStr"/>
      <c r="J183" s="39" t="inlineStr"/>
      <c r="K183" s="39" t="inlineStr"/>
    </row>
    <row r="184" outlineLevel="1" ht="26" customHeight="1">
      <c r="A184" s="11" t="inlineStr">
        <is>
          <t>D5</t>
        </is>
      </c>
      <c r="B184" s="11" t="inlineStr">
        <is>
          <t>5.6</t>
        </is>
      </c>
      <c r="C184" s="15" t="inlineStr">
        <is>
          <t>AI Developer Experience &amp; Reuse Assets</t>
        </is>
      </c>
      <c r="D184" s="12" t="inlineStr">
        <is>
          <t>5.6.1</t>
        </is>
      </c>
      <c r="E184" s="13" t="inlineStr">
        <is>
          <t>Reference Implementation &amp; Template Provision</t>
        </is>
      </c>
      <c r="F184" s="14" t="inlineStr">
        <is>
          <t>Publish working templates that already embed required controls.</t>
        </is>
      </c>
      <c r="G184" s="16" t="inlineStr"/>
      <c r="H184" s="20" t="n"/>
      <c r="I184" s="20" t="n"/>
      <c r="J184" s="20" t="n"/>
      <c r="K184" s="23" t="n"/>
    </row>
    <row r="185" outlineLevel="1" ht="26" customHeight="1">
      <c r="A185" s="11" t="inlineStr">
        <is>
          <t>D5</t>
        </is>
      </c>
      <c r="B185" s="11" t="inlineStr">
        <is>
          <t>5.6</t>
        </is>
      </c>
      <c r="C185" s="15" t="inlineStr">
        <is>
          <t>AI Developer Experience &amp; Reuse Assets</t>
        </is>
      </c>
      <c r="D185" s="12" t="inlineStr">
        <is>
          <t>5.6.2</t>
        </is>
      </c>
      <c r="E185" s="13" t="inlineStr">
        <is>
          <t>SDK, Library &amp; Component Curation</t>
        </is>
      </c>
      <c r="F185" s="14" t="inlineStr">
        <is>
          <t>Curate the approved libraries and shared components teams should build on.</t>
        </is>
      </c>
      <c r="G185" s="16" t="inlineStr"/>
      <c r="H185" s="20" t="n"/>
      <c r="I185" s="20" t="n"/>
      <c r="J185" s="20" t="n"/>
      <c r="K185" s="23" t="n"/>
    </row>
    <row r="186" outlineLevel="1" ht="26" customHeight="1">
      <c r="A186" s="11" t="inlineStr">
        <is>
          <t>D5</t>
        </is>
      </c>
      <c r="B186" s="11" t="inlineStr">
        <is>
          <t>5.6</t>
        </is>
      </c>
      <c r="C186" s="15" t="inlineStr">
        <is>
          <t>AI Developer Experience &amp; Reuse Assets</t>
        </is>
      </c>
      <c r="D186" s="12" t="inlineStr">
        <is>
          <t>5.6.3</t>
        </is>
      </c>
      <c r="E186" s="13" t="inlineStr">
        <is>
          <t>Self-Service Onboarding</t>
        </is>
      </c>
      <c r="F186" s="14" t="inlineStr">
        <is>
          <t>Let a team start correctly without a bespoke engagement.</t>
        </is>
      </c>
      <c r="G186" s="16" t="inlineStr"/>
      <c r="H186" s="20" t="n"/>
      <c r="I186" s="20" t="n"/>
      <c r="J186" s="20" t="n"/>
      <c r="K186" s="23" t="n"/>
    </row>
    <row r="187" outlineLevel="1" ht="26" customHeight="1">
      <c r="A187" s="11" t="inlineStr">
        <is>
          <t>D5</t>
        </is>
      </c>
      <c r="B187" s="11" t="inlineStr">
        <is>
          <t>5.6</t>
        </is>
      </c>
      <c r="C187" s="15" t="inlineStr">
        <is>
          <t>AI Developer Experience &amp; Reuse Assets</t>
        </is>
      </c>
      <c r="D187" s="12" t="inlineStr">
        <is>
          <t>5.6.4</t>
        </is>
      </c>
      <c r="E187" s="13" t="inlineStr">
        <is>
          <t>Inner-Source &amp; Asset Reuse</t>
        </is>
      </c>
      <c r="F187" s="14" t="inlineStr">
        <is>
          <t>Make internally built assets discoverable and reusable across the institution.</t>
        </is>
      </c>
      <c r="G187" s="16" t="inlineStr"/>
      <c r="H187" s="20" t="n"/>
      <c r="I187" s="20" t="n"/>
      <c r="J187" s="20" t="n"/>
      <c r="K187" s="23" t="n"/>
    </row>
    <row r="188" outlineLevel="1" ht="26" customHeight="1">
      <c r="A188" s="11" t="inlineStr">
        <is>
          <t>D5</t>
        </is>
      </c>
      <c r="B188" s="11" t="inlineStr">
        <is>
          <t>5.6</t>
        </is>
      </c>
      <c r="C188" s="15" t="inlineStr">
        <is>
          <t>AI Developer Experience &amp; Reuse Assets</t>
        </is>
      </c>
      <c r="D188" s="12" t="inlineStr">
        <is>
          <t>5.6.5</t>
        </is>
      </c>
      <c r="E188" s="13" t="inlineStr">
        <is>
          <t>Developer Documentation &amp; Support</t>
        </is>
      </c>
      <c r="F188" s="14" t="inlineStr">
        <is>
          <t>Document the platform to the standard its users actually need.</t>
        </is>
      </c>
      <c r="G188" s="16" t="inlineStr"/>
      <c r="H188" s="20" t="n"/>
      <c r="I188" s="20" t="n"/>
      <c r="J188" s="20" t="n"/>
      <c r="K188" s="23" t="n"/>
    </row>
    <row r="189" ht="20" customHeight="1">
      <c r="A189" s="39" t="inlineStr">
        <is>
          <t>D6</t>
        </is>
      </c>
      <c r="B189" s="40" t="inlineStr">
        <is>
          <t>6.1</t>
        </is>
      </c>
      <c r="C189" s="41" t="inlineStr">
        <is>
          <t>AI Deployment &amp; Serving Operations</t>
        </is>
      </c>
      <c r="D189" s="39" t="inlineStr"/>
      <c r="E189" s="39" t="inlineStr">
        <is>
          <t>5 criteria</t>
        </is>
      </c>
      <c r="F189" s="39" t="inlineStr">
        <is>
          <t>AI Operations Owner</t>
        </is>
      </c>
      <c r="G189" s="39" t="inlineStr"/>
      <c r="H189" s="39" t="inlineStr"/>
      <c r="I189" s="39" t="inlineStr"/>
      <c r="J189" s="39" t="inlineStr"/>
      <c r="K189" s="39" t="inlineStr"/>
    </row>
    <row r="190" outlineLevel="1" ht="26" customHeight="1">
      <c r="A190" s="11" t="inlineStr">
        <is>
          <t>D6</t>
        </is>
      </c>
      <c r="B190" s="11" t="inlineStr">
        <is>
          <t>6.1</t>
        </is>
      </c>
      <c r="C190" s="15" t="inlineStr">
        <is>
          <t>AI Deployment &amp; Serving Operations</t>
        </is>
      </c>
      <c r="D190" s="12" t="inlineStr">
        <is>
          <t>6.1.1</t>
        </is>
      </c>
      <c r="E190" s="13" t="inlineStr">
        <is>
          <t>Model &amp; Agent Deployment</t>
        </is>
      </c>
      <c r="F190" s="14" t="inlineStr">
        <is>
          <t>Deploy models and agents into production through a controlled mechanism.</t>
        </is>
      </c>
      <c r="G190" s="16" t="inlineStr">
        <is>
          <t>Yes</t>
        </is>
      </c>
      <c r="H190" s="20" t="n"/>
      <c r="I190" s="20" t="n"/>
      <c r="J190" s="20" t="n"/>
      <c r="K190" s="23" t="n"/>
    </row>
    <row r="191" outlineLevel="1" ht="26" customHeight="1">
      <c r="A191" s="11" t="inlineStr">
        <is>
          <t>D6</t>
        </is>
      </c>
      <c r="B191" s="11" t="inlineStr">
        <is>
          <t>6.1</t>
        </is>
      </c>
      <c r="C191" s="15" t="inlineStr">
        <is>
          <t>AI Deployment &amp; Serving Operations</t>
        </is>
      </c>
      <c r="D191" s="12" t="inlineStr">
        <is>
          <t>6.1.2</t>
        </is>
      </c>
      <c r="E191" s="13" t="inlineStr">
        <is>
          <t>Inference Serving &amp; Scaling</t>
        </is>
      </c>
      <c r="F191" s="14" t="inlineStr">
        <is>
          <t>Serve inference at required throughput and scale it with demand.</t>
        </is>
      </c>
      <c r="G191" s="16" t="inlineStr"/>
      <c r="H191" s="20" t="n"/>
      <c r="I191" s="20" t="n"/>
      <c r="J191" s="20" t="n"/>
      <c r="K191" s="23" t="n"/>
    </row>
    <row r="192" outlineLevel="1" ht="26" customHeight="1">
      <c r="A192" s="11" t="inlineStr">
        <is>
          <t>D6</t>
        </is>
      </c>
      <c r="B192" s="11" t="inlineStr">
        <is>
          <t>6.1</t>
        </is>
      </c>
      <c r="C192" s="15" t="inlineStr">
        <is>
          <t>AI Deployment &amp; Serving Operations</t>
        </is>
      </c>
      <c r="D192" s="12" t="inlineStr">
        <is>
          <t>6.1.3</t>
        </is>
      </c>
      <c r="E192" s="13" t="inlineStr">
        <is>
          <t>Configuration &amp; Feature Flag Control</t>
        </is>
      </c>
      <c r="F192" s="14" t="inlineStr">
        <is>
          <t>Change runtime behavior safely without redeployment.</t>
        </is>
      </c>
      <c r="G192" s="16" t="inlineStr"/>
      <c r="H192" s="20" t="n"/>
      <c r="I192" s="20" t="n"/>
      <c r="J192" s="20" t="n"/>
      <c r="K192" s="23" t="n"/>
    </row>
    <row r="193" outlineLevel="1" ht="26" customHeight="1">
      <c r="A193" s="11" t="inlineStr">
        <is>
          <t>D6</t>
        </is>
      </c>
      <c r="B193" s="11" t="inlineStr">
        <is>
          <t>6.1</t>
        </is>
      </c>
      <c r="C193" s="15" t="inlineStr">
        <is>
          <t>AI Deployment &amp; Serving Operations</t>
        </is>
      </c>
      <c r="D193" s="12" t="inlineStr">
        <is>
          <t>6.1.4</t>
        </is>
      </c>
      <c r="E193" s="13" t="inlineStr">
        <is>
          <t>System Availability &amp; Continuity Management</t>
        </is>
      </c>
      <c r="F193" s="14" t="inlineStr">
        <is>
          <t>Meet availability and continuity commitments for individual AI systems in production.</t>
        </is>
      </c>
      <c r="G193" s="16" t="inlineStr"/>
      <c r="H193" s="20" t="n"/>
      <c r="I193" s="20" t="n"/>
      <c r="J193" s="20" t="n"/>
      <c r="K193" s="23" t="n"/>
    </row>
    <row r="194" outlineLevel="1" ht="26" customHeight="1">
      <c r="A194" s="11" t="inlineStr">
        <is>
          <t>D6</t>
        </is>
      </c>
      <c r="B194" s="11" t="inlineStr">
        <is>
          <t>6.1</t>
        </is>
      </c>
      <c r="C194" s="15" t="inlineStr">
        <is>
          <t>AI Deployment &amp; Serving Operations</t>
        </is>
      </c>
      <c r="D194" s="12" t="inlineStr">
        <is>
          <t>6.1.5</t>
        </is>
      </c>
      <c r="E194" s="13" t="inlineStr">
        <is>
          <t>Operational Readiness &amp; Handover</t>
        </is>
      </c>
      <c r="F194" s="14" t="inlineStr">
        <is>
          <t>Hand over to operations with documented procedures before go-live.</t>
        </is>
      </c>
      <c r="G194" s="16" t="inlineStr"/>
      <c r="H194" s="20" t="n"/>
      <c r="I194" s="20" t="n"/>
      <c r="J194" s="20" t="n"/>
      <c r="K194" s="23" t="n"/>
    </row>
    <row r="195" ht="20" customHeight="1">
      <c r="A195" s="39" t="inlineStr">
        <is>
          <t>D6</t>
        </is>
      </c>
      <c r="B195" s="40" t="inlineStr">
        <is>
          <t>6.2</t>
        </is>
      </c>
      <c r="C195" s="41" t="inlineStr">
        <is>
          <t>AI Monitoring &amp; Observability</t>
        </is>
      </c>
      <c r="D195" s="39" t="inlineStr"/>
      <c r="E195" s="39" t="inlineStr">
        <is>
          <t>5 criteria</t>
        </is>
      </c>
      <c r="F195" s="39" t="inlineStr">
        <is>
          <t>AI SRE Owner</t>
        </is>
      </c>
      <c r="G195" s="39" t="inlineStr"/>
      <c r="H195" s="39" t="inlineStr"/>
      <c r="I195" s="39" t="inlineStr"/>
      <c r="J195" s="39" t="inlineStr"/>
      <c r="K195" s="39" t="inlineStr"/>
    </row>
    <row r="196" outlineLevel="1" ht="26" customHeight="1">
      <c r="A196" s="11" t="inlineStr">
        <is>
          <t>D6</t>
        </is>
      </c>
      <c r="B196" s="11" t="inlineStr">
        <is>
          <t>6.2</t>
        </is>
      </c>
      <c r="C196" s="15" t="inlineStr">
        <is>
          <t>AI Monitoring &amp; Observability</t>
        </is>
      </c>
      <c r="D196" s="12" t="inlineStr">
        <is>
          <t>6.2.1</t>
        </is>
      </c>
      <c r="E196" s="13" t="inlineStr">
        <is>
          <t>Telemetry Instrumentation &amp; Collection</t>
        </is>
      </c>
      <c r="F196" s="14" t="inlineStr">
        <is>
          <t>Instrument AI systems to emit the signals operations and assurance need.</t>
        </is>
      </c>
      <c r="G196" s="16" t="inlineStr"/>
      <c r="H196" s="20" t="n"/>
      <c r="I196" s="20" t="n"/>
      <c r="J196" s="20" t="n"/>
      <c r="K196" s="23" t="n"/>
    </row>
    <row r="197" outlineLevel="1" ht="26" customHeight="1">
      <c r="A197" s="11" t="inlineStr">
        <is>
          <t>D6</t>
        </is>
      </c>
      <c r="B197" s="11" t="inlineStr">
        <is>
          <t>6.2</t>
        </is>
      </c>
      <c r="C197" s="15" t="inlineStr">
        <is>
          <t>AI Monitoring &amp; Observability</t>
        </is>
      </c>
      <c r="D197" s="12" t="inlineStr">
        <is>
          <t>6.2.2</t>
        </is>
      </c>
      <c r="E197" s="13" t="inlineStr">
        <is>
          <t>Trace &amp; Interaction Logging</t>
        </is>
      </c>
      <c r="F197" s="14" t="inlineStr">
        <is>
          <t>Record prompts, context, outputs and decisions to a defined retention standard.</t>
        </is>
      </c>
      <c r="G197" s="16" t="inlineStr">
        <is>
          <t>Yes</t>
        </is>
      </c>
      <c r="H197" s="20" t="n"/>
      <c r="I197" s="20" t="n"/>
      <c r="J197" s="20" t="n"/>
      <c r="K197" s="23" t="n"/>
    </row>
    <row r="198" outlineLevel="1" ht="26" customHeight="1">
      <c r="A198" s="11" t="inlineStr">
        <is>
          <t>D6</t>
        </is>
      </c>
      <c r="B198" s="11" t="inlineStr">
        <is>
          <t>6.2</t>
        </is>
      </c>
      <c r="C198" s="15" t="inlineStr">
        <is>
          <t>AI Monitoring &amp; Observability</t>
        </is>
      </c>
      <c r="D198" s="12" t="inlineStr">
        <is>
          <t>6.2.3</t>
        </is>
      </c>
      <c r="E198" s="13" t="inlineStr">
        <is>
          <t>Agent Action &amp; Tool-Call Observability</t>
        </is>
      </c>
      <c r="F198" s="14" t="inlineStr">
        <is>
          <t>See every action an agent took, with what arguments and to what effect.</t>
        </is>
      </c>
      <c r="G198" s="16" t="inlineStr">
        <is>
          <t>Yes</t>
        </is>
      </c>
      <c r="H198" s="20" t="n"/>
      <c r="I198" s="20" t="n"/>
      <c r="J198" s="20" t="n"/>
      <c r="K198" s="23" t="n"/>
    </row>
    <row r="199" outlineLevel="1" ht="26" customHeight="1">
      <c r="A199" s="11" t="inlineStr">
        <is>
          <t>D6</t>
        </is>
      </c>
      <c r="B199" s="11" t="inlineStr">
        <is>
          <t>6.2</t>
        </is>
      </c>
      <c r="C199" s="15" t="inlineStr">
        <is>
          <t>AI Monitoring &amp; Observability</t>
        </is>
      </c>
      <c r="D199" s="12" t="inlineStr">
        <is>
          <t>6.2.4</t>
        </is>
      </c>
      <c r="E199" s="13" t="inlineStr">
        <is>
          <t>Alerting &amp; Threshold Management</t>
        </is>
      </c>
      <c r="F199" s="14" t="inlineStr">
        <is>
          <t>Detect abnormal behavior and raise it to someone who can act.</t>
        </is>
      </c>
      <c r="G199" s="16" t="inlineStr"/>
      <c r="H199" s="20" t="n"/>
      <c r="I199" s="20" t="n"/>
      <c r="J199" s="20" t="n"/>
      <c r="K199" s="23" t="n"/>
    </row>
    <row r="200" outlineLevel="1" ht="26" customHeight="1">
      <c r="A200" s="11" t="inlineStr">
        <is>
          <t>D6</t>
        </is>
      </c>
      <c r="B200" s="11" t="inlineStr">
        <is>
          <t>6.2</t>
        </is>
      </c>
      <c r="C200" s="15" t="inlineStr">
        <is>
          <t>AI Monitoring &amp; Observability</t>
        </is>
      </c>
      <c r="D200" s="12" t="inlineStr">
        <is>
          <t>6.2.5</t>
        </is>
      </c>
      <c r="E200" s="13" t="inlineStr">
        <is>
          <t>Operational Dashboarding</t>
        </is>
      </c>
      <c r="F200" s="14" t="inlineStr">
        <is>
          <t>Present operational state to the people accountable for it.</t>
        </is>
      </c>
      <c r="G200" s="16" t="inlineStr"/>
      <c r="H200" s="20" t="n"/>
      <c r="I200" s="20" t="n"/>
      <c r="J200" s="20" t="n"/>
      <c r="K200" s="23" t="n"/>
    </row>
    <row r="201" ht="20" customHeight="1">
      <c r="A201" s="39" t="inlineStr">
        <is>
          <t>D6</t>
        </is>
      </c>
      <c r="B201" s="40" t="inlineStr">
        <is>
          <t>6.3</t>
        </is>
      </c>
      <c r="C201" s="41" t="inlineStr">
        <is>
          <t>Continuous Evaluation, Drift &amp; Quality Management</t>
        </is>
      </c>
      <c r="D201" s="39" t="inlineStr"/>
      <c r="E201" s="39" t="inlineStr">
        <is>
          <t>5 criteria</t>
        </is>
      </c>
      <c r="F201" s="39" t="inlineStr">
        <is>
          <t>AI Product Operations Owner</t>
        </is>
      </c>
      <c r="G201" s="39" t="inlineStr"/>
      <c r="H201" s="39" t="inlineStr"/>
      <c r="I201" s="39" t="inlineStr"/>
      <c r="J201" s="39" t="inlineStr"/>
      <c r="K201" s="39" t="inlineStr"/>
    </row>
    <row r="202" outlineLevel="1" ht="26" customHeight="1">
      <c r="A202" s="11" t="inlineStr">
        <is>
          <t>D6</t>
        </is>
      </c>
      <c r="B202" s="11" t="inlineStr">
        <is>
          <t>6.3</t>
        </is>
      </c>
      <c r="C202" s="15" t="inlineStr">
        <is>
          <t>Continuous Evaluation, Drift &amp; Quality Management</t>
        </is>
      </c>
      <c r="D202" s="12" t="inlineStr">
        <is>
          <t>6.3.1</t>
        </is>
      </c>
      <c r="E202" s="13" t="inlineStr">
        <is>
          <t>Production Output Quality Monitoring</t>
        </is>
      </c>
      <c r="F202" s="14" t="inlineStr">
        <is>
          <t>Measure output quality on live traffic, not only on test sets.</t>
        </is>
      </c>
      <c r="G202" s="16" t="inlineStr"/>
      <c r="H202" s="20" t="n"/>
      <c r="I202" s="20" t="n"/>
      <c r="J202" s="20" t="n"/>
      <c r="K202" s="23" t="n"/>
    </row>
    <row r="203" outlineLevel="1" ht="26" customHeight="1">
      <c r="A203" s="11" t="inlineStr">
        <is>
          <t>D6</t>
        </is>
      </c>
      <c r="B203" s="11" t="inlineStr">
        <is>
          <t>6.3</t>
        </is>
      </c>
      <c r="C203" s="15" t="inlineStr">
        <is>
          <t>Continuous Evaluation, Drift &amp; Quality Management</t>
        </is>
      </c>
      <c r="D203" s="12" t="inlineStr">
        <is>
          <t>6.3.2</t>
        </is>
      </c>
      <c r="E203" s="13" t="inlineStr">
        <is>
          <t>Data &amp; Concept Drift Detection</t>
        </is>
      </c>
      <c r="F203" s="14" t="inlineStr">
        <is>
          <t>Detect when inputs or the world have moved away from training conditions.</t>
        </is>
      </c>
      <c r="G203" s="16" t="inlineStr"/>
      <c r="H203" s="20" t="n"/>
      <c r="I203" s="20" t="n"/>
      <c r="J203" s="20" t="n"/>
      <c r="K203" s="23" t="n"/>
    </row>
    <row r="204" outlineLevel="1" ht="26" customHeight="1">
      <c r="A204" s="11" t="inlineStr">
        <is>
          <t>D6</t>
        </is>
      </c>
      <c r="B204" s="11" t="inlineStr">
        <is>
          <t>6.3</t>
        </is>
      </c>
      <c r="C204" s="15" t="inlineStr">
        <is>
          <t>Continuous Evaluation, Drift &amp; Quality Management</t>
        </is>
      </c>
      <c r="D204" s="12" t="inlineStr">
        <is>
          <t>6.3.3</t>
        </is>
      </c>
      <c r="E204" s="13" t="inlineStr">
        <is>
          <t>Bias &amp; Fairness Monitoring in Production</t>
        </is>
      </c>
      <c r="F204" s="14" t="inlineStr">
        <is>
          <t>Monitor outcome disparities on live populations over time.</t>
        </is>
      </c>
      <c r="G204" s="16" t="inlineStr"/>
      <c r="H204" s="20" t="n"/>
      <c r="I204" s="20" t="n"/>
      <c r="J204" s="20" t="n"/>
      <c r="K204" s="23" t="n"/>
    </row>
    <row r="205" outlineLevel="1" ht="26" customHeight="1">
      <c r="A205" s="11" t="inlineStr">
        <is>
          <t>D6</t>
        </is>
      </c>
      <c r="B205" s="11" t="inlineStr">
        <is>
          <t>6.3</t>
        </is>
      </c>
      <c r="C205" s="15" t="inlineStr">
        <is>
          <t>Continuous Evaluation, Drift &amp; Quality Management</t>
        </is>
      </c>
      <c r="D205" s="12" t="inlineStr">
        <is>
          <t>6.3.4</t>
        </is>
      </c>
      <c r="E205" s="13" t="inlineStr">
        <is>
          <t>Feedback Capture &amp; Ground-Truth Collection</t>
        </is>
      </c>
      <c r="F205" s="14" t="inlineStr">
        <is>
          <t>Capture corrections and outcomes to build evolving ground truth.</t>
        </is>
      </c>
      <c r="G205" s="16" t="inlineStr"/>
      <c r="H205" s="20" t="n"/>
      <c r="I205" s="20" t="n"/>
      <c r="J205" s="20" t="n"/>
      <c r="K205" s="23" t="n"/>
    </row>
    <row r="206" outlineLevel="1" ht="26" customHeight="1">
      <c r="A206" s="11" t="inlineStr">
        <is>
          <t>D6</t>
        </is>
      </c>
      <c r="B206" s="11" t="inlineStr">
        <is>
          <t>6.3</t>
        </is>
      </c>
      <c r="C206" s="15" t="inlineStr">
        <is>
          <t>Continuous Evaluation, Drift &amp; Quality Management</t>
        </is>
      </c>
      <c r="D206" s="12" t="inlineStr">
        <is>
          <t>6.3.5</t>
        </is>
      </c>
      <c r="E206" s="13" t="inlineStr">
        <is>
          <t>Retraining &amp; Refresh Triggering</t>
        </is>
      </c>
      <c r="F206" s="14" t="inlineStr">
        <is>
          <t>Trigger retraining or refresh on defined conditions rather than on schedule alone.</t>
        </is>
      </c>
      <c r="G206" s="16" t="inlineStr"/>
      <c r="H206" s="20" t="n"/>
      <c r="I206" s="20" t="n"/>
      <c r="J206" s="20" t="n"/>
      <c r="K206" s="23" t="n"/>
    </row>
    <row r="207" ht="20" customHeight="1">
      <c r="A207" s="39" t="inlineStr">
        <is>
          <t>D6</t>
        </is>
      </c>
      <c r="B207" s="40" t="inlineStr">
        <is>
          <t>6.4</t>
        </is>
      </c>
      <c r="C207" s="41" t="inlineStr">
        <is>
          <t>AI Incident &amp; Problem Management</t>
        </is>
      </c>
      <c r="D207" s="39" t="inlineStr"/>
      <c r="E207" s="39" t="inlineStr">
        <is>
          <t>5 criteria</t>
        </is>
      </c>
      <c r="F207" s="39" t="inlineStr">
        <is>
          <t>Service Operations Owner</t>
        </is>
      </c>
      <c r="G207" s="39" t="inlineStr"/>
      <c r="H207" s="39" t="inlineStr"/>
      <c r="I207" s="39" t="inlineStr"/>
      <c r="J207" s="39" t="inlineStr"/>
      <c r="K207" s="39" t="inlineStr"/>
    </row>
    <row r="208" outlineLevel="1" ht="26" customHeight="1">
      <c r="A208" s="11" t="inlineStr">
        <is>
          <t>D6</t>
        </is>
      </c>
      <c r="B208" s="11" t="inlineStr">
        <is>
          <t>6.4</t>
        </is>
      </c>
      <c r="C208" s="15" t="inlineStr">
        <is>
          <t>AI Incident &amp; Problem Management</t>
        </is>
      </c>
      <c r="D208" s="12" t="inlineStr">
        <is>
          <t>6.4.1</t>
        </is>
      </c>
      <c r="E208" s="13" t="inlineStr">
        <is>
          <t>AI Incident Detection &amp; Classification</t>
        </is>
      </c>
      <c r="F208" s="14" t="inlineStr">
        <is>
          <t>Recognise an AI incident as distinct from a conventional IT incident.</t>
        </is>
      </c>
      <c r="G208" s="16" t="inlineStr"/>
      <c r="H208" s="20" t="n"/>
      <c r="I208" s="20" t="n"/>
      <c r="J208" s="20" t="n"/>
      <c r="K208" s="23" t="n"/>
    </row>
    <row r="209" outlineLevel="1" ht="26" customHeight="1">
      <c r="A209" s="11" t="inlineStr">
        <is>
          <t>D6</t>
        </is>
      </c>
      <c r="B209" s="11" t="inlineStr">
        <is>
          <t>6.4</t>
        </is>
      </c>
      <c r="C209" s="15" t="inlineStr">
        <is>
          <t>AI Incident &amp; Problem Management</t>
        </is>
      </c>
      <c r="D209" s="12" t="inlineStr">
        <is>
          <t>6.4.2</t>
        </is>
      </c>
      <c r="E209" s="13" t="inlineStr">
        <is>
          <t>Containment &amp; Kill-Switch Execution</t>
        </is>
      </c>
      <c r="F209" s="14" t="inlineStr">
        <is>
          <t>Stop a model or agent immediately, at any hour, with a tested mechanism.</t>
        </is>
      </c>
      <c r="G209" s="16" t="inlineStr">
        <is>
          <t>Yes</t>
        </is>
      </c>
      <c r="H209" s="20" t="n"/>
      <c r="I209" s="20" t="n"/>
      <c r="J209" s="20" t="n"/>
      <c r="K209" s="23" t="n"/>
    </row>
    <row r="210" outlineLevel="1" ht="26" customHeight="1">
      <c r="A210" s="11" t="inlineStr">
        <is>
          <t>D6</t>
        </is>
      </c>
      <c r="B210" s="11" t="inlineStr">
        <is>
          <t>6.4</t>
        </is>
      </c>
      <c r="C210" s="15" t="inlineStr">
        <is>
          <t>AI Incident &amp; Problem Management</t>
        </is>
      </c>
      <c r="D210" s="12" t="inlineStr">
        <is>
          <t>6.4.3</t>
        </is>
      </c>
      <c r="E210" s="13" t="inlineStr">
        <is>
          <t>Root Cause Analysis</t>
        </is>
      </c>
      <c r="F210" s="14" t="inlineStr">
        <is>
          <t>Establish why an AI system behaved as it did, including at the data and prompt level.</t>
        </is>
      </c>
      <c r="G210" s="16" t="inlineStr"/>
      <c r="H210" s="20" t="n"/>
      <c r="I210" s="20" t="n"/>
      <c r="J210" s="20" t="n"/>
      <c r="K210" s="23" t="n"/>
    </row>
    <row r="211" outlineLevel="1" ht="26" customHeight="1">
      <c r="A211" s="11" t="inlineStr">
        <is>
          <t>D6</t>
        </is>
      </c>
      <c r="B211" s="11" t="inlineStr">
        <is>
          <t>6.4</t>
        </is>
      </c>
      <c r="C211" s="15" t="inlineStr">
        <is>
          <t>AI Incident &amp; Problem Management</t>
        </is>
      </c>
      <c r="D211" s="12" t="inlineStr">
        <is>
          <t>6.4.4</t>
        </is>
      </c>
      <c r="E211" s="13" t="inlineStr">
        <is>
          <t>Regulatory &amp; Stakeholder Notification</t>
        </is>
      </c>
      <c r="F211" s="14" t="inlineStr">
        <is>
          <t>Notify the parties an incident obliges the institution to notify, within the deadline.</t>
        </is>
      </c>
      <c r="G211" s="16" t="inlineStr"/>
      <c r="H211" s="20" t="n"/>
      <c r="I211" s="20" t="n"/>
      <c r="J211" s="20" t="n"/>
      <c r="K211" s="23" t="n"/>
    </row>
    <row r="212" outlineLevel="1" ht="26" customHeight="1">
      <c r="A212" s="11" t="inlineStr">
        <is>
          <t>D6</t>
        </is>
      </c>
      <c r="B212" s="11" t="inlineStr">
        <is>
          <t>6.4</t>
        </is>
      </c>
      <c r="C212" s="15" t="inlineStr">
        <is>
          <t>AI Incident &amp; Problem Management</t>
        </is>
      </c>
      <c r="D212" s="12" t="inlineStr">
        <is>
          <t>6.4.5</t>
        </is>
      </c>
      <c r="E212" s="13" t="inlineStr">
        <is>
          <t>Corrective Action &amp; Lessons Learned</t>
        </is>
      </c>
      <c r="F212" s="14" t="inlineStr">
        <is>
          <t>Close findings and feed them back into design and control.</t>
        </is>
      </c>
      <c r="G212" s="16" t="inlineStr"/>
      <c r="H212" s="20" t="n"/>
      <c r="I212" s="20" t="n"/>
      <c r="J212" s="20" t="n"/>
      <c r="K212" s="23" t="n"/>
    </row>
    <row r="213" ht="20" customHeight="1">
      <c r="A213" s="39" t="inlineStr">
        <is>
          <t>D6</t>
        </is>
      </c>
      <c r="B213" s="40" t="inlineStr">
        <is>
          <t>6.5</t>
        </is>
      </c>
      <c r="C213" s="41" t="inlineStr">
        <is>
          <t>AI Cost Management</t>
        </is>
      </c>
      <c r="D213" s="39" t="inlineStr"/>
      <c r="E213" s="39" t="inlineStr">
        <is>
          <t>4 criteria</t>
        </is>
      </c>
      <c r="F213" s="39" t="inlineStr">
        <is>
          <t>FinOps Owner</t>
        </is>
      </c>
      <c r="G213" s="39" t="inlineStr"/>
      <c r="H213" s="39" t="inlineStr"/>
      <c r="I213" s="39" t="inlineStr"/>
      <c r="J213" s="39" t="inlineStr"/>
      <c r="K213" s="39" t="inlineStr"/>
    </row>
    <row r="214" outlineLevel="1" ht="26" customHeight="1">
      <c r="A214" s="11" t="inlineStr">
        <is>
          <t>D6</t>
        </is>
      </c>
      <c r="B214" s="11" t="inlineStr">
        <is>
          <t>6.5</t>
        </is>
      </c>
      <c r="C214" s="15" t="inlineStr">
        <is>
          <t>AI Cost Management</t>
        </is>
      </c>
      <c r="D214" s="12" t="inlineStr">
        <is>
          <t>6.5.1</t>
        </is>
      </c>
      <c r="E214" s="13" t="inlineStr">
        <is>
          <t>Consumption Metering &amp; Attribution</t>
        </is>
      </c>
      <c r="F214" s="14" t="inlineStr">
        <is>
          <t>Attribute token, compute and storage consumption to an owner.</t>
        </is>
      </c>
      <c r="G214" s="16" t="inlineStr"/>
      <c r="H214" s="20" t="n"/>
      <c r="I214" s="20" t="n"/>
      <c r="J214" s="20" t="n"/>
      <c r="K214" s="23" t="n"/>
    </row>
    <row r="215" outlineLevel="1" ht="26" customHeight="1">
      <c r="A215" s="11" t="inlineStr">
        <is>
          <t>D6</t>
        </is>
      </c>
      <c r="B215" s="11" t="inlineStr">
        <is>
          <t>6.5</t>
        </is>
      </c>
      <c r="C215" s="15" t="inlineStr">
        <is>
          <t>AI Cost Management</t>
        </is>
      </c>
      <c r="D215" s="12" t="inlineStr">
        <is>
          <t>6.5.2</t>
        </is>
      </c>
      <c r="E215" s="13" t="inlineStr">
        <is>
          <t>Cost Forecasting &amp; Budget Control</t>
        </is>
      </c>
      <c r="F215" s="14" t="inlineStr">
        <is>
          <t>Forecast AI spend and stop it exceeding authorization.</t>
        </is>
      </c>
      <c r="G215" s="16" t="inlineStr"/>
      <c r="H215" s="20" t="n"/>
      <c r="I215" s="20" t="n"/>
      <c r="J215" s="20" t="n"/>
      <c r="K215" s="23" t="n"/>
    </row>
    <row r="216" outlineLevel="1" ht="26" customHeight="1">
      <c r="A216" s="11" t="inlineStr">
        <is>
          <t>D6</t>
        </is>
      </c>
      <c r="B216" s="11" t="inlineStr">
        <is>
          <t>6.5</t>
        </is>
      </c>
      <c r="C216" s="15" t="inlineStr">
        <is>
          <t>AI Cost Management</t>
        </is>
      </c>
      <c r="D216" s="12" t="inlineStr">
        <is>
          <t>6.5.3</t>
        </is>
      </c>
      <c r="E216" s="13" t="inlineStr">
        <is>
          <t>Unit Economics &amp; Cost-per-Outcome</t>
        </is>
      </c>
      <c r="F216" s="14" t="inlineStr">
        <is>
          <t>Express cost per transaction, per document or per outcome, not per month.</t>
        </is>
      </c>
      <c r="G216" s="16" t="inlineStr"/>
      <c r="H216" s="20" t="n"/>
      <c r="I216" s="20" t="n"/>
      <c r="J216" s="20" t="n"/>
      <c r="K216" s="23" t="n"/>
    </row>
    <row r="217" outlineLevel="1" ht="26" customHeight="1">
      <c r="A217" s="11" t="inlineStr">
        <is>
          <t>D6</t>
        </is>
      </c>
      <c r="B217" s="11" t="inlineStr">
        <is>
          <t>6.5</t>
        </is>
      </c>
      <c r="C217" s="15" t="inlineStr">
        <is>
          <t>AI Cost Management</t>
        </is>
      </c>
      <c r="D217" s="12" t="inlineStr">
        <is>
          <t>6.5.4</t>
        </is>
      </c>
      <c r="E217" s="13" t="inlineStr">
        <is>
          <t>Optimization &amp; Rightsizing</t>
        </is>
      </c>
      <c r="F217" s="14" t="inlineStr">
        <is>
          <t>Reduce cost through model, caching and routing choices without losing quality.</t>
        </is>
      </c>
      <c r="G217" s="16" t="inlineStr"/>
      <c r="H217" s="20" t="n"/>
      <c r="I217" s="20" t="n"/>
      <c r="J217" s="20" t="n"/>
      <c r="K217" s="23" t="n"/>
    </row>
    <row r="218" ht="20" customHeight="1">
      <c r="A218" s="39" t="inlineStr">
        <is>
          <t>D6</t>
        </is>
      </c>
      <c r="B218" s="40" t="inlineStr">
        <is>
          <t>6.6</t>
        </is>
      </c>
      <c r="C218" s="41" t="inlineStr">
        <is>
          <t>AI Asset Retirement &amp; Evidence Preservation</t>
        </is>
      </c>
      <c r="D218" s="39" t="inlineStr"/>
      <c r="E218" s="39" t="inlineStr">
        <is>
          <t>4 criteria</t>
        </is>
      </c>
      <c r="F218" s="39" t="inlineStr">
        <is>
          <t>Asset Management Owner</t>
        </is>
      </c>
      <c r="G218" s="39" t="inlineStr"/>
      <c r="H218" s="39" t="inlineStr"/>
      <c r="I218" s="39" t="inlineStr"/>
      <c r="J218" s="39" t="inlineStr"/>
      <c r="K218" s="39" t="inlineStr"/>
    </row>
    <row r="219" outlineLevel="1" ht="26" customHeight="1">
      <c r="A219" s="11" t="inlineStr">
        <is>
          <t>D6</t>
        </is>
      </c>
      <c r="B219" s="11" t="inlineStr">
        <is>
          <t>6.6</t>
        </is>
      </c>
      <c r="C219" s="15" t="inlineStr">
        <is>
          <t>AI Asset Retirement &amp; Evidence Preservation</t>
        </is>
      </c>
      <c r="D219" s="12" t="inlineStr">
        <is>
          <t>6.6.1</t>
        </is>
      </c>
      <c r="E219" s="13" t="inlineStr">
        <is>
          <t>Periodic Recertification &amp; Review</t>
        </is>
      </c>
      <c r="F219" s="14" t="inlineStr">
        <is>
          <t>Re-confirm at defined intervals that a system should remain in service.</t>
        </is>
      </c>
      <c r="G219" s="16" t="inlineStr"/>
      <c r="H219" s="20" t="n"/>
      <c r="I219" s="20" t="n"/>
      <c r="J219" s="20" t="n"/>
      <c r="K219" s="23" t="n"/>
    </row>
    <row r="220" outlineLevel="1" ht="26" customHeight="1">
      <c r="A220" s="11" t="inlineStr">
        <is>
          <t>D6</t>
        </is>
      </c>
      <c r="B220" s="11" t="inlineStr">
        <is>
          <t>6.6</t>
        </is>
      </c>
      <c r="C220" s="15" t="inlineStr">
        <is>
          <t>AI Asset Retirement &amp; Evidence Preservation</t>
        </is>
      </c>
      <c r="D220" s="12" t="inlineStr">
        <is>
          <t>6.6.2</t>
        </is>
      </c>
      <c r="E220" s="13" t="inlineStr">
        <is>
          <t>Deprecation &amp; Sunset Planning</t>
        </is>
      </c>
      <c r="F220" s="14" t="inlineStr">
        <is>
          <t>Plan and communicate withdrawal before it happens.</t>
        </is>
      </c>
      <c r="G220" s="16" t="inlineStr"/>
      <c r="H220" s="20" t="n"/>
      <c r="I220" s="20" t="n"/>
      <c r="J220" s="20" t="n"/>
      <c r="K220" s="23" t="n"/>
    </row>
    <row r="221" outlineLevel="1" ht="26" customHeight="1">
      <c r="A221" s="11" t="inlineStr">
        <is>
          <t>D6</t>
        </is>
      </c>
      <c r="B221" s="11" t="inlineStr">
        <is>
          <t>6.6</t>
        </is>
      </c>
      <c r="C221" s="15" t="inlineStr">
        <is>
          <t>AI Asset Retirement &amp; Evidence Preservation</t>
        </is>
      </c>
      <c r="D221" s="12" t="inlineStr">
        <is>
          <t>6.6.3</t>
        </is>
      </c>
      <c r="E221" s="13" t="inlineStr">
        <is>
          <t>Decommissioning &amp; Data Disposition</t>
        </is>
      </c>
      <c r="F221" s="14" t="inlineStr">
        <is>
          <t>Remove the system and dispose of its data under retention rules.</t>
        </is>
      </c>
      <c r="G221" s="16" t="inlineStr"/>
      <c r="H221" s="20" t="n"/>
      <c r="I221" s="20" t="n"/>
      <c r="J221" s="20" t="n"/>
      <c r="K221" s="23" t="n"/>
    </row>
    <row r="222" outlineLevel="1" ht="26" customHeight="1">
      <c r="A222" s="11" t="inlineStr">
        <is>
          <t>D6</t>
        </is>
      </c>
      <c r="B222" s="11" t="inlineStr">
        <is>
          <t>6.6</t>
        </is>
      </c>
      <c r="C222" s="15" t="inlineStr">
        <is>
          <t>AI Asset Retirement &amp; Evidence Preservation</t>
        </is>
      </c>
      <c r="D222" s="12" t="inlineStr">
        <is>
          <t>6.6.4</t>
        </is>
      </c>
      <c r="E222" s="13" t="inlineStr">
        <is>
          <t>Archive &amp; Evidence Preservation</t>
        </is>
      </c>
      <c r="F222" s="14" t="inlineStr">
        <is>
          <t>Preserve the records that assurance and legal obligations require after retirement.</t>
        </is>
      </c>
      <c r="G222" s="16" t="inlineStr"/>
      <c r="H222" s="20" t="n"/>
      <c r="I222" s="20" t="n"/>
      <c r="J222" s="20" t="n"/>
      <c r="K222" s="23" t="n"/>
    </row>
    <row r="223" ht="20" customHeight="1">
      <c r="A223" s="39" t="inlineStr">
        <is>
          <t>D7</t>
        </is>
      </c>
      <c r="B223" s="40" t="inlineStr">
        <is>
          <t>7.1</t>
        </is>
      </c>
      <c r="C223" s="41" t="inlineStr">
        <is>
          <t>AI Policy, Standards &amp; Management System</t>
        </is>
      </c>
      <c r="D223" s="39" t="inlineStr"/>
      <c r="E223" s="39" t="inlineStr">
        <is>
          <t>6 criteria</t>
        </is>
      </c>
      <c r="F223" s="39" t="inlineStr">
        <is>
          <t>AI Management System Owner</t>
        </is>
      </c>
      <c r="G223" s="39" t="inlineStr"/>
      <c r="H223" s="39" t="inlineStr"/>
      <c r="I223" s="39" t="inlineStr"/>
      <c r="J223" s="39" t="inlineStr"/>
      <c r="K223" s="39" t="inlineStr"/>
    </row>
    <row r="224" outlineLevel="1" ht="26" customHeight="1">
      <c r="A224" s="11" t="inlineStr">
        <is>
          <t>D7</t>
        </is>
      </c>
      <c r="B224" s="11" t="inlineStr">
        <is>
          <t>7.1</t>
        </is>
      </c>
      <c r="C224" s="15" t="inlineStr">
        <is>
          <t>AI Policy, Standards &amp; Management System</t>
        </is>
      </c>
      <c r="D224" s="12" t="inlineStr">
        <is>
          <t>7.1.1</t>
        </is>
      </c>
      <c r="E224" s="13" t="inlineStr">
        <is>
          <t>AI Management System Operation</t>
        </is>
      </c>
      <c r="F224" s="14" t="inlineStr">
        <is>
          <t>Operate the AIMS itself — scope, objectives, reviews, continual improvement.</t>
        </is>
      </c>
      <c r="G224" s="16" t="inlineStr"/>
      <c r="H224" s="20" t="n"/>
      <c r="I224" s="20" t="n"/>
      <c r="J224" s="20" t="n"/>
      <c r="K224" s="23" t="n"/>
    </row>
    <row r="225" outlineLevel="1" ht="26" customHeight="1">
      <c r="A225" s="11" t="inlineStr">
        <is>
          <t>D7</t>
        </is>
      </c>
      <c r="B225" s="11" t="inlineStr">
        <is>
          <t>7.1</t>
        </is>
      </c>
      <c r="C225" s="15" t="inlineStr">
        <is>
          <t>AI Policy, Standards &amp; Management System</t>
        </is>
      </c>
      <c r="D225" s="12" t="inlineStr">
        <is>
          <t>7.1.2</t>
        </is>
      </c>
      <c r="E225" s="13" t="inlineStr">
        <is>
          <t>AI Policy Development &amp; Maintenance</t>
        </is>
      </c>
      <c r="F225" s="14" t="inlineStr">
        <is>
          <t>Issue and maintain the institutional AI policy set.</t>
        </is>
      </c>
      <c r="G225" s="16" t="inlineStr"/>
      <c r="H225" s="20" t="n"/>
      <c r="I225" s="20" t="n"/>
      <c r="J225" s="20" t="n"/>
      <c r="K225" s="23" t="n"/>
    </row>
    <row r="226" outlineLevel="1" ht="26" customHeight="1">
      <c r="A226" s="11" t="inlineStr">
        <is>
          <t>D7</t>
        </is>
      </c>
      <c r="B226" s="11" t="inlineStr">
        <is>
          <t>7.1</t>
        </is>
      </c>
      <c r="C226" s="15" t="inlineStr">
        <is>
          <t>AI Policy, Standards &amp; Management System</t>
        </is>
      </c>
      <c r="D226" s="12" t="inlineStr">
        <is>
          <t>7.1.3</t>
        </is>
      </c>
      <c r="E226" s="13" t="inlineStr">
        <is>
          <t>Standards &amp; Technical Guideline Issuance</t>
        </is>
      </c>
      <c r="F226" s="14" t="inlineStr">
        <is>
          <t>Translate policy into standards a delivery team can actually build to.</t>
        </is>
      </c>
      <c r="G226" s="16" t="inlineStr"/>
      <c r="H226" s="20" t="n"/>
      <c r="I226" s="20" t="n"/>
      <c r="J226" s="20" t="n"/>
      <c r="K226" s="23" t="n"/>
    </row>
    <row r="227" outlineLevel="1" ht="26" customHeight="1">
      <c r="A227" s="11" t="inlineStr">
        <is>
          <t>D7</t>
        </is>
      </c>
      <c r="B227" s="11" t="inlineStr">
        <is>
          <t>7.1</t>
        </is>
      </c>
      <c r="C227" s="15" t="inlineStr">
        <is>
          <t>AI Policy, Standards &amp; Management System</t>
        </is>
      </c>
      <c r="D227" s="12" t="inlineStr">
        <is>
          <t>7.1.4</t>
        </is>
      </c>
      <c r="E227" s="13" t="inlineStr">
        <is>
          <t>Governance Body &amp; Decision Rights Operation</t>
        </is>
      </c>
      <c r="F227" s="14" t="inlineStr">
        <is>
          <t>Run the forums that decide AI matters, with defined authority.</t>
        </is>
      </c>
      <c r="G227" s="16" t="inlineStr"/>
      <c r="H227" s="20" t="n"/>
      <c r="I227" s="20" t="n"/>
      <c r="J227" s="20" t="n"/>
      <c r="K227" s="23" t="n"/>
    </row>
    <row r="228" outlineLevel="1" ht="26" customHeight="1">
      <c r="A228" s="11" t="inlineStr">
        <is>
          <t>D7</t>
        </is>
      </c>
      <c r="B228" s="11" t="inlineStr">
        <is>
          <t>7.1</t>
        </is>
      </c>
      <c r="C228" s="15" t="inlineStr">
        <is>
          <t>AI Policy, Standards &amp; Management System</t>
        </is>
      </c>
      <c r="D228" s="12" t="inlineStr">
        <is>
          <t>7.1.5</t>
        </is>
      </c>
      <c r="E228" s="13" t="inlineStr">
        <is>
          <t>Exception &amp; Dispensation Management</t>
        </is>
      </c>
      <c r="F228" s="14" t="inlineStr">
        <is>
          <t>Grant, time-box and track departures from standard.</t>
        </is>
      </c>
      <c r="G228" s="16" t="inlineStr"/>
      <c r="H228" s="20" t="n"/>
      <c r="I228" s="20" t="n"/>
      <c r="J228" s="20" t="n"/>
      <c r="K228" s="23" t="n"/>
    </row>
    <row r="229" outlineLevel="1" ht="26" customHeight="1">
      <c r="A229" s="11" t="inlineStr">
        <is>
          <t>D7</t>
        </is>
      </c>
      <c r="B229" s="11" t="inlineStr">
        <is>
          <t>7.1</t>
        </is>
      </c>
      <c r="C229" s="15" t="inlineStr">
        <is>
          <t>AI Policy, Standards &amp; Management System</t>
        </is>
      </c>
      <c r="D229" s="12" t="inlineStr">
        <is>
          <t>7.1.6</t>
        </is>
      </c>
      <c r="E229" s="13" t="inlineStr">
        <is>
          <t>Conformance Monitoring</t>
        </is>
      </c>
      <c r="F229" s="14" t="inlineStr">
        <is>
          <t>Detect where practice has diverged from policy without waiting for audit.</t>
        </is>
      </c>
      <c r="G229" s="16" t="inlineStr"/>
      <c r="H229" s="20" t="n"/>
      <c r="I229" s="20" t="n"/>
      <c r="J229" s="20" t="n"/>
      <c r="K229" s="23" t="n"/>
    </row>
    <row r="230" ht="20" customHeight="1">
      <c r="A230" s="39" t="inlineStr">
        <is>
          <t>D7</t>
        </is>
      </c>
      <c r="B230" s="40" t="inlineStr">
        <is>
          <t>7.2</t>
        </is>
      </c>
      <c r="C230" s="41" t="inlineStr">
        <is>
          <t>Responsible &amp; Trustworthy AI Practice</t>
        </is>
      </c>
      <c r="D230" s="39" t="inlineStr"/>
      <c r="E230" s="39" t="inlineStr">
        <is>
          <t>5 criteria</t>
        </is>
      </c>
      <c r="F230" s="39" t="inlineStr">
        <is>
          <t>Responsible AI Owner</t>
        </is>
      </c>
      <c r="G230" s="39" t="inlineStr"/>
      <c r="H230" s="39" t="inlineStr"/>
      <c r="I230" s="39" t="inlineStr"/>
      <c r="J230" s="39" t="inlineStr"/>
      <c r="K230" s="39" t="inlineStr"/>
    </row>
    <row r="231" outlineLevel="1" ht="26" customHeight="1">
      <c r="A231" s="11" t="inlineStr">
        <is>
          <t>D7</t>
        </is>
      </c>
      <c r="B231" s="11" t="inlineStr">
        <is>
          <t>7.2</t>
        </is>
      </c>
      <c r="C231" s="15" t="inlineStr">
        <is>
          <t>Responsible &amp; Trustworthy AI Practice</t>
        </is>
      </c>
      <c r="D231" s="12" t="inlineStr">
        <is>
          <t>7.2.1</t>
        </is>
      </c>
      <c r="E231" s="13" t="inlineStr">
        <is>
          <t>Fairness Standard Setting &amp; Adjudication</t>
        </is>
      </c>
      <c r="F231" s="14" t="inlineStr">
        <is>
          <t>Set the fairness standard per use case, adjudicate measured disparity against it, and mandate remediation. Measurement is 6.3.3.</t>
        </is>
      </c>
      <c r="G231" s="16" t="inlineStr"/>
      <c r="H231" s="20" t="n"/>
      <c r="I231" s="20" t="n"/>
      <c r="J231" s="20" t="n"/>
      <c r="K231" s="23" t="n"/>
    </row>
    <row r="232" outlineLevel="1" ht="26" customHeight="1">
      <c r="A232" s="11" t="inlineStr">
        <is>
          <t>D7</t>
        </is>
      </c>
      <c r="B232" s="11" t="inlineStr">
        <is>
          <t>7.2</t>
        </is>
      </c>
      <c r="C232" s="15" t="inlineStr">
        <is>
          <t>Responsible &amp; Trustworthy AI Practice</t>
        </is>
      </c>
      <c r="D232" s="12" t="inlineStr">
        <is>
          <t>7.2.2</t>
        </is>
      </c>
      <c r="E232" s="13" t="inlineStr">
        <is>
          <t>Transparency &amp; Explainability Provision</t>
        </is>
      </c>
      <c r="F232" s="14" t="inlineStr">
        <is>
          <t>Provide explanation proportionate to the decision's consequence.</t>
        </is>
      </c>
      <c r="G232" s="16" t="inlineStr"/>
      <c r="H232" s="20" t="n"/>
      <c r="I232" s="20" t="n"/>
      <c r="J232" s="20" t="n"/>
      <c r="K232" s="23" t="n"/>
    </row>
    <row r="233" outlineLevel="1" ht="26" customHeight="1">
      <c r="A233" s="11" t="inlineStr">
        <is>
          <t>D7</t>
        </is>
      </c>
      <c r="B233" s="11" t="inlineStr">
        <is>
          <t>7.2</t>
        </is>
      </c>
      <c r="C233" s="15" t="inlineStr">
        <is>
          <t>Responsible &amp; Trustworthy AI Practice</t>
        </is>
      </c>
      <c r="D233" s="12" t="inlineStr">
        <is>
          <t>7.2.3</t>
        </is>
      </c>
      <c r="E233" s="13" t="inlineStr">
        <is>
          <t>Human Agency &amp; Oversight Enforcement</t>
        </is>
      </c>
      <c r="F233" s="14" t="inlineStr">
        <is>
          <t>Verify that designed oversight is actually exercised in operation.</t>
        </is>
      </c>
      <c r="G233" s="16" t="inlineStr">
        <is>
          <t>Yes</t>
        </is>
      </c>
      <c r="H233" s="20" t="n"/>
      <c r="I233" s="20" t="n"/>
      <c r="J233" s="20" t="n"/>
      <c r="K233" s="23" t="n"/>
    </row>
    <row r="234" outlineLevel="1" ht="26" customHeight="1">
      <c r="A234" s="11" t="inlineStr">
        <is>
          <t>D7</t>
        </is>
      </c>
      <c r="B234" s="11" t="inlineStr">
        <is>
          <t>7.2</t>
        </is>
      </c>
      <c r="C234" s="15" t="inlineStr">
        <is>
          <t>Responsible &amp; Trustworthy AI Practice</t>
        </is>
      </c>
      <c r="D234" s="12" t="inlineStr">
        <is>
          <t>7.2.4</t>
        </is>
      </c>
      <c r="E234" s="13" t="inlineStr">
        <is>
          <t>Contestability &amp; Redress Handling</t>
        </is>
      </c>
      <c r="F234" s="14" t="inlineStr">
        <is>
          <t>Give affected people a route to challenge an AI-influenced outcome.</t>
        </is>
      </c>
      <c r="G234" s="16" t="inlineStr"/>
      <c r="H234" s="20" t="n"/>
      <c r="I234" s="20" t="n"/>
      <c r="J234" s="20" t="n"/>
      <c r="K234" s="23" t="n"/>
    </row>
    <row r="235" outlineLevel="1" ht="26" customHeight="1">
      <c r="A235" s="11" t="inlineStr">
        <is>
          <t>D7</t>
        </is>
      </c>
      <c r="B235" s="11" t="inlineStr">
        <is>
          <t>7.2</t>
        </is>
      </c>
      <c r="C235" s="15" t="inlineStr">
        <is>
          <t>Responsible &amp; Trustworthy AI Practice</t>
        </is>
      </c>
      <c r="D235" s="12" t="inlineStr">
        <is>
          <t>7.2.5</t>
        </is>
      </c>
      <c r="E235" s="13" t="inlineStr">
        <is>
          <t>Environmental &amp; Social Responsibility</t>
        </is>
      </c>
      <c r="F235" s="14" t="inlineStr">
        <is>
          <t>Account for the environmental and social footprint of AI use.</t>
        </is>
      </c>
      <c r="G235" s="16" t="inlineStr"/>
      <c r="H235" s="20" t="n"/>
      <c r="I235" s="20" t="n"/>
      <c r="J235" s="20" t="n"/>
      <c r="K235" s="23" t="n"/>
    </row>
    <row r="236" ht="20" customHeight="1">
      <c r="A236" s="39" t="inlineStr">
        <is>
          <t>D7</t>
        </is>
      </c>
      <c r="B236" s="40" t="inlineStr">
        <is>
          <t>7.3</t>
        </is>
      </c>
      <c r="C236" s="41" t="inlineStr">
        <is>
          <t>AI Risk Management</t>
        </is>
      </c>
      <c r="D236" s="39" t="inlineStr"/>
      <c r="E236" s="39" t="inlineStr">
        <is>
          <t>6 criteria</t>
        </is>
      </c>
      <c r="F236" s="39" t="inlineStr">
        <is>
          <t>Enterprise Risk Owner</t>
        </is>
      </c>
      <c r="G236" s="39" t="inlineStr"/>
      <c r="H236" s="39" t="inlineStr"/>
      <c r="I236" s="39" t="inlineStr"/>
      <c r="J236" s="39" t="inlineStr"/>
      <c r="K236" s="39" t="inlineStr"/>
    </row>
    <row r="237" outlineLevel="1" ht="26" customHeight="1">
      <c r="A237" s="11" t="inlineStr">
        <is>
          <t>D7</t>
        </is>
      </c>
      <c r="B237" s="11" t="inlineStr">
        <is>
          <t>7.3</t>
        </is>
      </c>
      <c r="C237" s="15" t="inlineStr">
        <is>
          <t>AI Risk Management</t>
        </is>
      </c>
      <c r="D237" s="12" t="inlineStr">
        <is>
          <t>7.3.1</t>
        </is>
      </c>
      <c r="E237" s="13" t="inlineStr">
        <is>
          <t>AI Risk Identification &amp; Taxonomy</t>
        </is>
      </c>
      <c r="F237" s="14" t="inlineStr">
        <is>
          <t>Maintain a common taxonomy of AI risks the institution recognizes.</t>
        </is>
      </c>
      <c r="G237" s="16" t="inlineStr"/>
      <c r="H237" s="20" t="n"/>
      <c r="I237" s="20" t="n"/>
      <c r="J237" s="20" t="n"/>
      <c r="K237" s="23" t="n"/>
    </row>
    <row r="238" outlineLevel="1" ht="26" customHeight="1">
      <c r="A238" s="11" t="inlineStr">
        <is>
          <t>D7</t>
        </is>
      </c>
      <c r="B238" s="11" t="inlineStr">
        <is>
          <t>7.3</t>
        </is>
      </c>
      <c r="C238" s="15" t="inlineStr">
        <is>
          <t>AI Risk Management</t>
        </is>
      </c>
      <c r="D238" s="12" t="inlineStr">
        <is>
          <t>7.3.2</t>
        </is>
      </c>
      <c r="E238" s="13" t="inlineStr">
        <is>
          <t>Risk Assessment &amp; Scoring</t>
        </is>
      </c>
      <c r="F238" s="14" t="inlineStr">
        <is>
          <t>Assess AI risks consistently enough to compare them across the portfolio.</t>
        </is>
      </c>
      <c r="G238" s="16" t="inlineStr"/>
      <c r="H238" s="20" t="n"/>
      <c r="I238" s="20" t="n"/>
      <c r="J238" s="20" t="n"/>
      <c r="K238" s="23" t="n"/>
    </row>
    <row r="239" outlineLevel="1" ht="26" customHeight="1">
      <c r="A239" s="11" t="inlineStr">
        <is>
          <t>D7</t>
        </is>
      </c>
      <c r="B239" s="11" t="inlineStr">
        <is>
          <t>7.3</t>
        </is>
      </c>
      <c r="C239" s="15" t="inlineStr">
        <is>
          <t>AI Risk Management</t>
        </is>
      </c>
      <c r="D239" s="12" t="inlineStr">
        <is>
          <t>7.3.3</t>
        </is>
      </c>
      <c r="E239" s="13" t="inlineStr">
        <is>
          <t>Control Design &amp; Treatment Planning</t>
        </is>
      </c>
      <c r="F239" s="14" t="inlineStr">
        <is>
          <t>Design proportionate controls and record accepted residual risk.</t>
        </is>
      </c>
      <c r="G239" s="16" t="inlineStr"/>
      <c r="H239" s="20" t="n"/>
      <c r="I239" s="20" t="n"/>
      <c r="J239" s="20" t="n"/>
      <c r="K239" s="23" t="n"/>
    </row>
    <row r="240" outlineLevel="1" ht="26" customHeight="1">
      <c r="A240" s="11" t="inlineStr">
        <is>
          <t>D7</t>
        </is>
      </c>
      <c r="B240" s="11" t="inlineStr">
        <is>
          <t>7.3</t>
        </is>
      </c>
      <c r="C240" s="15" t="inlineStr">
        <is>
          <t>AI Risk Management</t>
        </is>
      </c>
      <c r="D240" s="12" t="inlineStr">
        <is>
          <t>7.3.4</t>
        </is>
      </c>
      <c r="E240" s="13" t="inlineStr">
        <is>
          <t>Risk Appetite &amp; Tolerance Setting</t>
        </is>
      </c>
      <c r="F240" s="14" t="inlineStr">
        <is>
          <t>State how much AI risk the institution will carry, by category.</t>
        </is>
      </c>
      <c r="G240" s="16" t="inlineStr"/>
      <c r="H240" s="20" t="n"/>
      <c r="I240" s="20" t="n"/>
      <c r="J240" s="20" t="n"/>
      <c r="K240" s="23" t="n"/>
    </row>
    <row r="241" outlineLevel="1" ht="26" customHeight="1">
      <c r="A241" s="11" t="inlineStr">
        <is>
          <t>D7</t>
        </is>
      </c>
      <c r="B241" s="11" t="inlineStr">
        <is>
          <t>7.3</t>
        </is>
      </c>
      <c r="C241" s="15" t="inlineStr">
        <is>
          <t>AI Risk Management</t>
        </is>
      </c>
      <c r="D241" s="12" t="inlineStr">
        <is>
          <t>7.3.5</t>
        </is>
      </c>
      <c r="E241" s="13" t="inlineStr">
        <is>
          <t>Risk Monitoring &amp; Reporting</t>
        </is>
      </c>
      <c r="F241" s="14" t="inlineStr">
        <is>
          <t>Track risk position over time and report it to accountable bodies.</t>
        </is>
      </c>
      <c r="G241" s="16" t="inlineStr"/>
      <c r="H241" s="20" t="n"/>
      <c r="I241" s="20" t="n"/>
      <c r="J241" s="20" t="n"/>
      <c r="K241" s="23" t="n"/>
    </row>
    <row r="242" outlineLevel="1" ht="26" customHeight="1">
      <c r="A242" s="11" t="inlineStr">
        <is>
          <t>D7</t>
        </is>
      </c>
      <c r="B242" s="11" t="inlineStr">
        <is>
          <t>7.3</t>
        </is>
      </c>
      <c r="C242" s="15" t="inlineStr">
        <is>
          <t>AI Risk Management</t>
        </is>
      </c>
      <c r="D242" s="12" t="inlineStr">
        <is>
          <t>7.3.6</t>
        </is>
      </c>
      <c r="E242" s="13" t="inlineStr">
        <is>
          <t>Independent Model Risk Validation</t>
        </is>
      </c>
      <c r="F242" s="14" t="inlineStr">
        <is>
          <t>Validate consequential models independently of the team that built them.</t>
        </is>
      </c>
      <c r="G242" s="16" t="inlineStr"/>
      <c r="H242" s="20" t="n"/>
      <c r="I242" s="20" t="n"/>
      <c r="J242" s="20" t="n"/>
      <c r="K242" s="23" t="n"/>
    </row>
    <row r="243" ht="20" customHeight="1">
      <c r="A243" s="39" t="inlineStr">
        <is>
          <t>D7</t>
        </is>
      </c>
      <c r="B243" s="40" t="inlineStr">
        <is>
          <t>7.4</t>
        </is>
      </c>
      <c r="C243" s="41" t="inlineStr">
        <is>
          <t>AI Security &amp; Resilience</t>
        </is>
      </c>
      <c r="D243" s="39" t="inlineStr"/>
      <c r="E243" s="39" t="inlineStr">
        <is>
          <t>7 criteria</t>
        </is>
      </c>
      <c r="F243" s="39" t="inlineStr">
        <is>
          <t>Chief Information Security Officer</t>
        </is>
      </c>
      <c r="G243" s="39" t="inlineStr"/>
      <c r="H243" s="39" t="inlineStr"/>
      <c r="I243" s="39" t="inlineStr"/>
      <c r="J243" s="39" t="inlineStr"/>
      <c r="K243" s="39" t="inlineStr"/>
    </row>
    <row r="244" outlineLevel="1" ht="26" customHeight="1">
      <c r="A244" s="11" t="inlineStr">
        <is>
          <t>D7</t>
        </is>
      </c>
      <c r="B244" s="11" t="inlineStr">
        <is>
          <t>7.4</t>
        </is>
      </c>
      <c r="C244" s="15" t="inlineStr">
        <is>
          <t>AI Security &amp; Resilience</t>
        </is>
      </c>
      <c r="D244" s="12" t="inlineStr">
        <is>
          <t>7.4.1</t>
        </is>
      </c>
      <c r="E244" s="13" t="inlineStr">
        <is>
          <t>AI Threat Modeling</t>
        </is>
      </c>
      <c r="F244" s="14" t="inlineStr">
        <is>
          <t>Model threats specific to AI systems, not only to their hosting infrastructure.</t>
        </is>
      </c>
      <c r="G244" s="16" t="inlineStr"/>
      <c r="H244" s="20" t="n"/>
      <c r="I244" s="20" t="n"/>
      <c r="J244" s="20" t="n"/>
      <c r="K244" s="23" t="n"/>
    </row>
    <row r="245" outlineLevel="1" ht="26" customHeight="1">
      <c r="A245" s="11" t="inlineStr">
        <is>
          <t>D7</t>
        </is>
      </c>
      <c r="B245" s="11" t="inlineStr">
        <is>
          <t>7.4</t>
        </is>
      </c>
      <c r="C245" s="15" t="inlineStr">
        <is>
          <t>AI Security &amp; Resilience</t>
        </is>
      </c>
      <c r="D245" s="12" t="inlineStr">
        <is>
          <t>7.4.2</t>
        </is>
      </c>
      <c r="E245" s="13" t="inlineStr">
        <is>
          <t>Model &amp; Supply Chain Integrity</t>
        </is>
      </c>
      <c r="F245" s="14" t="inlineStr">
        <is>
          <t>Verify the provenance and integrity of models, weights and dependencies.</t>
        </is>
      </c>
      <c r="G245" s="16" t="inlineStr"/>
      <c r="H245" s="20" t="n"/>
      <c r="I245" s="20" t="n"/>
      <c r="J245" s="20" t="n"/>
      <c r="K245" s="23" t="n"/>
    </row>
    <row r="246" outlineLevel="1" ht="26" customHeight="1">
      <c r="A246" s="11" t="inlineStr">
        <is>
          <t>D7</t>
        </is>
      </c>
      <c r="B246" s="11" t="inlineStr">
        <is>
          <t>7.4</t>
        </is>
      </c>
      <c r="C246" s="15" t="inlineStr">
        <is>
          <t>AI Security &amp; Resilience</t>
        </is>
      </c>
      <c r="D246" s="12" t="inlineStr">
        <is>
          <t>7.4.3</t>
        </is>
      </c>
      <c r="E246" s="13" t="inlineStr">
        <is>
          <t>Injection &amp; Jailbreak Detection and Response</t>
        </is>
      </c>
      <c r="F246" s="14" t="inlineStr">
        <is>
          <t>Detect subversion attempts in live traffic and respond to them.</t>
        </is>
      </c>
      <c r="G246" s="16" t="inlineStr">
        <is>
          <t>Yes</t>
        </is>
      </c>
      <c r="H246" s="20" t="n"/>
      <c r="I246" s="20" t="n"/>
      <c r="J246" s="20" t="n"/>
      <c r="K246" s="23" t="n"/>
    </row>
    <row r="247" outlineLevel="1" ht="26" customHeight="1">
      <c r="A247" s="11" t="inlineStr">
        <is>
          <t>D7</t>
        </is>
      </c>
      <c r="B247" s="11" t="inlineStr">
        <is>
          <t>7.4</t>
        </is>
      </c>
      <c r="C247" s="15" t="inlineStr">
        <is>
          <t>AI Security &amp; Resilience</t>
        </is>
      </c>
      <c r="D247" s="12" t="inlineStr">
        <is>
          <t>7.4.4</t>
        </is>
      </c>
      <c r="E247" s="13" t="inlineStr">
        <is>
          <t>Agent Identity &amp; Credential Lifecycle</t>
        </is>
      </c>
      <c r="F247" s="14" t="inlineStr">
        <is>
          <t>Issue, sponsor, rotate and revoke a distinct identity per agent, rather than a shared service account.</t>
        </is>
      </c>
      <c r="G247" s="16" t="inlineStr">
        <is>
          <t>Yes</t>
        </is>
      </c>
      <c r="H247" s="20" t="n"/>
      <c r="I247" s="20" t="n"/>
      <c r="J247" s="20" t="n"/>
      <c r="K247" s="23" t="n"/>
    </row>
    <row r="248" outlineLevel="1" ht="26" customHeight="1">
      <c r="A248" s="11" t="inlineStr">
        <is>
          <t>D7</t>
        </is>
      </c>
      <c r="B248" s="11" t="inlineStr">
        <is>
          <t>7.4</t>
        </is>
      </c>
      <c r="C248" s="15" t="inlineStr">
        <is>
          <t>AI Security &amp; Resilience</t>
        </is>
      </c>
      <c r="D248" s="12" t="inlineStr">
        <is>
          <t>7.4.5</t>
        </is>
      </c>
      <c r="E248" s="13" t="inlineStr">
        <is>
          <t>Runtime Authorization &amp; Action Control</t>
        </is>
      </c>
      <c r="F248" s="14" t="inlineStr">
        <is>
          <t>Authorise each consequential action at the moment it is attempted.</t>
        </is>
      </c>
      <c r="G248" s="16" t="inlineStr">
        <is>
          <t>Yes</t>
        </is>
      </c>
      <c r="H248" s="20" t="n"/>
      <c r="I248" s="20" t="n"/>
      <c r="J248" s="20" t="n"/>
      <c r="K248" s="23" t="n"/>
    </row>
    <row r="249" outlineLevel="1" ht="26" customHeight="1">
      <c r="A249" s="11" t="inlineStr">
        <is>
          <t>D7</t>
        </is>
      </c>
      <c r="B249" s="11" t="inlineStr">
        <is>
          <t>7.4</t>
        </is>
      </c>
      <c r="C249" s="15" t="inlineStr">
        <is>
          <t>AI Security &amp; Resilience</t>
        </is>
      </c>
      <c r="D249" s="12" t="inlineStr">
        <is>
          <t>7.4.6</t>
        </is>
      </c>
      <c r="E249" s="13" t="inlineStr">
        <is>
          <t>Output Filtering &amp; Content Safety</t>
        </is>
      </c>
      <c r="F249" s="14" t="inlineStr">
        <is>
          <t>Prevent unsafe or disclosing output from reaching its recipient.</t>
        </is>
      </c>
      <c r="G249" s="16" t="inlineStr"/>
      <c r="H249" s="20" t="n"/>
      <c r="I249" s="20" t="n"/>
      <c r="J249" s="20" t="n"/>
      <c r="K249" s="23" t="n"/>
    </row>
    <row r="250" outlineLevel="1" ht="26" customHeight="1">
      <c r="A250" s="11" t="inlineStr">
        <is>
          <t>D7</t>
        </is>
      </c>
      <c r="B250" s="11" t="inlineStr">
        <is>
          <t>7.4</t>
        </is>
      </c>
      <c r="C250" s="15" t="inlineStr">
        <is>
          <t>AI Security &amp; Resilience</t>
        </is>
      </c>
      <c r="D250" s="12" t="inlineStr">
        <is>
          <t>7.4.7</t>
        </is>
      </c>
      <c r="E250" s="13" t="inlineStr">
        <is>
          <t>Adversarial &amp; Red-Team Testing</t>
        </is>
      </c>
      <c r="F250" s="14" t="inlineStr">
        <is>
          <t>Actively attempt to make AI systems fail or misbehave, before release and on a recurring basis thereafter.</t>
        </is>
      </c>
      <c r="G250" s="16" t="inlineStr"/>
      <c r="H250" s="20" t="n"/>
      <c r="I250" s="20" t="n"/>
      <c r="J250" s="20" t="n"/>
      <c r="K250" s="23" t="n"/>
    </row>
    <row r="251" ht="20" customHeight="1">
      <c r="A251" s="39" t="inlineStr">
        <is>
          <t>D7</t>
        </is>
      </c>
      <c r="B251" s="40" t="inlineStr">
        <is>
          <t>7.5</t>
        </is>
      </c>
      <c r="C251" s="41" t="inlineStr">
        <is>
          <t>Privacy &amp; Data Protection for AI</t>
        </is>
      </c>
      <c r="D251" s="39" t="inlineStr"/>
      <c r="E251" s="39" t="inlineStr">
        <is>
          <t>5 criteria</t>
        </is>
      </c>
      <c r="F251" s="39" t="inlineStr">
        <is>
          <t>Privacy Officer</t>
        </is>
      </c>
      <c r="G251" s="39" t="inlineStr"/>
      <c r="H251" s="39" t="inlineStr"/>
      <c r="I251" s="39" t="inlineStr"/>
      <c r="J251" s="39" t="inlineStr"/>
      <c r="K251" s="39" t="inlineStr"/>
    </row>
    <row r="252" outlineLevel="1" ht="26" customHeight="1">
      <c r="A252" s="11" t="inlineStr">
        <is>
          <t>D7</t>
        </is>
      </c>
      <c r="B252" s="11" t="inlineStr">
        <is>
          <t>7.5</t>
        </is>
      </c>
      <c r="C252" s="15" t="inlineStr">
        <is>
          <t>Privacy &amp; Data Protection for AI</t>
        </is>
      </c>
      <c r="D252" s="12" t="inlineStr">
        <is>
          <t>7.5.1</t>
        </is>
      </c>
      <c r="E252" s="13" t="inlineStr">
        <is>
          <t>Privacy Impact Assessment for AI</t>
        </is>
      </c>
      <c r="F252" s="14" t="inlineStr">
        <is>
          <t>Assess privacy impact where AI processing introduces new exposure.</t>
        </is>
      </c>
      <c r="G252" s="16" t="inlineStr"/>
      <c r="H252" s="20" t="n"/>
      <c r="I252" s="20" t="n"/>
      <c r="J252" s="20" t="n"/>
      <c r="K252" s="23" t="n"/>
    </row>
    <row r="253" outlineLevel="1" ht="26" customHeight="1">
      <c r="A253" s="11" t="inlineStr">
        <is>
          <t>D7</t>
        </is>
      </c>
      <c r="B253" s="11" t="inlineStr">
        <is>
          <t>7.5</t>
        </is>
      </c>
      <c r="C253" s="15" t="inlineStr">
        <is>
          <t>Privacy &amp; Data Protection for AI</t>
        </is>
      </c>
      <c r="D253" s="12" t="inlineStr">
        <is>
          <t>7.5.2</t>
        </is>
      </c>
      <c r="E253" s="13" t="inlineStr">
        <is>
          <t>Personal Data Minimization &amp; Masking</t>
        </is>
      </c>
      <c r="F253" s="14" t="inlineStr">
        <is>
          <t>Reduce personal data to what the purpose requires before it reaches a model.</t>
        </is>
      </c>
      <c r="G253" s="16" t="inlineStr"/>
      <c r="H253" s="20" t="n"/>
      <c r="I253" s="20" t="n"/>
      <c r="J253" s="20" t="n"/>
      <c r="K253" s="23" t="n"/>
    </row>
    <row r="254" outlineLevel="1" ht="26" customHeight="1">
      <c r="A254" s="11" t="inlineStr">
        <is>
          <t>D7</t>
        </is>
      </c>
      <c r="B254" s="11" t="inlineStr">
        <is>
          <t>7.5</t>
        </is>
      </c>
      <c r="C254" s="15" t="inlineStr">
        <is>
          <t>Privacy &amp; Data Protection for AI</t>
        </is>
      </c>
      <c r="D254" s="12" t="inlineStr">
        <is>
          <t>7.5.3</t>
        </is>
      </c>
      <c r="E254" s="13" t="inlineStr">
        <is>
          <t>Data Subject Rights Handling</t>
        </is>
      </c>
      <c r="F254" s="14" t="inlineStr">
        <is>
          <t>Answer access, correction and objection requests where AI is involved.</t>
        </is>
      </c>
      <c r="G254" s="16" t="inlineStr"/>
      <c r="H254" s="20" t="n"/>
      <c r="I254" s="20" t="n"/>
      <c r="J254" s="20" t="n"/>
      <c r="K254" s="23" t="n"/>
    </row>
    <row r="255" outlineLevel="1" ht="26" customHeight="1">
      <c r="A255" s="11" t="inlineStr">
        <is>
          <t>D7</t>
        </is>
      </c>
      <c r="B255" s="11" t="inlineStr">
        <is>
          <t>7.5</t>
        </is>
      </c>
      <c r="C255" s="15" t="inlineStr">
        <is>
          <t>Privacy &amp; Data Protection for AI</t>
        </is>
      </c>
      <c r="D255" s="12" t="inlineStr">
        <is>
          <t>7.5.4</t>
        </is>
      </c>
      <c r="E255" s="13" t="inlineStr">
        <is>
          <t>Confidentiality &amp; Non-Disclosure Control</t>
        </is>
      </c>
      <c r="F255" s="14" t="inlineStr">
        <is>
          <t>Prevent confidential material leaving through model providers or outputs.</t>
        </is>
      </c>
      <c r="G255" s="16" t="inlineStr"/>
      <c r="H255" s="20" t="n"/>
      <c r="I255" s="20" t="n"/>
      <c r="J255" s="20" t="n"/>
      <c r="K255" s="23" t="n"/>
    </row>
    <row r="256" outlineLevel="1" ht="26" customHeight="1">
      <c r="A256" s="11" t="inlineStr">
        <is>
          <t>D7</t>
        </is>
      </c>
      <c r="B256" s="11" t="inlineStr">
        <is>
          <t>7.5</t>
        </is>
      </c>
      <c r="C256" s="15" t="inlineStr">
        <is>
          <t>Privacy &amp; Data Protection for AI</t>
        </is>
      </c>
      <c r="D256" s="12" t="inlineStr">
        <is>
          <t>7.5.5</t>
        </is>
      </c>
      <c r="E256" s="13" t="inlineStr">
        <is>
          <t>Training-Data Privacy Controls</t>
        </is>
      </c>
      <c r="F256" s="14" t="inlineStr">
        <is>
          <t>Control whether institutional data may be used to train provider models.</t>
        </is>
      </c>
      <c r="G256" s="16" t="inlineStr"/>
      <c r="H256" s="20" t="n"/>
      <c r="I256" s="20" t="n"/>
      <c r="J256" s="20" t="n"/>
      <c r="K256" s="23" t="n"/>
    </row>
    <row r="257" ht="20" customHeight="1">
      <c r="A257" s="39" t="inlineStr">
        <is>
          <t>D7</t>
        </is>
      </c>
      <c r="B257" s="40" t="inlineStr">
        <is>
          <t>7.6</t>
        </is>
      </c>
      <c r="C257" s="41" t="inlineStr">
        <is>
          <t>Legal, Regulatory &amp; Contractual Compliance for AI</t>
        </is>
      </c>
      <c r="D257" s="39" t="inlineStr"/>
      <c r="E257" s="39" t="inlineStr">
        <is>
          <t>6 criteria</t>
        </is>
      </c>
      <c r="F257" s="39" t="inlineStr">
        <is>
          <t>General Counsel</t>
        </is>
      </c>
      <c r="G257" s="39" t="inlineStr"/>
      <c r="H257" s="39" t="inlineStr"/>
      <c r="I257" s="39" t="inlineStr"/>
      <c r="J257" s="39" t="inlineStr"/>
      <c r="K257" s="39" t="inlineStr"/>
    </row>
    <row r="258" outlineLevel="1" ht="26" customHeight="1">
      <c r="A258" s="11" t="inlineStr">
        <is>
          <t>D7</t>
        </is>
      </c>
      <c r="B258" s="11" t="inlineStr">
        <is>
          <t>7.6</t>
        </is>
      </c>
      <c r="C258" s="15" t="inlineStr">
        <is>
          <t>Legal, Regulatory &amp; Contractual Compliance for AI</t>
        </is>
      </c>
      <c r="D258" s="12" t="inlineStr">
        <is>
          <t>7.6.1</t>
        </is>
      </c>
      <c r="E258" s="13" t="inlineStr">
        <is>
          <t>Regulatory Horizon Monitoring</t>
        </is>
      </c>
      <c r="F258" s="14" t="inlineStr">
        <is>
          <t>Track AI regulation across the jurisdictions the institution operates in.</t>
        </is>
      </c>
      <c r="G258" s="16" t="inlineStr"/>
      <c r="H258" s="20" t="n"/>
      <c r="I258" s="20" t="n"/>
      <c r="J258" s="20" t="n"/>
      <c r="K258" s="23" t="n"/>
    </row>
    <row r="259" outlineLevel="1" ht="26" customHeight="1">
      <c r="A259" s="11" t="inlineStr">
        <is>
          <t>D7</t>
        </is>
      </c>
      <c r="B259" s="11" t="inlineStr">
        <is>
          <t>7.6</t>
        </is>
      </c>
      <c r="C259" s="15" t="inlineStr">
        <is>
          <t>Legal, Regulatory &amp; Contractual Compliance for AI</t>
        </is>
      </c>
      <c r="D259" s="12" t="inlineStr">
        <is>
          <t>7.6.2</t>
        </is>
      </c>
      <c r="E259" s="13" t="inlineStr">
        <is>
          <t>Applicability &amp; Obligation Mapping</t>
        </is>
      </c>
      <c r="F259" s="14" t="inlineStr">
        <is>
          <t>Determine which obligations apply to which AI system, and record why.</t>
        </is>
      </c>
      <c r="G259" s="16" t="inlineStr"/>
      <c r="H259" s="20" t="n"/>
      <c r="I259" s="20" t="n"/>
      <c r="J259" s="20" t="n"/>
      <c r="K259" s="23" t="n"/>
    </row>
    <row r="260" outlineLevel="1" ht="26" customHeight="1">
      <c r="A260" s="11" t="inlineStr">
        <is>
          <t>D7</t>
        </is>
      </c>
      <c r="B260" s="11" t="inlineStr">
        <is>
          <t>7.6</t>
        </is>
      </c>
      <c r="C260" s="15" t="inlineStr">
        <is>
          <t>Legal, Regulatory &amp; Contractual Compliance for AI</t>
        </is>
      </c>
      <c r="D260" s="12" t="inlineStr">
        <is>
          <t>7.6.3</t>
        </is>
      </c>
      <c r="E260" s="13" t="inlineStr">
        <is>
          <t>Intellectual Property &amp; Copyright Control</t>
        </is>
      </c>
      <c r="F260" s="14" t="inlineStr">
        <is>
          <t>Manage IP exposure in both training inputs and generated outputs.</t>
        </is>
      </c>
      <c r="G260" s="16" t="inlineStr"/>
      <c r="H260" s="20" t="n"/>
      <c r="I260" s="20" t="n"/>
      <c r="J260" s="20" t="n"/>
      <c r="K260" s="23" t="n"/>
    </row>
    <row r="261" outlineLevel="1" ht="26" customHeight="1">
      <c r="A261" s="11" t="inlineStr">
        <is>
          <t>D7</t>
        </is>
      </c>
      <c r="B261" s="11" t="inlineStr">
        <is>
          <t>7.6</t>
        </is>
      </c>
      <c r="C261" s="15" t="inlineStr">
        <is>
          <t>Legal, Regulatory &amp; Contractual Compliance for AI</t>
        </is>
      </c>
      <c r="D261" s="12" t="inlineStr">
        <is>
          <t>7.6.4</t>
        </is>
      </c>
      <c r="E261" s="13" t="inlineStr">
        <is>
          <t>Records, Disclosure &amp; Registration Obligations</t>
        </is>
      </c>
      <c r="F261" s="14" t="inlineStr">
        <is>
          <t>Meet registration, logging and disclosure duties on time.</t>
        </is>
      </c>
      <c r="G261" s="16" t="inlineStr"/>
      <c r="H261" s="20" t="n"/>
      <c r="I261" s="20" t="n"/>
      <c r="J261" s="20" t="n"/>
      <c r="K261" s="23" t="n"/>
    </row>
    <row r="262" outlineLevel="1" ht="26" customHeight="1">
      <c r="A262" s="11" t="inlineStr">
        <is>
          <t>D7</t>
        </is>
      </c>
      <c r="B262" s="11" t="inlineStr">
        <is>
          <t>7.6</t>
        </is>
      </c>
      <c r="C262" s="15" t="inlineStr">
        <is>
          <t>Legal, Regulatory &amp; Contractual Compliance for AI</t>
        </is>
      </c>
      <c r="D262" s="12" t="inlineStr">
        <is>
          <t>7.6.5</t>
        </is>
      </c>
      <c r="E262" s="13" t="inlineStr">
        <is>
          <t>Institutional Legal Status Determination</t>
        </is>
      </c>
      <c r="F262" s="14" t="inlineStr">
        <is>
          <t>Determine, as a prerequisite to any obligation mapping, how the institution's international legal status affects which AI regimes apply. Not a maturity dimension — a legal determination that exists or does not.</t>
        </is>
      </c>
      <c r="G262" s="16" t="inlineStr"/>
      <c r="H262" s="20" t="n"/>
      <c r="I262" s="20" t="n"/>
      <c r="J262" s="20" t="n"/>
      <c r="K262" s="23" t="n"/>
    </row>
    <row r="263" outlineLevel="1" ht="26" customHeight="1">
      <c r="A263" s="11" t="inlineStr">
        <is>
          <t>D7</t>
        </is>
      </c>
      <c r="B263" s="11" t="inlineStr">
        <is>
          <t>7.6</t>
        </is>
      </c>
      <c r="C263" s="15" t="inlineStr">
        <is>
          <t>Legal, Regulatory &amp; Contractual Compliance for AI</t>
        </is>
      </c>
      <c r="D263" s="12" t="inlineStr">
        <is>
          <t>7.6.6</t>
        </is>
      </c>
      <c r="E263" s="13" t="inlineStr">
        <is>
          <t>Regulatory Role Determination</t>
        </is>
      </c>
      <c r="F263" s="14" t="inlineStr">
        <is>
          <t>Establish whether the institution acts as provider, deployer or distributor for each AI system, as the prerequisite to obligation mapping.</t>
        </is>
      </c>
      <c r="G263" s="16" t="inlineStr"/>
      <c r="H263" s="20" t="n"/>
      <c r="I263" s="20" t="n"/>
      <c r="J263" s="20" t="n"/>
      <c r="K263" s="23" t="n"/>
    </row>
    <row r="264" ht="20" customHeight="1">
      <c r="A264" s="39" t="inlineStr">
        <is>
          <t>D7</t>
        </is>
      </c>
      <c r="B264" s="40" t="inlineStr">
        <is>
          <t>7.7</t>
        </is>
      </c>
      <c r="C264" s="41" t="inlineStr">
        <is>
          <t>AI System &amp; Agent Inventory Management</t>
        </is>
      </c>
      <c r="D264" s="39" t="inlineStr"/>
      <c r="E264" s="39" t="inlineStr">
        <is>
          <t>5 criteria</t>
        </is>
      </c>
      <c r="F264" s="39" t="inlineStr">
        <is>
          <t>AI Governance Owner</t>
        </is>
      </c>
      <c r="G264" s="39" t="inlineStr"/>
      <c r="H264" s="39" t="inlineStr"/>
      <c r="I264" s="39" t="inlineStr"/>
      <c r="J264" s="39" t="inlineStr"/>
      <c r="K264" s="39" t="inlineStr"/>
    </row>
    <row r="265" outlineLevel="1" ht="26" customHeight="1">
      <c r="A265" s="11" t="inlineStr">
        <is>
          <t>D7</t>
        </is>
      </c>
      <c r="B265" s="11" t="inlineStr">
        <is>
          <t>7.7</t>
        </is>
      </c>
      <c r="C265" s="15" t="inlineStr">
        <is>
          <t>AI System &amp; Agent Inventory Management</t>
        </is>
      </c>
      <c r="D265" s="12" t="inlineStr">
        <is>
          <t>7.7.1</t>
        </is>
      </c>
      <c r="E265" s="13" t="inlineStr">
        <is>
          <t>AI System Registration</t>
        </is>
      </c>
      <c r="F265" s="14" t="inlineStr">
        <is>
          <t>Register every AI system before it reaches production, with mandatory attributes.</t>
        </is>
      </c>
      <c r="G265" s="16" t="inlineStr">
        <is>
          <t>Yes</t>
        </is>
      </c>
      <c r="H265" s="20" t="n"/>
      <c r="I265" s="20" t="n"/>
      <c r="J265" s="20" t="n"/>
      <c r="K265" s="23" t="n"/>
    </row>
    <row r="266" outlineLevel="1" ht="26" customHeight="1">
      <c r="A266" s="11" t="inlineStr">
        <is>
          <t>D7</t>
        </is>
      </c>
      <c r="B266" s="11" t="inlineStr">
        <is>
          <t>7.7</t>
        </is>
      </c>
      <c r="C266" s="15" t="inlineStr">
        <is>
          <t>AI System &amp; Agent Inventory Management</t>
        </is>
      </c>
      <c r="D266" s="12" t="inlineStr">
        <is>
          <t>7.7.2</t>
        </is>
      </c>
      <c r="E266" s="13" t="inlineStr">
        <is>
          <t>Agent Registration &amp; Attribute Recording</t>
        </is>
      </c>
      <c r="F266" s="14" t="inlineStr">
        <is>
          <t>Record each agent in the inventory with its owner, purpose, scope and identity reference.</t>
        </is>
      </c>
      <c r="G266" s="16" t="inlineStr">
        <is>
          <t>Yes</t>
        </is>
      </c>
      <c r="H266" s="20" t="n"/>
      <c r="I266" s="20" t="n"/>
      <c r="J266" s="20" t="n"/>
      <c r="K266" s="23" t="n"/>
    </row>
    <row r="267" outlineLevel="1" ht="26" customHeight="1">
      <c r="A267" s="11" t="inlineStr">
        <is>
          <t>D7</t>
        </is>
      </c>
      <c r="B267" s="11" t="inlineStr">
        <is>
          <t>7.7</t>
        </is>
      </c>
      <c r="C267" s="15" t="inlineStr">
        <is>
          <t>AI System &amp; Agent Inventory Management</t>
        </is>
      </c>
      <c r="D267" s="12" t="inlineStr">
        <is>
          <t>7.7.3</t>
        </is>
      </c>
      <c r="E267" s="13" t="inlineStr">
        <is>
          <t>Ownership &amp; Accountability Recording</t>
        </is>
      </c>
      <c r="F267" s="14" t="inlineStr">
        <is>
          <t>Record a named accountable individual for every registered AI system and keep it current as people and teams change.</t>
        </is>
      </c>
      <c r="G267" s="16" t="inlineStr"/>
      <c r="H267" s="20" t="n"/>
      <c r="I267" s="20" t="n"/>
      <c r="J267" s="20" t="n"/>
      <c r="K267" s="23" t="n"/>
    </row>
    <row r="268" outlineLevel="1" ht="26" customHeight="1">
      <c r="A268" s="11" t="inlineStr">
        <is>
          <t>D7</t>
        </is>
      </c>
      <c r="B268" s="11" t="inlineStr">
        <is>
          <t>7.7</t>
        </is>
      </c>
      <c r="C268" s="15" t="inlineStr">
        <is>
          <t>AI System &amp; Agent Inventory Management</t>
        </is>
      </c>
      <c r="D268" s="12" t="inlineStr">
        <is>
          <t>7.7.4</t>
        </is>
      </c>
      <c r="E268" s="13" t="inlineStr">
        <is>
          <t>Shadow AI Discovery</t>
        </is>
      </c>
      <c r="F268" s="14" t="inlineStr">
        <is>
          <t>Find AI in use that was never registered.</t>
        </is>
      </c>
      <c r="G268" s="16" t="inlineStr"/>
      <c r="H268" s="20" t="n"/>
      <c r="I268" s="20" t="n"/>
      <c r="J268" s="20" t="n"/>
      <c r="K268" s="23" t="n"/>
    </row>
    <row r="269" outlineLevel="1" ht="26" customHeight="1">
      <c r="A269" s="11" t="inlineStr">
        <is>
          <t>D7</t>
        </is>
      </c>
      <c r="B269" s="11" t="inlineStr">
        <is>
          <t>7.7</t>
        </is>
      </c>
      <c r="C269" s="15" t="inlineStr">
        <is>
          <t>AI System &amp; Agent Inventory Management</t>
        </is>
      </c>
      <c r="D269" s="12" t="inlineStr">
        <is>
          <t>7.7.5</t>
        </is>
      </c>
      <c r="E269" s="13" t="inlineStr">
        <is>
          <t>Inventory Completeness Assurance</t>
        </is>
      </c>
      <c r="F269" s="14" t="inlineStr">
        <is>
          <t>Test that the inventory is actually complete rather than assumed to be.</t>
        </is>
      </c>
      <c r="G269" s="16" t="inlineStr"/>
      <c r="H269" s="20" t="n"/>
      <c r="I269" s="20" t="n"/>
      <c r="J269" s="20" t="n"/>
      <c r="K269" s="23" t="n"/>
    </row>
    <row r="270" ht="20" customHeight="1">
      <c r="A270" s="39" t="inlineStr">
        <is>
          <t>D7</t>
        </is>
      </c>
      <c r="B270" s="40" t="inlineStr">
        <is>
          <t>7.8</t>
        </is>
      </c>
      <c r="C270" s="41" t="inlineStr">
        <is>
          <t>AI Assurance &amp; Evidence Management</t>
        </is>
      </c>
      <c r="D270" s="39" t="inlineStr"/>
      <c r="E270" s="39" t="inlineStr">
        <is>
          <t>4 criteria</t>
        </is>
      </c>
      <c r="F270" s="39" t="inlineStr">
        <is>
          <t>Second-Line Assurance Owner</t>
        </is>
      </c>
      <c r="G270" s="39" t="inlineStr"/>
      <c r="H270" s="39" t="inlineStr"/>
      <c r="I270" s="39" t="inlineStr"/>
      <c r="J270" s="39" t="inlineStr"/>
      <c r="K270" s="39" t="inlineStr"/>
    </row>
    <row r="271" outlineLevel="1" ht="26" customHeight="1">
      <c r="A271" s="11" t="inlineStr">
        <is>
          <t>D7</t>
        </is>
      </c>
      <c r="B271" s="11" t="inlineStr">
        <is>
          <t>7.8</t>
        </is>
      </c>
      <c r="C271" s="15" t="inlineStr">
        <is>
          <t>AI Assurance &amp; Evidence Management</t>
        </is>
      </c>
      <c r="D271" s="12" t="inlineStr">
        <is>
          <t>7.8.1</t>
        </is>
      </c>
      <c r="E271" s="13" t="inlineStr">
        <is>
          <t>Control Testing &amp; Assurance Planning</t>
        </is>
      </c>
      <c r="F271" s="14" t="inlineStr">
        <is>
          <t>Plan and perform first- and second-line testing of AI controls on a risk basis.</t>
        </is>
      </c>
      <c r="G271" s="16" t="inlineStr"/>
      <c r="H271" s="20" t="n"/>
      <c r="I271" s="20" t="n"/>
      <c r="J271" s="20" t="n"/>
      <c r="K271" s="23" t="n"/>
    </row>
    <row r="272" outlineLevel="1" ht="26" customHeight="1">
      <c r="A272" s="11" t="inlineStr">
        <is>
          <t>D7</t>
        </is>
      </c>
      <c r="B272" s="11" t="inlineStr">
        <is>
          <t>7.8</t>
        </is>
      </c>
      <c r="C272" s="15" t="inlineStr">
        <is>
          <t>AI Assurance &amp; Evidence Management</t>
        </is>
      </c>
      <c r="D272" s="12" t="inlineStr">
        <is>
          <t>7.8.2</t>
        </is>
      </c>
      <c r="E272" s="13" t="inlineStr">
        <is>
          <t>Evidence Management &amp; Audit Trail</t>
        </is>
      </c>
      <c r="F272" s="14" t="inlineStr">
        <is>
          <t>Retain evidence in a form an auditor can rely on, without reconstruction.</t>
        </is>
      </c>
      <c r="G272" s="16" t="inlineStr"/>
      <c r="H272" s="20" t="n"/>
      <c r="I272" s="20" t="n"/>
      <c r="J272" s="20" t="n"/>
      <c r="K272" s="23" t="n"/>
    </row>
    <row r="273" outlineLevel="1" ht="26" customHeight="1">
      <c r="A273" s="11" t="inlineStr">
        <is>
          <t>D7</t>
        </is>
      </c>
      <c r="B273" s="11" t="inlineStr">
        <is>
          <t>7.8</t>
        </is>
      </c>
      <c r="C273" s="15" t="inlineStr">
        <is>
          <t>AI Assurance &amp; Evidence Management</t>
        </is>
      </c>
      <c r="D273" s="12" t="inlineStr">
        <is>
          <t>7.8.3</t>
        </is>
      </c>
      <c r="E273" s="13" t="inlineStr">
        <is>
          <t>External Certification &amp; Attestation</t>
        </is>
      </c>
      <c r="F273" s="14" t="inlineStr">
        <is>
          <t>Obtain and maintain external certification where it is required or valuable.</t>
        </is>
      </c>
      <c r="G273" s="16" t="inlineStr"/>
      <c r="H273" s="20" t="n"/>
      <c r="I273" s="20" t="n"/>
      <c r="J273" s="20" t="n"/>
      <c r="K273" s="23" t="n"/>
    </row>
    <row r="274" outlineLevel="1" ht="26" customHeight="1">
      <c r="A274" s="11" t="inlineStr">
        <is>
          <t>D7</t>
        </is>
      </c>
      <c r="B274" s="11" t="inlineStr">
        <is>
          <t>7.8</t>
        </is>
      </c>
      <c r="C274" s="15" t="inlineStr">
        <is>
          <t>AI Assurance &amp; Evidence Management</t>
        </is>
      </c>
      <c r="D274" s="12" t="inlineStr">
        <is>
          <t>7.8.4</t>
        </is>
      </c>
      <c r="E274" s="13" t="inlineStr">
        <is>
          <t>Finding Remediation Tracking</t>
        </is>
      </c>
      <c r="F274" s="14" t="inlineStr">
        <is>
          <t>Close audit and assurance findings and evidence the closure.</t>
        </is>
      </c>
      <c r="G274" s="16" t="inlineStr"/>
      <c r="H274" s="20" t="n"/>
      <c r="I274" s="20" t="n"/>
      <c r="J274" s="20" t="n"/>
      <c r="K274" s="23" t="n"/>
    </row>
    <row r="275" ht="20" customHeight="1">
      <c r="A275" s="39" t="inlineStr">
        <is>
          <t>D7</t>
        </is>
      </c>
      <c r="B275" s="40" t="inlineStr">
        <is>
          <t>7.9</t>
        </is>
      </c>
      <c r="C275" s="41" t="inlineStr">
        <is>
          <t>AI Impact Assessment &amp; Risk Classification</t>
        </is>
      </c>
      <c r="D275" s="39" t="inlineStr"/>
      <c r="E275" s="39" t="inlineStr">
        <is>
          <t>5 criteria</t>
        </is>
      </c>
      <c r="F275" s="39" t="inlineStr">
        <is>
          <t>AI Risk &amp; Governance Owner</t>
        </is>
      </c>
      <c r="G275" s="39" t="inlineStr"/>
      <c r="H275" s="39" t="inlineStr"/>
      <c r="I275" s="39" t="inlineStr"/>
      <c r="J275" s="39" t="inlineStr"/>
      <c r="K275" s="39" t="inlineStr"/>
    </row>
    <row r="276" outlineLevel="1" ht="26" customHeight="1">
      <c r="A276" s="11" t="inlineStr">
        <is>
          <t>D7</t>
        </is>
      </c>
      <c r="B276" s="11" t="inlineStr">
        <is>
          <t>7.9</t>
        </is>
      </c>
      <c r="C276" s="15" t="inlineStr">
        <is>
          <t>AI Impact Assessment &amp; Risk Classification</t>
        </is>
      </c>
      <c r="D276" s="12" t="inlineStr">
        <is>
          <t>7.9.1</t>
        </is>
      </c>
      <c r="E276" s="13" t="inlineStr">
        <is>
          <t>AI System Impact Assessment</t>
        </is>
      </c>
      <c r="F276" s="14" t="inlineStr">
        <is>
          <t>Conduct the structured impact assessment on affected individuals and groups per ISO/IEC 42005.</t>
        </is>
      </c>
      <c r="G276" s="16" t="inlineStr"/>
      <c r="H276" s="20" t="n"/>
      <c r="I276" s="20" t="n"/>
      <c r="J276" s="20" t="n"/>
      <c r="K276" s="23" t="n"/>
    </row>
    <row r="277" outlineLevel="1" ht="26" customHeight="1">
      <c r="A277" s="11" t="inlineStr">
        <is>
          <t>D7</t>
        </is>
      </c>
      <c r="B277" s="11" t="inlineStr">
        <is>
          <t>7.9</t>
        </is>
      </c>
      <c r="C277" s="15" t="inlineStr">
        <is>
          <t>AI Impact Assessment &amp; Risk Classification</t>
        </is>
      </c>
      <c r="D277" s="12" t="inlineStr">
        <is>
          <t>7.9.2</t>
        </is>
      </c>
      <c r="E277" s="13" t="inlineStr">
        <is>
          <t>Rights Impact Assessment Determination</t>
        </is>
      </c>
      <c r="F277" s="14" t="inlineStr">
        <is>
          <t>Determine whether a fundamental-rights impact assessment is required for a use case, and conduct it where it is.</t>
        </is>
      </c>
      <c r="G277" s="16" t="inlineStr"/>
      <c r="H277" s="20" t="n"/>
      <c r="I277" s="20" t="n"/>
      <c r="J277" s="20" t="n"/>
      <c r="K277" s="23" t="n"/>
    </row>
    <row r="278" outlineLevel="1" ht="26" customHeight="1">
      <c r="A278" s="11" t="inlineStr">
        <is>
          <t>D7</t>
        </is>
      </c>
      <c r="B278" s="11" t="inlineStr">
        <is>
          <t>7.9</t>
        </is>
      </c>
      <c r="C278" s="15" t="inlineStr">
        <is>
          <t>AI Impact Assessment &amp; Risk Classification</t>
        </is>
      </c>
      <c r="D278" s="12" t="inlineStr">
        <is>
          <t>7.9.3</t>
        </is>
      </c>
      <c r="E278" s="13" t="inlineStr">
        <is>
          <t>Risk Classification &amp; Tiering</t>
        </is>
      </c>
      <c r="F278" s="14" t="inlineStr">
        <is>
          <t>Assign each use case to a risk tier that determines the controls it must carry.</t>
        </is>
      </c>
      <c r="G278" s="16" t="inlineStr"/>
      <c r="H278" s="20" t="n"/>
      <c r="I278" s="20" t="n"/>
      <c r="J278" s="20" t="n"/>
      <c r="K278" s="23" t="n"/>
    </row>
    <row r="279" outlineLevel="1" ht="26" customHeight="1">
      <c r="A279" s="11" t="inlineStr">
        <is>
          <t>D7</t>
        </is>
      </c>
      <c r="B279" s="11" t="inlineStr">
        <is>
          <t>7.9</t>
        </is>
      </c>
      <c r="C279" s="15" t="inlineStr">
        <is>
          <t>AI Impact Assessment &amp; Risk Classification</t>
        </is>
      </c>
      <c r="D279" s="12" t="inlineStr">
        <is>
          <t>7.9.4</t>
        </is>
      </c>
      <c r="E279" s="13" t="inlineStr">
        <is>
          <t>Classification Review &amp; Reclassification</t>
        </is>
      </c>
      <c r="F279" s="14" t="inlineStr">
        <is>
          <t>Re-examine impact and risk tier when purpose, data, autonomy or affected population materially change.</t>
        </is>
      </c>
      <c r="G279" s="16" t="inlineStr"/>
      <c r="H279" s="20" t="n"/>
      <c r="I279" s="20" t="n"/>
      <c r="J279" s="20" t="n"/>
      <c r="K279" s="23" t="n"/>
    </row>
    <row r="280" outlineLevel="1" ht="26" customHeight="1">
      <c r="A280" s="11" t="inlineStr">
        <is>
          <t>D7</t>
        </is>
      </c>
      <c r="B280" s="11" t="inlineStr">
        <is>
          <t>7.9</t>
        </is>
      </c>
      <c r="C280" s="15" t="inlineStr">
        <is>
          <t>AI Impact Assessment &amp; Risk Classification</t>
        </is>
      </c>
      <c r="D280" s="12" t="inlineStr">
        <is>
          <t>7.9.5</t>
        </is>
      </c>
      <c r="E280" s="13" t="inlineStr">
        <is>
          <t>Independent Challenge of First-Line Classification</t>
        </is>
      </c>
      <c r="F280" s="14" t="inlineStr">
        <is>
          <t>Challenge and, where warranted, overturn a proposing team's own assessment of impact or risk tier.</t>
        </is>
      </c>
      <c r="G280" s="16" t="inlineStr">
        <is>
          <t>Yes</t>
        </is>
      </c>
      <c r="H280" s="20" t="n"/>
      <c r="I280" s="20" t="n"/>
      <c r="J280" s="20" t="n"/>
      <c r="K280" s="23" t="n"/>
    </row>
    <row r="281" ht="20" customHeight="1">
      <c r="A281" s="39" t="inlineStr">
        <is>
          <t>D8</t>
        </is>
      </c>
      <c r="B281" s="40" t="inlineStr">
        <is>
          <t>8.1</t>
        </is>
      </c>
      <c r="C281" s="41" t="inlineStr">
        <is>
          <t>AI Operating Model &amp; Decision Rights</t>
        </is>
      </c>
      <c r="D281" s="39" t="inlineStr"/>
      <c r="E281" s="39" t="inlineStr">
        <is>
          <t>4 criteria</t>
        </is>
      </c>
      <c r="F281" s="39" t="inlineStr">
        <is>
          <t>Chief AI Officer</t>
        </is>
      </c>
      <c r="G281" s="39" t="inlineStr"/>
      <c r="H281" s="39" t="inlineStr"/>
      <c r="I281" s="39" t="inlineStr"/>
      <c r="J281" s="39" t="inlineStr"/>
      <c r="K281" s="39" t="inlineStr"/>
    </row>
    <row r="282" outlineLevel="1" ht="26" customHeight="1">
      <c r="A282" s="11" t="inlineStr">
        <is>
          <t>D8</t>
        </is>
      </c>
      <c r="B282" s="11" t="inlineStr">
        <is>
          <t>8.1</t>
        </is>
      </c>
      <c r="C282" s="15" t="inlineStr">
        <is>
          <t>AI Operating Model &amp; Decision Rights</t>
        </is>
      </c>
      <c r="D282" s="12" t="inlineStr">
        <is>
          <t>8.1.1</t>
        </is>
      </c>
      <c r="E282" s="13" t="inlineStr">
        <is>
          <t>Operating Model Design</t>
        </is>
      </c>
      <c r="F282" s="14" t="inlineStr">
        <is>
          <t>Choose and maintain the centralized, federated or hybrid model for AI work.</t>
        </is>
      </c>
      <c r="G282" s="16" t="inlineStr"/>
      <c r="H282" s="20" t="n"/>
      <c r="I282" s="20" t="n"/>
      <c r="J282" s="20" t="n"/>
      <c r="K282" s="23" t="n"/>
    </row>
    <row r="283" outlineLevel="1" ht="26" customHeight="1">
      <c r="A283" s="11" t="inlineStr">
        <is>
          <t>D8</t>
        </is>
      </c>
      <c r="B283" s="11" t="inlineStr">
        <is>
          <t>8.1</t>
        </is>
      </c>
      <c r="C283" s="15" t="inlineStr">
        <is>
          <t>AI Operating Model &amp; Decision Rights</t>
        </is>
      </c>
      <c r="D283" s="12" t="inlineStr">
        <is>
          <t>8.1.2</t>
        </is>
      </c>
      <c r="E283" s="13" t="inlineStr">
        <is>
          <t>Role &amp; Responsibility Definition</t>
        </is>
      </c>
      <c r="F283" s="14" t="inlineStr">
        <is>
          <t>Define the AI roles the institution needs and what each is accountable for.</t>
        </is>
      </c>
      <c r="G283" s="16" t="inlineStr"/>
      <c r="H283" s="20" t="n"/>
      <c r="I283" s="20" t="n"/>
      <c r="J283" s="20" t="n"/>
      <c r="K283" s="23" t="n"/>
    </row>
    <row r="284" outlineLevel="1" ht="26" customHeight="1">
      <c r="A284" s="11" t="inlineStr">
        <is>
          <t>D8</t>
        </is>
      </c>
      <c r="B284" s="11" t="inlineStr">
        <is>
          <t>8.1</t>
        </is>
      </c>
      <c r="C284" s="15" t="inlineStr">
        <is>
          <t>AI Operating Model &amp; Decision Rights</t>
        </is>
      </c>
      <c r="D284" s="12" t="inlineStr">
        <is>
          <t>8.1.3</t>
        </is>
      </c>
      <c r="E284" s="13" t="inlineStr">
        <is>
          <t>Decision Rights &amp; Escalation Paths</t>
        </is>
      </c>
      <c r="F284" s="14" t="inlineStr">
        <is>
          <t>State who may decide what, and where a disagreement goes.</t>
        </is>
      </c>
      <c r="G284" s="16" t="inlineStr"/>
      <c r="H284" s="20" t="n"/>
      <c r="I284" s="20" t="n"/>
      <c r="J284" s="20" t="n"/>
      <c r="K284" s="23" t="n"/>
    </row>
    <row r="285" outlineLevel="1" ht="26" customHeight="1">
      <c r="A285" s="11" t="inlineStr">
        <is>
          <t>D8</t>
        </is>
      </c>
      <c r="B285" s="11" t="inlineStr">
        <is>
          <t>8.1</t>
        </is>
      </c>
      <c r="C285" s="15" t="inlineStr">
        <is>
          <t>AI Operating Model &amp; Decision Rights</t>
        </is>
      </c>
      <c r="D285" s="12" t="inlineStr">
        <is>
          <t>8.1.4</t>
        </is>
      </c>
      <c r="E285" s="13" t="inlineStr">
        <is>
          <t>Capacity &amp; Resourcing Management</t>
        </is>
      </c>
      <c r="F285" s="14" t="inlineStr">
        <is>
          <t>Match available skilled capacity to the committed portfolio.</t>
        </is>
      </c>
      <c r="G285" s="16" t="inlineStr"/>
      <c r="H285" s="20" t="n"/>
      <c r="I285" s="20" t="n"/>
      <c r="J285" s="20" t="n"/>
      <c r="K285" s="23" t="n"/>
    </row>
    <row r="286" ht="20" customHeight="1">
      <c r="A286" s="39" t="inlineStr">
        <is>
          <t>D8</t>
        </is>
      </c>
      <c r="B286" s="40" t="inlineStr">
        <is>
          <t>8.2</t>
        </is>
      </c>
      <c r="C286" s="41" t="inlineStr">
        <is>
          <t>AI Skills &amp; Specialist Capability Building</t>
        </is>
      </c>
      <c r="D286" s="39" t="inlineStr"/>
      <c r="E286" s="39" t="inlineStr">
        <is>
          <t>4 criteria</t>
        </is>
      </c>
      <c r="F286" s="39" t="inlineStr">
        <is>
          <t>Chief Human Resources Officer</t>
        </is>
      </c>
      <c r="G286" s="39" t="inlineStr"/>
      <c r="H286" s="39" t="inlineStr"/>
      <c r="I286" s="39" t="inlineStr"/>
      <c r="J286" s="39" t="inlineStr"/>
      <c r="K286" s="39" t="inlineStr"/>
    </row>
    <row r="287" outlineLevel="1" ht="26" customHeight="1">
      <c r="A287" s="11" t="inlineStr">
        <is>
          <t>D8</t>
        </is>
      </c>
      <c r="B287" s="11" t="inlineStr">
        <is>
          <t>8.2</t>
        </is>
      </c>
      <c r="C287" s="15" t="inlineStr">
        <is>
          <t>AI Skills &amp; Specialist Capability Building</t>
        </is>
      </c>
      <c r="D287" s="12" t="inlineStr">
        <is>
          <t>8.2.1</t>
        </is>
      </c>
      <c r="E287" s="13" t="inlineStr">
        <is>
          <t>Skills Taxonomy &amp; Assessment</t>
        </is>
      </c>
      <c r="F287" s="14" t="inlineStr">
        <is>
          <t>Define the AI skills required and assess where the institution stands.</t>
        </is>
      </c>
      <c r="G287" s="16" t="inlineStr"/>
      <c r="H287" s="20" t="n"/>
      <c r="I287" s="20" t="n"/>
      <c r="J287" s="20" t="n"/>
      <c r="K287" s="23" t="n"/>
    </row>
    <row r="288" outlineLevel="1" ht="26" customHeight="1">
      <c r="A288" s="11" t="inlineStr">
        <is>
          <t>D8</t>
        </is>
      </c>
      <c r="B288" s="11" t="inlineStr">
        <is>
          <t>8.2</t>
        </is>
      </c>
      <c r="C288" s="15" t="inlineStr">
        <is>
          <t>AI Skills &amp; Specialist Capability Building</t>
        </is>
      </c>
      <c r="D288" s="12" t="inlineStr">
        <is>
          <t>8.2.2</t>
        </is>
      </c>
      <c r="E288" s="13" t="inlineStr">
        <is>
          <t>Training &amp; Certification Delivery</t>
        </is>
      </c>
      <c r="F288" s="14" t="inlineStr">
        <is>
          <t>Deliver structured learning against identified gaps.</t>
        </is>
      </c>
      <c r="G288" s="16" t="inlineStr"/>
      <c r="H288" s="20" t="n"/>
      <c r="I288" s="20" t="n"/>
      <c r="J288" s="20" t="n"/>
      <c r="K288" s="23" t="n"/>
    </row>
    <row r="289" outlineLevel="1" ht="26" customHeight="1">
      <c r="A289" s="11" t="inlineStr">
        <is>
          <t>D8</t>
        </is>
      </c>
      <c r="B289" s="11" t="inlineStr">
        <is>
          <t>8.2</t>
        </is>
      </c>
      <c r="C289" s="15" t="inlineStr">
        <is>
          <t>AI Skills &amp; Specialist Capability Building</t>
        </is>
      </c>
      <c r="D289" s="12" t="inlineStr">
        <is>
          <t>8.2.3</t>
        </is>
      </c>
      <c r="E289" s="13" t="inlineStr">
        <is>
          <t>Recruitment &amp; Talent Acquisition</t>
        </is>
      </c>
      <c r="F289" s="14" t="inlineStr">
        <is>
          <t>Acquire skills the institution cannot build in time.</t>
        </is>
      </c>
      <c r="G289" s="16" t="inlineStr"/>
      <c r="H289" s="20" t="n"/>
      <c r="I289" s="20" t="n"/>
      <c r="J289" s="20" t="n"/>
      <c r="K289" s="23" t="n"/>
    </row>
    <row r="290" outlineLevel="1" ht="26" customHeight="1">
      <c r="A290" s="11" t="inlineStr">
        <is>
          <t>D8</t>
        </is>
      </c>
      <c r="B290" s="11" t="inlineStr">
        <is>
          <t>8.2</t>
        </is>
      </c>
      <c r="C290" s="15" t="inlineStr">
        <is>
          <t>AI Skills &amp; Specialist Capability Building</t>
        </is>
      </c>
      <c r="D290" s="12" t="inlineStr">
        <is>
          <t>8.2.4</t>
        </is>
      </c>
      <c r="E290" s="13" t="inlineStr">
        <is>
          <t>Career Pathways &amp; Retention</t>
        </is>
      </c>
      <c r="F290" s="14" t="inlineStr">
        <is>
          <t>Give AI practitioners a reason to stay.</t>
        </is>
      </c>
      <c r="G290" s="16" t="inlineStr"/>
      <c r="H290" s="20" t="n"/>
      <c r="I290" s="20" t="n"/>
      <c r="J290" s="20" t="n"/>
      <c r="K290" s="23" t="n"/>
    </row>
    <row r="291" ht="20" customHeight="1">
      <c r="A291" s="39" t="inlineStr">
        <is>
          <t>D8</t>
        </is>
      </c>
      <c r="B291" s="40" t="inlineStr">
        <is>
          <t>8.3</t>
        </is>
      </c>
      <c r="C291" s="41" t="inlineStr">
        <is>
          <t>AI Literacy &amp; Awareness</t>
        </is>
      </c>
      <c r="D291" s="39" t="inlineStr"/>
      <c r="E291" s="39" t="inlineStr">
        <is>
          <t>4 criteria</t>
        </is>
      </c>
      <c r="F291" s="39" t="inlineStr">
        <is>
          <t>Learning &amp; Development Owner</t>
        </is>
      </c>
      <c r="G291" s="39" t="inlineStr"/>
      <c r="H291" s="39" t="inlineStr"/>
      <c r="I291" s="39" t="inlineStr"/>
      <c r="J291" s="39" t="inlineStr"/>
      <c r="K291" s="39" t="inlineStr"/>
    </row>
    <row r="292" outlineLevel="1" ht="26" customHeight="1">
      <c r="A292" s="11" t="inlineStr">
        <is>
          <t>D8</t>
        </is>
      </c>
      <c r="B292" s="11" t="inlineStr">
        <is>
          <t>8.3</t>
        </is>
      </c>
      <c r="C292" s="15" t="inlineStr">
        <is>
          <t>AI Literacy &amp; Awareness</t>
        </is>
      </c>
      <c r="D292" s="12" t="inlineStr">
        <is>
          <t>8.3.1</t>
        </is>
      </c>
      <c r="E292" s="13" t="inlineStr">
        <is>
          <t>Baseline AI Literacy Delivery</t>
        </is>
      </c>
      <c r="F292" s="14" t="inlineStr">
        <is>
          <t>Deliver a common minimum level of AI understanding across the institution.</t>
        </is>
      </c>
      <c r="G292" s="16" t="inlineStr"/>
      <c r="H292" s="20" t="n"/>
      <c r="I292" s="20" t="n"/>
      <c r="J292" s="20" t="n"/>
      <c r="K292" s="23" t="n"/>
    </row>
    <row r="293" outlineLevel="1" ht="26" customHeight="1">
      <c r="A293" s="11" t="inlineStr">
        <is>
          <t>D8</t>
        </is>
      </c>
      <c r="B293" s="11" t="inlineStr">
        <is>
          <t>8.3</t>
        </is>
      </c>
      <c r="C293" s="15" t="inlineStr">
        <is>
          <t>AI Literacy &amp; Awareness</t>
        </is>
      </c>
      <c r="D293" s="12" t="inlineStr">
        <is>
          <t>8.3.2</t>
        </is>
      </c>
      <c r="E293" s="13" t="inlineStr">
        <is>
          <t>Role-Specific Awareness</t>
        </is>
      </c>
      <c r="F293" s="14" t="inlineStr">
        <is>
          <t>Give each role the specific understanding its AI exposure requires.</t>
        </is>
      </c>
      <c r="G293" s="16" t="inlineStr"/>
      <c r="H293" s="20" t="n"/>
      <c r="I293" s="20" t="n"/>
      <c r="J293" s="20" t="n"/>
      <c r="K293" s="23" t="n"/>
    </row>
    <row r="294" outlineLevel="1" ht="26" customHeight="1">
      <c r="A294" s="11" t="inlineStr">
        <is>
          <t>D8</t>
        </is>
      </c>
      <c r="B294" s="11" t="inlineStr">
        <is>
          <t>8.3</t>
        </is>
      </c>
      <c r="C294" s="15" t="inlineStr">
        <is>
          <t>AI Literacy &amp; Awareness</t>
        </is>
      </c>
      <c r="D294" s="12" t="inlineStr">
        <is>
          <t>8.3.3</t>
        </is>
      </c>
      <c r="E294" s="13" t="inlineStr">
        <is>
          <t>Acceptable Use Communication</t>
        </is>
      </c>
      <c r="F294" s="14" t="inlineStr">
        <is>
          <t>Make clear, in practical terms, what staff may and may not do with AI.</t>
        </is>
      </c>
      <c r="G294" s="16" t="inlineStr"/>
      <c r="H294" s="20" t="n"/>
      <c r="I294" s="20" t="n"/>
      <c r="J294" s="20" t="n"/>
      <c r="K294" s="23" t="n"/>
    </row>
    <row r="295" outlineLevel="1" ht="26" customHeight="1">
      <c r="A295" s="11" t="inlineStr">
        <is>
          <t>D8</t>
        </is>
      </c>
      <c r="B295" s="11" t="inlineStr">
        <is>
          <t>8.3</t>
        </is>
      </c>
      <c r="C295" s="15" t="inlineStr">
        <is>
          <t>AI Literacy &amp; Awareness</t>
        </is>
      </c>
      <c r="D295" s="12" t="inlineStr">
        <is>
          <t>8.3.4</t>
        </is>
      </c>
      <c r="E295" s="13" t="inlineStr">
        <is>
          <t>Literacy Coverage Evidence</t>
        </is>
      </c>
      <c r="F295" s="14" t="inlineStr">
        <is>
          <t>Evidence who has received what AI training, to the standard the institution's own policy sets.</t>
        </is>
      </c>
      <c r="G295" s="16" t="inlineStr"/>
      <c r="H295" s="20" t="n"/>
      <c r="I295" s="20" t="n"/>
      <c r="J295" s="20" t="n"/>
      <c r="K295" s="23" t="n"/>
    </row>
    <row r="296" ht="20" customHeight="1">
      <c r="A296" s="39" t="inlineStr">
        <is>
          <t>D8</t>
        </is>
      </c>
      <c r="B296" s="40" t="inlineStr">
        <is>
          <t>8.4</t>
        </is>
      </c>
      <c r="C296" s="41" t="inlineStr">
        <is>
          <t>AI Adoption, Enablement &amp; Support</t>
        </is>
      </c>
      <c r="D296" s="39" t="inlineStr"/>
      <c r="E296" s="39" t="inlineStr">
        <is>
          <t>5 criteria</t>
        </is>
      </c>
      <c r="F296" s="39" t="inlineStr">
        <is>
          <t>Change Enablement Owner</t>
        </is>
      </c>
      <c r="G296" s="39" t="inlineStr"/>
      <c r="H296" s="39" t="inlineStr"/>
      <c r="I296" s="39" t="inlineStr"/>
      <c r="J296" s="39" t="inlineStr"/>
      <c r="K296" s="39" t="inlineStr"/>
    </row>
    <row r="297" outlineLevel="1" ht="26" customHeight="1">
      <c r="A297" s="11" t="inlineStr">
        <is>
          <t>D8</t>
        </is>
      </c>
      <c r="B297" s="11" t="inlineStr">
        <is>
          <t>8.4</t>
        </is>
      </c>
      <c r="C297" s="15" t="inlineStr">
        <is>
          <t>AI Adoption, Enablement &amp; Support</t>
        </is>
      </c>
      <c r="D297" s="12" t="inlineStr">
        <is>
          <t>8.4.1</t>
        </is>
      </c>
      <c r="E297" s="13" t="inlineStr">
        <is>
          <t>Adoption Planning &amp; Targeting</t>
        </is>
      </c>
      <c r="F297" s="14" t="inlineStr">
        <is>
          <t>Plan adoption deliberately rather than assuming availability creates use.</t>
        </is>
      </c>
      <c r="G297" s="16" t="inlineStr"/>
      <c r="H297" s="20" t="n"/>
      <c r="I297" s="20" t="n"/>
      <c r="J297" s="20" t="n"/>
      <c r="K297" s="23" t="n"/>
    </row>
    <row r="298" outlineLevel="1" ht="26" customHeight="1">
      <c r="A298" s="11" t="inlineStr">
        <is>
          <t>D8</t>
        </is>
      </c>
      <c r="B298" s="11" t="inlineStr">
        <is>
          <t>8.4</t>
        </is>
      </c>
      <c r="C298" s="15" t="inlineStr">
        <is>
          <t>AI Adoption, Enablement &amp; Support</t>
        </is>
      </c>
      <c r="D298" s="12" t="inlineStr">
        <is>
          <t>8.4.2</t>
        </is>
      </c>
      <c r="E298" s="13" t="inlineStr">
        <is>
          <t>User Onboarding &amp; Enablement</t>
        </is>
      </c>
      <c r="F298" s="14" t="inlineStr">
        <is>
          <t>Bring new users to competent use quickly.</t>
        </is>
      </c>
      <c r="G298" s="16" t="inlineStr"/>
      <c r="H298" s="20" t="n"/>
      <c r="I298" s="20" t="n"/>
      <c r="J298" s="20" t="n"/>
      <c r="K298" s="23" t="n"/>
    </row>
    <row r="299" outlineLevel="1" ht="26" customHeight="1">
      <c r="A299" s="11" t="inlineStr">
        <is>
          <t>D8</t>
        </is>
      </c>
      <c r="B299" s="11" t="inlineStr">
        <is>
          <t>8.4</t>
        </is>
      </c>
      <c r="C299" s="15" t="inlineStr">
        <is>
          <t>AI Adoption, Enablement &amp; Support</t>
        </is>
      </c>
      <c r="D299" s="12" t="inlineStr">
        <is>
          <t>8.4.3</t>
        </is>
      </c>
      <c r="E299" s="13" t="inlineStr">
        <is>
          <t>User Support Provision</t>
        </is>
      </c>
      <c r="F299" s="14" t="inlineStr">
        <is>
          <t>Answer users when AI behaves unexpectedly.</t>
        </is>
      </c>
      <c r="G299" s="16" t="inlineStr"/>
      <c r="H299" s="20" t="n"/>
      <c r="I299" s="20" t="n"/>
      <c r="J299" s="20" t="n"/>
      <c r="K299" s="23" t="n"/>
    </row>
    <row r="300" outlineLevel="1" ht="26" customHeight="1">
      <c r="A300" s="11" t="inlineStr">
        <is>
          <t>D8</t>
        </is>
      </c>
      <c r="B300" s="11" t="inlineStr">
        <is>
          <t>8.4</t>
        </is>
      </c>
      <c r="C300" s="15" t="inlineStr">
        <is>
          <t>AI Adoption, Enablement &amp; Support</t>
        </is>
      </c>
      <c r="D300" s="12" t="inlineStr">
        <is>
          <t>8.4.4</t>
        </is>
      </c>
      <c r="E300" s="13" t="inlineStr">
        <is>
          <t>Adoption Measurement</t>
        </is>
      </c>
      <c r="F300" s="14" t="inlineStr">
        <is>
          <t>Measure real usage and depth of use, not licenses issued.</t>
        </is>
      </c>
      <c r="G300" s="16" t="inlineStr"/>
      <c r="H300" s="20" t="n"/>
      <c r="I300" s="20" t="n"/>
      <c r="J300" s="20" t="n"/>
      <c r="K300" s="23" t="n"/>
    </row>
    <row r="301" outlineLevel="1" ht="26" customHeight="1">
      <c r="A301" s="11" t="inlineStr">
        <is>
          <t>D8</t>
        </is>
      </c>
      <c r="B301" s="11" t="inlineStr">
        <is>
          <t>8.4</t>
        </is>
      </c>
      <c r="C301" s="15" t="inlineStr">
        <is>
          <t>AI Adoption, Enablement &amp; Support</t>
        </is>
      </c>
      <c r="D301" s="12" t="inlineStr">
        <is>
          <t>8.4.5</t>
        </is>
      </c>
      <c r="E301" s="13" t="inlineStr">
        <is>
          <t>Champion Network Operation</t>
        </is>
      </c>
      <c r="F301" s="14" t="inlineStr">
        <is>
          <t>Sustain distributed advocates who carry adoption locally.</t>
        </is>
      </c>
      <c r="G301" s="16" t="inlineStr"/>
      <c r="H301" s="20" t="n"/>
      <c r="I301" s="20" t="n"/>
      <c r="J301" s="20" t="n"/>
      <c r="K301" s="23" t="n"/>
    </row>
    <row r="302" ht="20" customHeight="1">
      <c r="A302" s="39" t="inlineStr">
        <is>
          <t>D8</t>
        </is>
      </c>
      <c r="B302" s="40" t="inlineStr">
        <is>
          <t>8.5</t>
        </is>
      </c>
      <c r="C302" s="41" t="inlineStr">
        <is>
          <t>AI Change Management &amp; Workforce Transition</t>
        </is>
      </c>
      <c r="D302" s="39" t="inlineStr"/>
      <c r="E302" s="39" t="inlineStr">
        <is>
          <t>5 criteria</t>
        </is>
      </c>
      <c r="F302" s="39" t="inlineStr">
        <is>
          <t>Chief Human Resources Officer</t>
        </is>
      </c>
      <c r="G302" s="39" t="inlineStr"/>
      <c r="H302" s="39" t="inlineStr"/>
      <c r="I302" s="39" t="inlineStr"/>
      <c r="J302" s="39" t="inlineStr"/>
      <c r="K302" s="39" t="inlineStr"/>
    </row>
    <row r="303" outlineLevel="1" ht="26" customHeight="1">
      <c r="A303" s="11" t="inlineStr">
        <is>
          <t>D8</t>
        </is>
      </c>
      <c r="B303" s="11" t="inlineStr">
        <is>
          <t>8.5</t>
        </is>
      </c>
      <c r="C303" s="15" t="inlineStr">
        <is>
          <t>AI Change Management &amp; Workforce Transition</t>
        </is>
      </c>
      <c r="D303" s="12" t="inlineStr">
        <is>
          <t>8.5.1</t>
        </is>
      </c>
      <c r="E303" s="13" t="inlineStr">
        <is>
          <t>Change Impact Assessment</t>
        </is>
      </c>
      <c r="F303" s="14" t="inlineStr">
        <is>
          <t>Assess what AI changes for specific roles and teams before it lands.</t>
        </is>
      </c>
      <c r="G303" s="16" t="inlineStr"/>
      <c r="H303" s="20" t="n"/>
      <c r="I303" s="20" t="n"/>
      <c r="J303" s="20" t="n"/>
      <c r="K303" s="23" t="n"/>
    </row>
    <row r="304" outlineLevel="1" ht="26" customHeight="1">
      <c r="A304" s="11" t="inlineStr">
        <is>
          <t>D8</t>
        </is>
      </c>
      <c r="B304" s="11" t="inlineStr">
        <is>
          <t>8.5</t>
        </is>
      </c>
      <c r="C304" s="15" t="inlineStr">
        <is>
          <t>AI Change Management &amp; Workforce Transition</t>
        </is>
      </c>
      <c r="D304" s="12" t="inlineStr">
        <is>
          <t>8.5.2</t>
        </is>
      </c>
      <c r="E304" s="13" t="inlineStr">
        <is>
          <t>Stakeholder Engagement &amp; Communication</t>
        </is>
      </c>
      <c r="F304" s="14" t="inlineStr">
        <is>
          <t>Engage those affected early enough to influence the design.</t>
        </is>
      </c>
      <c r="G304" s="16" t="inlineStr"/>
      <c r="H304" s="20" t="n"/>
      <c r="I304" s="20" t="n"/>
      <c r="J304" s="20" t="n"/>
      <c r="K304" s="23" t="n"/>
    </row>
    <row r="305" outlineLevel="1" ht="26" customHeight="1">
      <c r="A305" s="11" t="inlineStr">
        <is>
          <t>D8</t>
        </is>
      </c>
      <c r="B305" s="11" t="inlineStr">
        <is>
          <t>8.5</t>
        </is>
      </c>
      <c r="C305" s="15" t="inlineStr">
        <is>
          <t>AI Change Management &amp; Workforce Transition</t>
        </is>
      </c>
      <c r="D305" s="12" t="inlineStr">
        <is>
          <t>8.5.3</t>
        </is>
      </c>
      <c r="E305" s="13" t="inlineStr">
        <is>
          <t>Workforce Transition &amp; Redeployment</t>
        </is>
      </c>
      <c r="F305" s="14" t="inlineStr">
        <is>
          <t>Move people whose work changes into work that is needed.</t>
        </is>
      </c>
      <c r="G305" s="16" t="inlineStr"/>
      <c r="H305" s="20" t="n"/>
      <c r="I305" s="20" t="n"/>
      <c r="J305" s="20" t="n"/>
      <c r="K305" s="23" t="n"/>
    </row>
    <row r="306" outlineLevel="1" ht="26" customHeight="1">
      <c r="A306" s="11" t="inlineStr">
        <is>
          <t>D8</t>
        </is>
      </c>
      <c r="B306" s="11" t="inlineStr">
        <is>
          <t>8.5</t>
        </is>
      </c>
      <c r="C306" s="15" t="inlineStr">
        <is>
          <t>AI Change Management &amp; Workforce Transition</t>
        </is>
      </c>
      <c r="D306" s="12" t="inlineStr">
        <is>
          <t>8.5.4</t>
        </is>
      </c>
      <c r="E306" s="13" t="inlineStr">
        <is>
          <t>Staff Consultation &amp; Representation</t>
        </is>
      </c>
      <c r="F306" s="14" t="inlineStr">
        <is>
          <t>Consult staff representation where AI changes conditions of work.</t>
        </is>
      </c>
      <c r="G306" s="16" t="inlineStr"/>
      <c r="H306" s="20" t="n"/>
      <c r="I306" s="20" t="n"/>
      <c r="J306" s="20" t="n"/>
      <c r="K306" s="23" t="n"/>
    </row>
    <row r="307" outlineLevel="1" ht="26" customHeight="1">
      <c r="A307" s="11" t="inlineStr">
        <is>
          <t>D8</t>
        </is>
      </c>
      <c r="B307" s="11" t="inlineStr">
        <is>
          <t>8.5</t>
        </is>
      </c>
      <c r="C307" s="15" t="inlineStr">
        <is>
          <t>AI Change Management &amp; Workforce Transition</t>
        </is>
      </c>
      <c r="D307" s="12" t="inlineStr">
        <is>
          <t>8.5.5</t>
        </is>
      </c>
      <c r="E307" s="13" t="inlineStr">
        <is>
          <t>Trust &amp; Resistance Management</t>
        </is>
      </c>
      <c r="F307" s="14" t="inlineStr">
        <is>
          <t>Address well-founded concern rather than treating it as an obstacle.</t>
        </is>
      </c>
      <c r="G307" s="16" t="inlineStr"/>
      <c r="H307" s="20" t="n"/>
      <c r="I307" s="20" t="n"/>
      <c r="J307" s="20" t="n"/>
      <c r="K307" s="23" t="n"/>
    </row>
    <row r="308" ht="20" customHeight="1">
      <c r="A308" s="39" t="inlineStr">
        <is>
          <t>D8</t>
        </is>
      </c>
      <c r="B308" s="40" t="inlineStr">
        <is>
          <t>8.6</t>
        </is>
      </c>
      <c r="C308" s="41" t="inlineStr">
        <is>
          <t>AI Community &amp; Reuse Culture</t>
        </is>
      </c>
      <c r="D308" s="39" t="inlineStr"/>
      <c r="E308" s="39" t="inlineStr">
        <is>
          <t>3 criteria</t>
        </is>
      </c>
      <c r="F308" s="39" t="inlineStr">
        <is>
          <t>AI CoE Owner</t>
        </is>
      </c>
      <c r="G308" s="39" t="inlineStr"/>
      <c r="H308" s="39" t="inlineStr"/>
      <c r="I308" s="39" t="inlineStr"/>
      <c r="J308" s="39" t="inlineStr"/>
      <c r="K308" s="39" t="inlineStr"/>
    </row>
    <row r="309" outlineLevel="1" ht="26" customHeight="1">
      <c r="A309" s="11" t="inlineStr">
        <is>
          <t>D8</t>
        </is>
      </c>
      <c r="B309" s="11" t="inlineStr">
        <is>
          <t>8.6</t>
        </is>
      </c>
      <c r="C309" s="15" t="inlineStr">
        <is>
          <t>AI Community &amp; Reuse Culture</t>
        </is>
      </c>
      <c r="D309" s="12" t="inlineStr">
        <is>
          <t>8.6.1</t>
        </is>
      </c>
      <c r="E309" s="13" t="inlineStr">
        <is>
          <t>Practitioner Community Operation</t>
        </is>
      </c>
      <c r="F309" s="14" t="inlineStr">
        <is>
          <t>Sustain a working community across organizational boundaries.</t>
        </is>
      </c>
      <c r="G309" s="16" t="inlineStr"/>
      <c r="H309" s="20" t="n"/>
      <c r="I309" s="20" t="n"/>
      <c r="J309" s="20" t="n"/>
      <c r="K309" s="23" t="n"/>
    </row>
    <row r="310" outlineLevel="1" ht="26" customHeight="1">
      <c r="A310" s="11" t="inlineStr">
        <is>
          <t>D8</t>
        </is>
      </c>
      <c r="B310" s="11" t="inlineStr">
        <is>
          <t>8.6</t>
        </is>
      </c>
      <c r="C310" s="15" t="inlineStr">
        <is>
          <t>AI Community &amp; Reuse Culture</t>
        </is>
      </c>
      <c r="D310" s="12" t="inlineStr">
        <is>
          <t>8.6.2</t>
        </is>
      </c>
      <c r="E310" s="13" t="inlineStr">
        <is>
          <t>Knowledge Sharing &amp; Documentation</t>
        </is>
      </c>
      <c r="F310" s="14" t="inlineStr">
        <is>
          <t>Capture what was learned in a form others can find and use.</t>
        </is>
      </c>
      <c r="G310" s="16" t="inlineStr"/>
      <c r="H310" s="20" t="n"/>
      <c r="I310" s="20" t="n"/>
      <c r="J310" s="20" t="n"/>
      <c r="K310" s="23" t="n"/>
    </row>
    <row r="311" outlineLevel="1" ht="26" customHeight="1">
      <c r="A311" s="11" t="inlineStr">
        <is>
          <t>D8</t>
        </is>
      </c>
      <c r="B311" s="11" t="inlineStr">
        <is>
          <t>8.6</t>
        </is>
      </c>
      <c r="C311" s="15" t="inlineStr">
        <is>
          <t>AI Community &amp; Reuse Culture</t>
        </is>
      </c>
      <c r="D311" s="12" t="inlineStr">
        <is>
          <t>8.6.3</t>
        </is>
      </c>
      <c r="E311" s="13" t="inlineStr">
        <is>
          <t>Reuse Incentives &amp; Recognition</t>
        </is>
      </c>
      <c r="F311" s="14" t="inlineStr">
        <is>
          <t>Make reuse and contribution visibly worth doing.</t>
        </is>
      </c>
      <c r="G311" s="16" t="inlineStr"/>
      <c r="H311" s="20" t="n"/>
      <c r="I311" s="20" t="n"/>
      <c r="J311" s="20" t="n"/>
      <c r="K311" s="23" t="n"/>
    </row>
    <row r="313" ht="34" customHeight="1">
      <c r="A313" s="22" t="inlineStr">
        <is>
          <t>All 258 criteria, grouped under their capability. Use the +/- outline handles in the left margin to collapse a capability, or filter column B to one capability ID. Criteria are not yet typed mandatory / conditional / enhancing - until they are, the maturity gates on sheet 11 cannot be evaluated and every rating is provisional.</t>
        </is>
      </c>
    </row>
  </sheetData>
  <autoFilter ref="A1:K311"/>
  <mergeCells count="1">
    <mergeCell ref="A313:K313"/>
  </mergeCells>
  <dataValidations count="1">
    <dataValidation sqref="H2:H311" showDropDown="0" showInputMessage="0" showErrorMessage="0" allowBlank="1" type="list">
      <formula1>"mandatory,conditional,enhancing"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2" customWidth="1" min="4" max="4"/>
    <col width="8" customWidth="1" min="5" max="5"/>
    <col width="8" customWidth="1" min="6" max="6"/>
    <col width="13" customWidth="1" min="7" max="7"/>
    <col width="20" customWidth="1" min="8" max="8"/>
    <col width="17" customWidth="1" min="9" max="9"/>
    <col width="11" customWidth="1" min="10" max="10"/>
    <col width="54" customWidth="1" min="11" max="11"/>
    <col width="50" customWidth="1" min="12" max="12"/>
    <col width="28" customWidth="1" min="13" max="13"/>
    <col width="8" customWidth="1" min="14" max="14"/>
    <col width="9" customWidth="1" min="15" max="15"/>
  </cols>
  <sheetData>
    <row r="1" ht="32" customHeight="1">
      <c r="A1" s="10" t="inlineStr">
        <is>
          <t>Group</t>
        </is>
      </c>
      <c r="B1" s="10" t="inlineStr">
        <is>
          <t>Group name</t>
        </is>
      </c>
      <c r="C1" s="10" t="inlineStr">
        <is>
          <t>ID</t>
        </is>
      </c>
      <c r="D1" s="10" t="inlineStr">
        <is>
          <t>Entry</t>
        </is>
      </c>
      <c r="E1" s="10" t="inlineStr">
        <is>
          <t>Kind</t>
        </is>
      </c>
      <c r="F1" s="10" t="inlineStr">
        <is>
          <t>Either?</t>
        </is>
      </c>
      <c r="G1" s="10" t="inlineStr">
        <is>
          <t>Domain</t>
        </is>
      </c>
      <c r="H1" s="10" t="inlineStr">
        <is>
          <t>Element</t>
        </is>
      </c>
      <c r="I1" s="10" t="inlineStr">
        <is>
          <t>Facets</t>
        </is>
      </c>
      <c r="J1" s="10" t="inlineStr">
        <is>
          <t>Standard</t>
        </is>
      </c>
      <c r="K1" s="10" t="inlineStr">
        <is>
          <t>Definition</t>
        </is>
      </c>
      <c r="L1" s="10" t="inlineStr">
        <is>
          <t>Provenance</t>
        </is>
      </c>
      <c r="M1" s="10" t="inlineStr">
        <is>
          <t>Typed edges</t>
        </is>
      </c>
      <c r="N1" s="10" t="inlineStr">
        <is>
          <t>Agentic</t>
        </is>
      </c>
      <c r="O1" s="10" t="inlineStr">
        <is>
          <t>Reg.</t>
        </is>
      </c>
    </row>
    <row r="2" ht="50" customHeight="1">
      <c r="A2" s="11" t="inlineStr">
        <is>
          <t>S1</t>
        </is>
      </c>
      <c r="B2" s="15" t="inlineStr">
        <is>
          <t>Content &amp; Perception</t>
        </is>
      </c>
      <c r="C2" s="12" t="inlineStr">
        <is>
          <t>S1.1</t>
        </is>
      </c>
      <c r="D2" s="13" t="inlineStr">
        <is>
          <t>Optical Character Recognition</t>
        </is>
      </c>
      <c r="E2" s="42" t="inlineStr">
        <is>
          <t>SVC</t>
        </is>
      </c>
      <c r="F2" s="43" t="inlineStr"/>
      <c r="G2" s="11" t="inlineStr">
        <is>
          <t>application</t>
        </is>
      </c>
      <c r="H2" s="11" t="inlineStr">
        <is>
          <t>behavior service</t>
        </is>
      </c>
      <c r="I2" s="15" t="inlineStr">
        <is>
          <t>-</t>
        </is>
      </c>
      <c r="J2" s="11" t="inlineStr">
        <is>
          <t>-</t>
        </is>
      </c>
      <c r="K2" s="14" t="inlineStr">
        <is>
          <t>Extract machine-readable text from scanned or photographed documents.</t>
        </is>
      </c>
      <c r="L2" s="14" t="inlineStr">
        <is>
          <t>HF image-to-text · Azure Vision / Document Intelligence · AWS Textract · Google Enterprise Document OCR</t>
        </is>
      </c>
      <c r="M2" s="14" t="inlineStr">
        <is>
          <t>3.5.2 (required-enabler)</t>
        </is>
      </c>
      <c r="N2" s="16" t="inlineStr"/>
      <c r="O2" s="16" t="inlineStr"/>
    </row>
    <row r="3" ht="50" customHeight="1">
      <c r="A3" s="11" t="inlineStr">
        <is>
          <t>S1</t>
        </is>
      </c>
      <c r="B3" s="15" t="inlineStr">
        <is>
          <t>Content &amp; Perception</t>
        </is>
      </c>
      <c r="C3" s="12" t="inlineStr">
        <is>
          <t>S1.2</t>
        </is>
      </c>
      <c r="D3" s="13" t="inlineStr">
        <is>
          <t>Document Layout &amp; Structure Analysis</t>
        </is>
      </c>
      <c r="E3" s="42" t="inlineStr">
        <is>
          <t>SVC</t>
        </is>
      </c>
      <c r="F3" s="43" t="inlineStr"/>
      <c r="G3" s="11" t="inlineStr">
        <is>
          <t>application</t>
        </is>
      </c>
      <c r="H3" s="11" t="inlineStr">
        <is>
          <t>behavior service</t>
        </is>
      </c>
      <c r="I3" s="15" t="inlineStr">
        <is>
          <t>-</t>
        </is>
      </c>
      <c r="J3" s="11" t="inlineStr">
        <is>
          <t>-</t>
        </is>
      </c>
      <c r="K3" s="14" t="inlineStr">
        <is>
          <t>Recover reading order, sections, headings and hierarchy from a document.</t>
        </is>
      </c>
      <c r="L3" s="14" t="inlineStr">
        <is>
          <t>Azure Document Intelligence Layout · Google Layout Parser · HF document-question-answering</t>
        </is>
      </c>
      <c r="M3" s="14" t="inlineStr">
        <is>
          <t>3.5.2 (required-enabler), 3.5.3 (required-enabler)</t>
        </is>
      </c>
      <c r="N3" s="16" t="inlineStr"/>
      <c r="O3" s="16" t="inlineStr"/>
    </row>
    <row r="4" ht="50" customHeight="1">
      <c r="A4" s="11" t="inlineStr">
        <is>
          <t>S1</t>
        </is>
      </c>
      <c r="B4" s="15" t="inlineStr">
        <is>
          <t>Content &amp; Perception</t>
        </is>
      </c>
      <c r="C4" s="12" t="inlineStr">
        <is>
          <t>S1.3</t>
        </is>
      </c>
      <c r="D4" s="13" t="inlineStr">
        <is>
          <t>Form &amp; Key-Value Extraction</t>
        </is>
      </c>
      <c r="E4" s="42" t="inlineStr">
        <is>
          <t>SVC</t>
        </is>
      </c>
      <c r="F4" s="43" t="inlineStr"/>
      <c r="G4" s="11" t="inlineStr">
        <is>
          <t>application</t>
        </is>
      </c>
      <c r="H4" s="11" t="inlineStr">
        <is>
          <t>behavior service</t>
        </is>
      </c>
      <c r="I4" s="15" t="inlineStr">
        <is>
          <t>-</t>
        </is>
      </c>
      <c r="J4" s="11" t="inlineStr">
        <is>
          <t>-</t>
        </is>
      </c>
      <c r="K4" s="14" t="inlineStr">
        <is>
          <t>Extract labelled field values from structured and semi-structured forms.</t>
        </is>
      </c>
      <c r="L4" s="14" t="inlineStr">
        <is>
          <t>Azure Document Intelligence · AWS Textract · Google Form Parser / Custom Extractor</t>
        </is>
      </c>
      <c r="M4" s="14" t="inlineStr">
        <is>
          <t>3.5.2 (required-enabler)</t>
        </is>
      </c>
      <c r="N4" s="16" t="inlineStr"/>
      <c r="O4" s="16" t="inlineStr"/>
    </row>
    <row r="5" ht="50" customHeight="1">
      <c r="A5" s="11" t="inlineStr">
        <is>
          <t>S1</t>
        </is>
      </c>
      <c r="B5" s="15" t="inlineStr">
        <is>
          <t>Content &amp; Perception</t>
        </is>
      </c>
      <c r="C5" s="12" t="inlineStr">
        <is>
          <t>S1.4</t>
        </is>
      </c>
      <c r="D5" s="13" t="inlineStr">
        <is>
          <t>Table Extraction</t>
        </is>
      </c>
      <c r="E5" s="42" t="inlineStr">
        <is>
          <t>SVC</t>
        </is>
      </c>
      <c r="F5" s="43" t="inlineStr"/>
      <c r="G5" s="11" t="inlineStr">
        <is>
          <t>application</t>
        </is>
      </c>
      <c r="H5" s="11" t="inlineStr">
        <is>
          <t>behavior service</t>
        </is>
      </c>
      <c r="I5" s="15" t="inlineStr">
        <is>
          <t>-</t>
        </is>
      </c>
      <c r="J5" s="11" t="inlineStr">
        <is>
          <t>-</t>
        </is>
      </c>
      <c r="K5" s="14" t="inlineStr">
        <is>
          <t>Recover tabular structure and cell values from documents.</t>
        </is>
      </c>
      <c r="L5" s="14" t="inlineStr">
        <is>
          <t>Azure Document Intelligence · AWS Textract · HF table-question-answering</t>
        </is>
      </c>
      <c r="M5" s="14" t="inlineStr">
        <is>
          <t>3.5.2 (required-enabler)</t>
        </is>
      </c>
      <c r="N5" s="16" t="inlineStr"/>
      <c r="O5" s="16" t="inlineStr"/>
    </row>
    <row r="6" ht="50" customHeight="1">
      <c r="A6" s="11" t="inlineStr">
        <is>
          <t>S1</t>
        </is>
      </c>
      <c r="B6" s="15" t="inlineStr">
        <is>
          <t>Content &amp; Perception</t>
        </is>
      </c>
      <c r="C6" s="12" t="inlineStr">
        <is>
          <t>S1.5</t>
        </is>
      </c>
      <c r="D6" s="13" t="inlineStr">
        <is>
          <t>Document Classification &amp; Splitting</t>
        </is>
      </c>
      <c r="E6" s="42" t="inlineStr">
        <is>
          <t>SVC</t>
        </is>
      </c>
      <c r="F6" s="43" t="inlineStr"/>
      <c r="G6" s="11" t="inlineStr">
        <is>
          <t>application</t>
        </is>
      </c>
      <c r="H6" s="11" t="inlineStr">
        <is>
          <t>behavior service</t>
        </is>
      </c>
      <c r="I6" s="15" t="inlineStr">
        <is>
          <t>-</t>
        </is>
      </c>
      <c r="J6" s="11" t="inlineStr">
        <is>
          <t>-</t>
        </is>
      </c>
      <c r="K6" s="14" t="inlineStr">
        <is>
          <t>Assign document type and divide multi-document files into constituent parts.</t>
        </is>
      </c>
      <c r="L6" s="14" t="inlineStr">
        <is>
          <t>Google Custom Classifier / Custom Splitter · Azure Content Understanding</t>
        </is>
      </c>
      <c r="M6" s="14" t="inlineStr">
        <is>
          <t>3.5.1 (required-enabler), 3.5.2 (required-enabler)</t>
        </is>
      </c>
      <c r="N6" s="16" t="inlineStr"/>
      <c r="O6" s="16" t="inlineStr"/>
    </row>
    <row r="7" ht="50" customHeight="1">
      <c r="A7" s="11" t="inlineStr">
        <is>
          <t>S1</t>
        </is>
      </c>
      <c r="B7" s="15" t="inlineStr">
        <is>
          <t>Content &amp; Perception</t>
        </is>
      </c>
      <c r="C7" s="12" t="inlineStr">
        <is>
          <t>S1.6</t>
        </is>
      </c>
      <c r="D7" s="13" t="inlineStr">
        <is>
          <t>Handwriting Recognition</t>
        </is>
      </c>
      <c r="E7" s="42" t="inlineStr">
        <is>
          <t>SVC</t>
        </is>
      </c>
      <c r="F7" s="43" t="inlineStr"/>
      <c r="G7" s="11" t="inlineStr">
        <is>
          <t>application</t>
        </is>
      </c>
      <c r="H7" s="11" t="inlineStr">
        <is>
          <t>behavior service</t>
        </is>
      </c>
      <c r="I7" s="15" t="inlineStr">
        <is>
          <t>-</t>
        </is>
      </c>
      <c r="J7" s="11" t="inlineStr">
        <is>
          <t>-</t>
        </is>
      </c>
      <c r="K7" s="14" t="inlineStr">
        <is>
          <t>Read handwritten content from documents and images.</t>
        </is>
      </c>
      <c r="L7" s="14" t="inlineStr">
        <is>
          <t>Azure Vision · Google Enterprise Document OCR</t>
        </is>
      </c>
      <c r="M7" s="14" t="inlineStr">
        <is>
          <t>3.5.2 (required-enabler)</t>
        </is>
      </c>
      <c r="N7" s="16" t="inlineStr"/>
      <c r="O7" s="16" t="inlineStr"/>
    </row>
    <row r="8" ht="50" customHeight="1">
      <c r="A8" s="11" t="inlineStr">
        <is>
          <t>S1</t>
        </is>
      </c>
      <c r="B8" s="15" t="inlineStr">
        <is>
          <t>Content &amp; Perception</t>
        </is>
      </c>
      <c r="C8" s="12" t="inlineStr">
        <is>
          <t>S1.7</t>
        </is>
      </c>
      <c r="D8" s="13" t="inlineStr">
        <is>
          <t>Speech-to-Text</t>
        </is>
      </c>
      <c r="E8" s="42" t="inlineStr">
        <is>
          <t>SVC</t>
        </is>
      </c>
      <c r="F8" s="43" t="inlineStr"/>
      <c r="G8" s="11" t="inlineStr">
        <is>
          <t>application</t>
        </is>
      </c>
      <c r="H8" s="11" t="inlineStr">
        <is>
          <t>behavior service</t>
        </is>
      </c>
      <c r="I8" s="15" t="inlineStr">
        <is>
          <t>-</t>
        </is>
      </c>
      <c r="J8" s="11" t="inlineStr">
        <is>
          <t>-</t>
        </is>
      </c>
      <c r="K8" s="14" t="inlineStr">
        <is>
          <t>Transcribe spoken audio into text.</t>
        </is>
      </c>
      <c r="L8" s="14" t="inlineStr">
        <is>
          <t>HF automatic-speech-recognition · Azure Speech · AWS Transcribe · Google Speech-to-Text</t>
        </is>
      </c>
      <c r="M8" s="14" t="inlineStr">
        <is>
          <t>3.5.2 (required-enabler)</t>
        </is>
      </c>
      <c r="N8" s="16" t="inlineStr"/>
      <c r="O8" s="16" t="inlineStr"/>
    </row>
    <row r="9" ht="50" customHeight="1">
      <c r="A9" s="11" t="inlineStr">
        <is>
          <t>S1</t>
        </is>
      </c>
      <c r="B9" s="15" t="inlineStr">
        <is>
          <t>Content &amp; Perception</t>
        </is>
      </c>
      <c r="C9" s="12" t="inlineStr">
        <is>
          <t>S1.8</t>
        </is>
      </c>
      <c r="D9" s="13" t="inlineStr">
        <is>
          <t>Speaker Diarization &amp; Recognition</t>
        </is>
      </c>
      <c r="E9" s="42" t="inlineStr">
        <is>
          <t>SVC</t>
        </is>
      </c>
      <c r="F9" s="43" t="inlineStr"/>
      <c r="G9" s="11" t="inlineStr">
        <is>
          <t>application</t>
        </is>
      </c>
      <c r="H9" s="11" t="inlineStr">
        <is>
          <t>behavior service</t>
        </is>
      </c>
      <c r="I9" s="15" t="inlineStr">
        <is>
          <t>-</t>
        </is>
      </c>
      <c r="J9" s="11" t="inlineStr">
        <is>
          <t>-</t>
        </is>
      </c>
      <c r="K9" s="14" t="inlineStr">
        <is>
          <t>Separate and identify speakers within an audio stream.</t>
        </is>
      </c>
      <c r="L9" s="14" t="inlineStr">
        <is>
          <t>Azure Speech (speaker recognition) · AWS Transcribe Call Analytics</t>
        </is>
      </c>
      <c r="M9" s="14" t="inlineStr">
        <is>
          <t>-</t>
        </is>
      </c>
      <c r="N9" s="16" t="inlineStr"/>
      <c r="O9" s="16" t="inlineStr">
        <is>
          <t>Elevated</t>
        </is>
      </c>
    </row>
    <row r="10" ht="50" customHeight="1">
      <c r="A10" s="11" t="inlineStr">
        <is>
          <t>S1</t>
        </is>
      </c>
      <c r="B10" s="15" t="inlineStr">
        <is>
          <t>Content &amp; Perception</t>
        </is>
      </c>
      <c r="C10" s="12" t="inlineStr">
        <is>
          <t>S1.9</t>
        </is>
      </c>
      <c r="D10" s="13" t="inlineStr">
        <is>
          <t>Audio Classification</t>
        </is>
      </c>
      <c r="E10" s="42" t="inlineStr">
        <is>
          <t>SVC</t>
        </is>
      </c>
      <c r="F10" s="43" t="inlineStr"/>
      <c r="G10" s="11" t="inlineStr">
        <is>
          <t>application</t>
        </is>
      </c>
      <c r="H10" s="11" t="inlineStr">
        <is>
          <t>behavior service</t>
        </is>
      </c>
      <c r="I10" s="15" t="inlineStr">
        <is>
          <t>-</t>
        </is>
      </c>
      <c r="J10" s="11" t="inlineStr">
        <is>
          <t>-</t>
        </is>
      </c>
      <c r="K10" s="14" t="inlineStr">
        <is>
          <t>Classify non-speech audio content and events.</t>
        </is>
      </c>
      <c r="L10" s="14" t="inlineStr">
        <is>
          <t>HF audio-classification · Azure AI Video Indexer</t>
        </is>
      </c>
      <c r="M10" s="14" t="inlineStr">
        <is>
          <t>-</t>
        </is>
      </c>
      <c r="N10" s="16" t="inlineStr"/>
      <c r="O10" s="16" t="inlineStr"/>
    </row>
    <row r="11" ht="50" customHeight="1">
      <c r="A11" s="11" t="inlineStr">
        <is>
          <t>S1</t>
        </is>
      </c>
      <c r="B11" s="15" t="inlineStr">
        <is>
          <t>Content &amp; Perception</t>
        </is>
      </c>
      <c r="C11" s="12" t="inlineStr">
        <is>
          <t>S1.10</t>
        </is>
      </c>
      <c r="D11" s="13" t="inlineStr">
        <is>
          <t>Image Classification &amp; Tagging</t>
        </is>
      </c>
      <c r="E11" s="42" t="inlineStr">
        <is>
          <t>SVC</t>
        </is>
      </c>
      <c r="F11" s="43" t="inlineStr"/>
      <c r="G11" s="11" t="inlineStr">
        <is>
          <t>application</t>
        </is>
      </c>
      <c r="H11" s="11" t="inlineStr">
        <is>
          <t>behavior service</t>
        </is>
      </c>
      <c r="I11" s="15" t="inlineStr">
        <is>
          <t>-</t>
        </is>
      </c>
      <c r="J11" s="11" t="inlineStr">
        <is>
          <t>-</t>
        </is>
      </c>
      <c r="K11" s="14" t="inlineStr">
        <is>
          <t>Assign labels and tags to image content.</t>
        </is>
      </c>
      <c r="L11" s="14" t="inlineStr">
        <is>
          <t>HF image-classification / zero-shot-image-classification · Azure Vision · AWS Rekognition</t>
        </is>
      </c>
      <c r="M11" s="14" t="inlineStr">
        <is>
          <t>-</t>
        </is>
      </c>
      <c r="N11" s="16" t="inlineStr"/>
      <c r="O11" s="16" t="inlineStr"/>
    </row>
    <row r="12" ht="50" customHeight="1">
      <c r="A12" s="11" t="inlineStr">
        <is>
          <t>S1</t>
        </is>
      </c>
      <c r="B12" s="15" t="inlineStr">
        <is>
          <t>Content &amp; Perception</t>
        </is>
      </c>
      <c r="C12" s="12" t="inlineStr">
        <is>
          <t>S1.11</t>
        </is>
      </c>
      <c r="D12" s="13" t="inlineStr">
        <is>
          <t>Object Detection &amp; Segmentation</t>
        </is>
      </c>
      <c r="E12" s="42" t="inlineStr">
        <is>
          <t>SVC</t>
        </is>
      </c>
      <c r="F12" s="43" t="inlineStr"/>
      <c r="G12" s="11" t="inlineStr">
        <is>
          <t>application</t>
        </is>
      </c>
      <c r="H12" s="11" t="inlineStr">
        <is>
          <t>behavior service</t>
        </is>
      </c>
      <c r="I12" s="15" t="inlineStr">
        <is>
          <t>-</t>
        </is>
      </c>
      <c r="J12" s="11" t="inlineStr">
        <is>
          <t>-</t>
        </is>
      </c>
      <c r="K12" s="14" t="inlineStr">
        <is>
          <t>Locate and delineate objects within images and video.</t>
        </is>
      </c>
      <c r="L12" s="14" t="inlineStr">
        <is>
          <t>HF object-detection / image-segmentation · AWS Rekognition · Google Vision AI</t>
        </is>
      </c>
      <c r="M12" s="14" t="inlineStr">
        <is>
          <t>-</t>
        </is>
      </c>
      <c r="N12" s="16" t="inlineStr"/>
      <c r="O12" s="16" t="inlineStr"/>
    </row>
    <row r="13" ht="50" customHeight="1">
      <c r="A13" s="11" t="inlineStr">
        <is>
          <t>S1</t>
        </is>
      </c>
      <c r="B13" s="15" t="inlineStr">
        <is>
          <t>Content &amp; Perception</t>
        </is>
      </c>
      <c r="C13" s="12" t="inlineStr">
        <is>
          <t>S1.12</t>
        </is>
      </c>
      <c r="D13" s="13" t="inlineStr">
        <is>
          <t>Face Detection &amp; Recognition</t>
        </is>
      </c>
      <c r="E13" s="42" t="inlineStr">
        <is>
          <t>SVC</t>
        </is>
      </c>
      <c r="F13" s="43" t="inlineStr"/>
      <c r="G13" s="11" t="inlineStr">
        <is>
          <t>application</t>
        </is>
      </c>
      <c r="H13" s="11" t="inlineStr">
        <is>
          <t>behavior service</t>
        </is>
      </c>
      <c r="I13" s="15" t="inlineStr">
        <is>
          <t>-</t>
        </is>
      </c>
      <c r="J13" s="11" t="inlineStr">
        <is>
          <t>-</t>
        </is>
      </c>
      <c r="K13" s="14" t="inlineStr">
        <is>
          <t>Detect and match human faces.</t>
        </is>
      </c>
      <c r="L13" s="14" t="inlineStr">
        <is>
          <t>Azure Face · AWS Rekognition</t>
        </is>
      </c>
      <c r="M13" s="14" t="inlineStr">
        <is>
          <t>-</t>
        </is>
      </c>
      <c r="N13" s="16" t="inlineStr"/>
      <c r="O13" s="16" t="inlineStr">
        <is>
          <t>Elevated</t>
        </is>
      </c>
    </row>
    <row r="14" ht="50" customHeight="1">
      <c r="A14" s="11" t="inlineStr">
        <is>
          <t>S1</t>
        </is>
      </c>
      <c r="B14" s="15" t="inlineStr">
        <is>
          <t>Content &amp; Perception</t>
        </is>
      </c>
      <c r="C14" s="12" t="inlineStr">
        <is>
          <t>S1.13</t>
        </is>
      </c>
      <c r="D14" s="13" t="inlineStr">
        <is>
          <t>Video Analysis &amp; Indexing</t>
        </is>
      </c>
      <c r="E14" s="42" t="inlineStr">
        <is>
          <t>SVC</t>
        </is>
      </c>
      <c r="F14" s="43" t="inlineStr"/>
      <c r="G14" s="11" t="inlineStr">
        <is>
          <t>application</t>
        </is>
      </c>
      <c r="H14" s="11" t="inlineStr">
        <is>
          <t>behavior service</t>
        </is>
      </c>
      <c r="I14" s="15" t="inlineStr">
        <is>
          <t>-</t>
        </is>
      </c>
      <c r="J14" s="11" t="inlineStr">
        <is>
          <t>-</t>
        </is>
      </c>
      <c r="K14" s="14" t="inlineStr">
        <is>
          <t>Extract structure, entities and events from video.</t>
        </is>
      </c>
      <c r="L14" s="14" t="inlineStr">
        <is>
          <t>Azure AI Video Indexer · HF video-classification</t>
        </is>
      </c>
      <c r="M14" s="14" t="inlineStr">
        <is>
          <t>3.5.2 (required-enabler)</t>
        </is>
      </c>
      <c r="N14" s="16" t="inlineStr"/>
      <c r="O14" s="16" t="inlineStr"/>
    </row>
    <row r="15" ht="50" customHeight="1">
      <c r="A15" s="11" t="inlineStr">
        <is>
          <t>S1</t>
        </is>
      </c>
      <c r="B15" s="15" t="inlineStr">
        <is>
          <t>Content &amp; Perception</t>
        </is>
      </c>
      <c r="C15" s="12" t="inlineStr">
        <is>
          <t>S1.14</t>
        </is>
      </c>
      <c r="D15" s="13" t="inlineStr">
        <is>
          <t>Named Entity Recognition</t>
        </is>
      </c>
      <c r="E15" s="42" t="inlineStr">
        <is>
          <t>SVC</t>
        </is>
      </c>
      <c r="F15" s="43" t="inlineStr"/>
      <c r="G15" s="11" t="inlineStr">
        <is>
          <t>application</t>
        </is>
      </c>
      <c r="H15" s="11" t="inlineStr">
        <is>
          <t>behavior service</t>
        </is>
      </c>
      <c r="I15" s="15" t="inlineStr">
        <is>
          <t>-</t>
        </is>
      </c>
      <c r="J15" s="11" t="inlineStr">
        <is>
          <t>-</t>
        </is>
      </c>
      <c r="K15" s="14" t="inlineStr">
        <is>
          <t>Identify and type entities within text.</t>
        </is>
      </c>
      <c r="L15" s="14" t="inlineStr">
        <is>
          <t>HF token-classification · Azure Language · AWS Comprehend</t>
        </is>
      </c>
      <c r="M15" s="14" t="inlineStr">
        <is>
          <t>3.5.2 (required-enabler)</t>
        </is>
      </c>
      <c r="N15" s="16" t="inlineStr"/>
      <c r="O15" s="16" t="inlineStr"/>
    </row>
    <row r="16" ht="50" customHeight="1">
      <c r="A16" s="11" t="inlineStr">
        <is>
          <t>S1</t>
        </is>
      </c>
      <c r="B16" s="15" t="inlineStr">
        <is>
          <t>Content &amp; Perception</t>
        </is>
      </c>
      <c r="C16" s="12" t="inlineStr">
        <is>
          <t>S1.15</t>
        </is>
      </c>
      <c r="D16" s="13" t="inlineStr">
        <is>
          <t>Text Classification &amp; Sentiment</t>
        </is>
      </c>
      <c r="E16" s="42" t="inlineStr">
        <is>
          <t>SVC</t>
        </is>
      </c>
      <c r="F16" s="43" t="inlineStr"/>
      <c r="G16" s="11" t="inlineStr">
        <is>
          <t>application</t>
        </is>
      </c>
      <c r="H16" s="11" t="inlineStr">
        <is>
          <t>behavior service</t>
        </is>
      </c>
      <c r="I16" s="15" t="inlineStr">
        <is>
          <t>-</t>
        </is>
      </c>
      <c r="J16" s="11" t="inlineStr">
        <is>
          <t>-</t>
        </is>
      </c>
      <c r="K16" s="14" t="inlineStr">
        <is>
          <t>Assign categories, intent or sentiment to text.</t>
        </is>
      </c>
      <c r="L16" s="14" t="inlineStr">
        <is>
          <t>HF text-classification / zero-shot-classification · Azure Language · AWS Comprehend</t>
        </is>
      </c>
      <c r="M16" s="14" t="inlineStr">
        <is>
          <t>-</t>
        </is>
      </c>
      <c r="N16" s="16" t="inlineStr"/>
      <c r="O16" s="16" t="inlineStr"/>
    </row>
    <row r="17" ht="50" customHeight="1">
      <c r="A17" s="11" t="inlineStr">
        <is>
          <t>S1</t>
        </is>
      </c>
      <c r="B17" s="15" t="inlineStr">
        <is>
          <t>Content &amp; Perception</t>
        </is>
      </c>
      <c r="C17" s="12" t="inlineStr">
        <is>
          <t>S1.16</t>
        </is>
      </c>
      <c r="D17" s="13" t="inlineStr">
        <is>
          <t>Sensitive Data Detection</t>
        </is>
      </c>
      <c r="E17" s="42" t="inlineStr">
        <is>
          <t>SVC</t>
        </is>
      </c>
      <c r="F17" s="43" t="inlineStr"/>
      <c r="G17" s="11" t="inlineStr">
        <is>
          <t>application</t>
        </is>
      </c>
      <c r="H17" s="11" t="inlineStr">
        <is>
          <t>behavior service</t>
        </is>
      </c>
      <c r="I17" s="15" t="inlineStr">
        <is>
          <t>-</t>
        </is>
      </c>
      <c r="J17" s="11" t="inlineStr">
        <is>
          <t>-</t>
        </is>
      </c>
      <c r="K17" s="14" t="inlineStr">
        <is>
          <t>Classifies spans of text, audio or image content as personal or sensitive and emits typed span annotations.</t>
        </is>
      </c>
      <c r="L17" s="14" t="inlineStr">
        <is>
          <t>Azure Language PII detection · AWS Comprehend · ISO/IEC 27701</t>
        </is>
      </c>
      <c r="M17" s="14" t="inlineStr">
        <is>
          <t>3.1.2 (required-enabler), 7.5.2 (required-enabler)</t>
        </is>
      </c>
      <c r="N17" s="16" t="inlineStr"/>
      <c r="O17" s="16" t="inlineStr">
        <is>
          <t>Elevated</t>
        </is>
      </c>
    </row>
    <row r="18" ht="50" customHeight="1">
      <c r="A18" s="11" t="inlineStr">
        <is>
          <t>S1</t>
        </is>
      </c>
      <c r="B18" s="15" t="inlineStr">
        <is>
          <t>Content &amp; Perception</t>
        </is>
      </c>
      <c r="C18" s="12" t="inlineStr">
        <is>
          <t>S1.17</t>
        </is>
      </c>
      <c r="D18" s="13" t="inlineStr">
        <is>
          <t>Language Identification</t>
        </is>
      </c>
      <c r="E18" s="42" t="inlineStr">
        <is>
          <t>SVC</t>
        </is>
      </c>
      <c r="F18" s="43" t="inlineStr"/>
      <c r="G18" s="11" t="inlineStr">
        <is>
          <t>application</t>
        </is>
      </c>
      <c r="H18" s="11" t="inlineStr">
        <is>
          <t>behavior service</t>
        </is>
      </c>
      <c r="I18" s="15" t="inlineStr">
        <is>
          <t>-</t>
        </is>
      </c>
      <c r="J18" s="11" t="inlineStr">
        <is>
          <t>-</t>
        </is>
      </c>
      <c r="K18" s="14" t="inlineStr">
        <is>
          <t>Determine the natural language of a text or audio input.</t>
        </is>
      </c>
      <c r="L18" s="14" t="inlineStr">
        <is>
          <t>Azure Language · AWS Comprehend</t>
        </is>
      </c>
      <c r="M18" s="14" t="inlineStr">
        <is>
          <t>-</t>
        </is>
      </c>
      <c r="N18" s="16" t="inlineStr"/>
      <c r="O18" s="16" t="inlineStr"/>
    </row>
    <row r="19" ht="50" customHeight="1">
      <c r="A19" s="11" t="inlineStr">
        <is>
          <t>S1</t>
        </is>
      </c>
      <c r="B19" s="15" t="inlineStr">
        <is>
          <t>Content &amp; Perception</t>
        </is>
      </c>
      <c r="C19" s="12" t="inlineStr">
        <is>
          <t>S1.18</t>
        </is>
      </c>
      <c r="D19" s="13" t="inlineStr">
        <is>
          <t>Machine Translation</t>
        </is>
      </c>
      <c r="E19" s="42" t="inlineStr">
        <is>
          <t>SVC</t>
        </is>
      </c>
      <c r="F19" s="43" t="inlineStr"/>
      <c r="G19" s="11" t="inlineStr">
        <is>
          <t>application</t>
        </is>
      </c>
      <c r="H19" s="11" t="inlineStr">
        <is>
          <t>behavior service</t>
        </is>
      </c>
      <c r="I19" s="15" t="inlineStr">
        <is>
          <t>-</t>
        </is>
      </c>
      <c r="J19" s="11" t="inlineStr">
        <is>
          <t>-</t>
        </is>
      </c>
      <c r="K19" s="14" t="inlineStr">
        <is>
          <t>Translate content between natural languages.</t>
        </is>
      </c>
      <c r="L19" s="14" t="inlineStr">
        <is>
          <t>HF translation · Azure Translator · AWS Translate</t>
        </is>
      </c>
      <c r="M19" s="14" t="inlineStr">
        <is>
          <t>2.4.6 (required-enabler)</t>
        </is>
      </c>
      <c r="N19" s="16" t="inlineStr"/>
      <c r="O19" s="16" t="inlineStr"/>
    </row>
    <row r="20" ht="50" customHeight="1">
      <c r="A20" s="11" t="inlineStr">
        <is>
          <t>S1</t>
        </is>
      </c>
      <c r="B20" s="15" t="inlineStr">
        <is>
          <t>Content &amp; Perception</t>
        </is>
      </c>
      <c r="C20" s="12" t="inlineStr">
        <is>
          <t>S1.19</t>
        </is>
      </c>
      <c r="D20" s="13" t="inlineStr">
        <is>
          <t>Composite Content Understanding Pattern</t>
        </is>
      </c>
      <c r="E20" s="28" t="inlineStr">
        <is>
          <t>PAT</t>
        </is>
      </c>
      <c r="F20" s="43" t="inlineStr">
        <is>
          <t>either</t>
        </is>
      </c>
      <c r="G20" s="11" t="inlineStr">
        <is>
          <t>application</t>
        </is>
      </c>
      <c r="H20" s="11" t="inlineStr">
        <is>
          <t>behavior service</t>
        </is>
      </c>
      <c r="I20" s="15" t="inlineStr">
        <is>
          <t>-</t>
        </is>
      </c>
      <c r="J20" s="11" t="inlineStr">
        <is>
          <t>-</t>
        </is>
      </c>
      <c r="K20" s="14" t="inlineStr">
        <is>
          <t>Composition pattern: chains extraction, transcription and generation services to emit records against a declared schema.</t>
        </is>
      </c>
      <c r="L20" s="14" t="inlineStr">
        <is>
          <t>Azure Content Understanding · AWS Bedrock Data Automation · Google Document AI GenAI processors</t>
        </is>
      </c>
      <c r="M20" s="14" t="inlineStr">
        <is>
          <t>3.5.2 (required-enabler), 3.5.3 (required-enabler)</t>
        </is>
      </c>
      <c r="N20" s="16" t="inlineStr"/>
      <c r="O20" s="16" t="inlineStr"/>
    </row>
    <row r="21" ht="50" customHeight="1">
      <c r="A21" s="11" t="inlineStr">
        <is>
          <t>S2</t>
        </is>
      </c>
      <c r="B21" s="15" t="inlineStr">
        <is>
          <t>Generation &amp; Synthesis</t>
        </is>
      </c>
      <c r="C21" s="12" t="inlineStr">
        <is>
          <t>S2.1</t>
        </is>
      </c>
      <c r="D21" s="13" t="inlineStr">
        <is>
          <t>Text Generation &amp; Completion</t>
        </is>
      </c>
      <c r="E21" s="42" t="inlineStr">
        <is>
          <t>SVC</t>
        </is>
      </c>
      <c r="F21" s="43" t="inlineStr"/>
      <c r="G21" s="11" t="inlineStr">
        <is>
          <t>application</t>
        </is>
      </c>
      <c r="H21" s="11" t="inlineStr">
        <is>
          <t>behavior service</t>
        </is>
      </c>
      <c r="I21" s="15" t="inlineStr">
        <is>
          <t>-</t>
        </is>
      </c>
      <c r="J21" s="11" t="inlineStr">
        <is>
          <t>-</t>
        </is>
      </c>
      <c r="K21" s="14" t="inlineStr">
        <is>
          <t>Generate free-form text from a prompt and supplied context.</t>
        </is>
      </c>
      <c r="L21" s="14" t="inlineStr">
        <is>
          <t>HF text-generation · OTel gen_ai chat · Microsoft Foundry Models · AWS Bedrock</t>
        </is>
      </c>
      <c r="M21" s="14" t="inlineStr">
        <is>
          <t>4.3.3 (required-enabler)</t>
        </is>
      </c>
      <c r="N21" s="16" t="inlineStr"/>
      <c r="O21" s="16" t="inlineStr"/>
    </row>
    <row r="22" ht="50" customHeight="1">
      <c r="A22" s="11" t="inlineStr">
        <is>
          <t>S2</t>
        </is>
      </c>
      <c r="B22" s="15" t="inlineStr">
        <is>
          <t>Generation &amp; Synthesis</t>
        </is>
      </c>
      <c r="C22" s="12" t="inlineStr">
        <is>
          <t>S2.2</t>
        </is>
      </c>
      <c r="D22" s="13" t="inlineStr">
        <is>
          <t>Conversational Response Generation</t>
        </is>
      </c>
      <c r="E22" s="42" t="inlineStr">
        <is>
          <t>SVC</t>
        </is>
      </c>
      <c r="F22" s="43" t="inlineStr"/>
      <c r="G22" s="11" t="inlineStr">
        <is>
          <t>application</t>
        </is>
      </c>
      <c r="H22" s="11" t="inlineStr">
        <is>
          <t>behavior service</t>
        </is>
      </c>
      <c r="I22" s="15" t="inlineStr">
        <is>
          <t>-</t>
        </is>
      </c>
      <c r="J22" s="11" t="inlineStr">
        <is>
          <t>-</t>
        </is>
      </c>
      <c r="K22" s="14" t="inlineStr">
        <is>
          <t>Sustain multi-turn dialogue with state across turns.</t>
        </is>
      </c>
      <c r="L22" s="14" t="inlineStr">
        <is>
          <t>OTel gen_ai.conversation.id · Microsoft Foundry Agent Service · AWS Bedrock</t>
        </is>
      </c>
      <c r="M22" s="14" t="inlineStr">
        <is>
          <t>-</t>
        </is>
      </c>
      <c r="N22" s="16" t="inlineStr"/>
      <c r="O22" s="16" t="inlineStr"/>
    </row>
    <row r="23" ht="50" customHeight="1">
      <c r="A23" s="11" t="inlineStr">
        <is>
          <t>S2</t>
        </is>
      </c>
      <c r="B23" s="15" t="inlineStr">
        <is>
          <t>Generation &amp; Synthesis</t>
        </is>
      </c>
      <c r="C23" s="12" t="inlineStr">
        <is>
          <t>S2.3</t>
        </is>
      </c>
      <c r="D23" s="13" t="inlineStr">
        <is>
          <t>Summarization</t>
        </is>
      </c>
      <c r="E23" s="42" t="inlineStr">
        <is>
          <t>SVC</t>
        </is>
      </c>
      <c r="F23" s="43" t="inlineStr"/>
      <c r="G23" s="11" t="inlineStr">
        <is>
          <t>application</t>
        </is>
      </c>
      <c r="H23" s="11" t="inlineStr">
        <is>
          <t>behavior service</t>
        </is>
      </c>
      <c r="I23" s="15" t="inlineStr">
        <is>
          <t>-</t>
        </is>
      </c>
      <c r="J23" s="11" t="inlineStr">
        <is>
          <t>-</t>
        </is>
      </c>
      <c r="K23" s="14" t="inlineStr">
        <is>
          <t>Condense longer content while preserving stated meaning.</t>
        </is>
      </c>
      <c r="L23" s="14" t="inlineStr">
        <is>
          <t>HF summarization · Google Document AI Summarizer</t>
        </is>
      </c>
      <c r="M23" s="14" t="inlineStr">
        <is>
          <t>-</t>
        </is>
      </c>
      <c r="N23" s="16" t="inlineStr"/>
      <c r="O23" s="16" t="inlineStr"/>
    </row>
    <row r="24" ht="50" customHeight="1">
      <c r="A24" s="11" t="inlineStr">
        <is>
          <t>S2</t>
        </is>
      </c>
      <c r="B24" s="15" t="inlineStr">
        <is>
          <t>Generation &amp; Synthesis</t>
        </is>
      </c>
      <c r="C24" s="12" t="inlineStr">
        <is>
          <t>S2.4</t>
        </is>
      </c>
      <c r="D24" s="13" t="inlineStr">
        <is>
          <t>Rewriting, Style &amp; Tone Transfer</t>
        </is>
      </c>
      <c r="E24" s="42" t="inlineStr">
        <is>
          <t>SVC</t>
        </is>
      </c>
      <c r="F24" s="43" t="inlineStr"/>
      <c r="G24" s="11" t="inlineStr">
        <is>
          <t>application</t>
        </is>
      </c>
      <c r="H24" s="11" t="inlineStr">
        <is>
          <t>behavior service</t>
        </is>
      </c>
      <c r="I24" s="15" t="inlineStr">
        <is>
          <t>-</t>
        </is>
      </c>
      <c r="J24" s="11" t="inlineStr">
        <is>
          <t>-</t>
        </is>
      </c>
      <c r="K24" s="14" t="inlineStr">
        <is>
          <t>Restate content in a different register, format or reading level.</t>
        </is>
      </c>
      <c r="L24" s="14" t="inlineStr">
        <is>
          <t>HF text-generation · Microsoft Foundry Models</t>
        </is>
      </c>
      <c r="M24" s="14" t="inlineStr">
        <is>
          <t>2.5.6 (required-enabler)</t>
        </is>
      </c>
      <c r="N24" s="16" t="inlineStr"/>
      <c r="O24" s="16" t="inlineStr"/>
    </row>
    <row r="25" ht="50" customHeight="1">
      <c r="A25" s="11" t="inlineStr">
        <is>
          <t>S2</t>
        </is>
      </c>
      <c r="B25" s="15" t="inlineStr">
        <is>
          <t>Generation &amp; Synthesis</t>
        </is>
      </c>
      <c r="C25" s="12" t="inlineStr">
        <is>
          <t>S2.5</t>
        </is>
      </c>
      <c r="D25" s="13" t="inlineStr">
        <is>
          <t>Structured &amp; Schema-Constrained Output</t>
        </is>
      </c>
      <c r="E25" s="42" t="inlineStr">
        <is>
          <t>SVC</t>
        </is>
      </c>
      <c r="F25" s="43" t="inlineStr"/>
      <c r="G25" s="11" t="inlineStr">
        <is>
          <t>application</t>
        </is>
      </c>
      <c r="H25" s="11" t="inlineStr">
        <is>
          <t>behavior service</t>
        </is>
      </c>
      <c r="I25" s="15" t="inlineStr">
        <is>
          <t>-</t>
        </is>
      </c>
      <c r="J25" s="11" t="inlineStr">
        <is>
          <t>-</t>
        </is>
      </c>
      <c r="K25" s="14" t="inlineStr">
        <is>
          <t>Constrain generation to a declared schema so output is machine-consumable.</t>
        </is>
      </c>
      <c r="L25" s="14" t="inlineStr">
        <is>
          <t>Azure Content Understanding · AWS Bedrock Data Automation · MCP tool result schemas</t>
        </is>
      </c>
      <c r="M25" s="14" t="inlineStr">
        <is>
          <t>4.5.2 (required-enabler), 4.3.1 (required-enabler)</t>
        </is>
      </c>
      <c r="N25" s="16" t="inlineStr"/>
      <c r="O25" s="16" t="inlineStr"/>
    </row>
    <row r="26" ht="50" customHeight="1">
      <c r="A26" s="11" t="inlineStr">
        <is>
          <t>S2</t>
        </is>
      </c>
      <c r="B26" s="15" t="inlineStr">
        <is>
          <t>Generation &amp; Synthesis</t>
        </is>
      </c>
      <c r="C26" s="12" t="inlineStr">
        <is>
          <t>S2.6</t>
        </is>
      </c>
      <c r="D26" s="13" t="inlineStr">
        <is>
          <t>Code Generation &amp; Transformation</t>
        </is>
      </c>
      <c r="E26" s="42" t="inlineStr">
        <is>
          <t>SVC</t>
        </is>
      </c>
      <c r="F26" s="43" t="inlineStr"/>
      <c r="G26" s="11" t="inlineStr">
        <is>
          <t>application</t>
        </is>
      </c>
      <c r="H26" s="11" t="inlineStr">
        <is>
          <t>behavior service</t>
        </is>
      </c>
      <c r="I26" s="15" t="inlineStr">
        <is>
          <t>-</t>
        </is>
      </c>
      <c r="J26" s="11" t="inlineStr">
        <is>
          <t>-</t>
        </is>
      </c>
      <c r="K26" s="14" t="inlineStr">
        <is>
          <t>Generate, translate or refactor source code.</t>
        </is>
      </c>
      <c r="L26" s="14" t="inlineStr">
        <is>
          <t>HF text-generation · Amazon CodeGuru (maintenance mode) · Google Antigravity</t>
        </is>
      </c>
      <c r="M26" s="14" t="inlineStr">
        <is>
          <t>-</t>
        </is>
      </c>
      <c r="N26" s="16" t="inlineStr"/>
      <c r="O26" s="16" t="inlineStr"/>
    </row>
    <row r="27" ht="50" customHeight="1">
      <c r="A27" s="11" t="inlineStr">
        <is>
          <t>S2</t>
        </is>
      </c>
      <c r="B27" s="15" t="inlineStr">
        <is>
          <t>Generation &amp; Synthesis</t>
        </is>
      </c>
      <c r="C27" s="12" t="inlineStr">
        <is>
          <t>S2.7</t>
        </is>
      </c>
      <c r="D27" s="13" t="inlineStr">
        <is>
          <t>Text-to-Speech &amp; Voice Synthesis</t>
        </is>
      </c>
      <c r="E27" s="42" t="inlineStr">
        <is>
          <t>SVC</t>
        </is>
      </c>
      <c r="F27" s="43" t="inlineStr"/>
      <c r="G27" s="11" t="inlineStr">
        <is>
          <t>application</t>
        </is>
      </c>
      <c r="H27" s="11" t="inlineStr">
        <is>
          <t>behavior service</t>
        </is>
      </c>
      <c r="I27" s="15" t="inlineStr">
        <is>
          <t>-</t>
        </is>
      </c>
      <c r="J27" s="11" t="inlineStr">
        <is>
          <t>-</t>
        </is>
      </c>
      <c r="K27" s="14" t="inlineStr">
        <is>
          <t>Render text as spoken audio, optionally in a specified voice.</t>
        </is>
      </c>
      <c r="L27" s="14" t="inlineStr">
        <is>
          <t>HF text-to-speech · Azure Speech · AWS Polly · Google Text-to-Speech</t>
        </is>
      </c>
      <c r="M27" s="14" t="inlineStr">
        <is>
          <t>2.5.6 (required-enabler)</t>
        </is>
      </c>
      <c r="N27" s="16" t="inlineStr"/>
      <c r="O27" s="16" t="inlineStr">
        <is>
          <t>Elevated</t>
        </is>
      </c>
    </row>
    <row r="28" ht="50" customHeight="1">
      <c r="A28" s="11" t="inlineStr">
        <is>
          <t>S2</t>
        </is>
      </c>
      <c r="B28" s="15" t="inlineStr">
        <is>
          <t>Generation &amp; Synthesis</t>
        </is>
      </c>
      <c r="C28" s="12" t="inlineStr">
        <is>
          <t>S2.8</t>
        </is>
      </c>
      <c r="D28" s="13" t="inlineStr">
        <is>
          <t>Image Generation &amp; Editing</t>
        </is>
      </c>
      <c r="E28" s="42" t="inlineStr">
        <is>
          <t>SVC</t>
        </is>
      </c>
      <c r="F28" s="43" t="inlineStr"/>
      <c r="G28" s="11" t="inlineStr">
        <is>
          <t>application</t>
        </is>
      </c>
      <c r="H28" s="11" t="inlineStr">
        <is>
          <t>behavior service</t>
        </is>
      </c>
      <c r="I28" s="15" t="inlineStr">
        <is>
          <t>-</t>
        </is>
      </c>
      <c r="J28" s="11" t="inlineStr">
        <is>
          <t>-</t>
        </is>
      </c>
      <c r="K28" s="14" t="inlineStr">
        <is>
          <t>Generate or modify images from text or image input.</t>
        </is>
      </c>
      <c r="L28" s="14" t="inlineStr">
        <is>
          <t>HF text-to-image / image-to-image · Microsoft Foundry Models</t>
        </is>
      </c>
      <c r="M28" s="14" t="inlineStr">
        <is>
          <t>-</t>
        </is>
      </c>
      <c r="N28" s="16" t="inlineStr"/>
      <c r="O28" s="16" t="inlineStr">
        <is>
          <t>Elevated</t>
        </is>
      </c>
    </row>
    <row r="29" ht="50" customHeight="1">
      <c r="A29" s="11" t="inlineStr">
        <is>
          <t>S2</t>
        </is>
      </c>
      <c r="B29" s="15" t="inlineStr">
        <is>
          <t>Generation &amp; Synthesis</t>
        </is>
      </c>
      <c r="C29" s="12" t="inlineStr">
        <is>
          <t>S2.9</t>
        </is>
      </c>
      <c r="D29" s="13" t="inlineStr">
        <is>
          <t>Video &amp; Animation Generation</t>
        </is>
      </c>
      <c r="E29" s="42" t="inlineStr">
        <is>
          <t>SVC</t>
        </is>
      </c>
      <c r="F29" s="43" t="inlineStr"/>
      <c r="G29" s="11" t="inlineStr">
        <is>
          <t>application</t>
        </is>
      </c>
      <c r="H29" s="11" t="inlineStr">
        <is>
          <t>behavior service</t>
        </is>
      </c>
      <c r="I29" s="15" t="inlineStr">
        <is>
          <t>-</t>
        </is>
      </c>
      <c r="J29" s="11" t="inlineStr">
        <is>
          <t>-</t>
        </is>
      </c>
      <c r="K29" s="14" t="inlineStr">
        <is>
          <t>Generate or transform moving image content.</t>
        </is>
      </c>
      <c r="L29" s="14" t="inlineStr">
        <is>
          <t>HF text-to-video / image-to-video / video-to-video</t>
        </is>
      </c>
      <c r="M29" s="14" t="inlineStr">
        <is>
          <t>-</t>
        </is>
      </c>
      <c r="N29" s="16" t="inlineStr"/>
      <c r="O29" s="16" t="inlineStr">
        <is>
          <t>Elevated</t>
        </is>
      </c>
    </row>
    <row r="30" ht="50" customHeight="1">
      <c r="A30" s="11" t="inlineStr">
        <is>
          <t>S2</t>
        </is>
      </c>
      <c r="B30" s="15" t="inlineStr">
        <is>
          <t>Generation &amp; Synthesis</t>
        </is>
      </c>
      <c r="C30" s="12" t="inlineStr">
        <is>
          <t>S2.10</t>
        </is>
      </c>
      <c r="D30" s="13" t="inlineStr">
        <is>
          <t>Synthetic Data Generation</t>
        </is>
      </c>
      <c r="E30" s="42" t="inlineStr">
        <is>
          <t>SVC</t>
        </is>
      </c>
      <c r="F30" s="43" t="inlineStr"/>
      <c r="G30" s="11" t="inlineStr">
        <is>
          <t>application</t>
        </is>
      </c>
      <c r="H30" s="11" t="inlineStr">
        <is>
          <t>behavior service</t>
        </is>
      </c>
      <c r="I30" s="15" t="inlineStr">
        <is>
          <t>-</t>
        </is>
      </c>
      <c r="J30" s="11" t="inlineStr">
        <is>
          <t>-</t>
        </is>
      </c>
      <c r="K30" s="14" t="inlineStr">
        <is>
          <t>Produce artificial data that preserves the statistical shape of real data.</t>
        </is>
      </c>
      <c r="L30" s="14" t="inlineStr">
        <is>
          <t>HF unconditional-image-generation · ISO/IEC 5259 series</t>
        </is>
      </c>
      <c r="M30" s="14" t="inlineStr">
        <is>
          <t>3.2.5 (required-enabler)</t>
        </is>
      </c>
      <c r="N30" s="16" t="inlineStr"/>
      <c r="O30" s="16" t="inlineStr"/>
    </row>
    <row r="31" ht="50" customHeight="1">
      <c r="A31" s="11" t="inlineStr">
        <is>
          <t>S3</t>
        </is>
      </c>
      <c r="B31" s="15" t="inlineStr">
        <is>
          <t>Retrieval &amp; Knowledge</t>
        </is>
      </c>
      <c r="C31" s="12" t="inlineStr">
        <is>
          <t>S3.1</t>
        </is>
      </c>
      <c r="D31" s="13" t="inlineStr">
        <is>
          <t>Lexical Search</t>
        </is>
      </c>
      <c r="E31" s="42" t="inlineStr">
        <is>
          <t>SVC</t>
        </is>
      </c>
      <c r="F31" s="43" t="inlineStr"/>
      <c r="G31" s="11" t="inlineStr">
        <is>
          <t>application</t>
        </is>
      </c>
      <c r="H31" s="11" t="inlineStr">
        <is>
          <t>behavior service</t>
        </is>
      </c>
      <c r="I31" s="15" t="inlineStr">
        <is>
          <t>-</t>
        </is>
      </c>
      <c r="J31" s="11" t="inlineStr">
        <is>
          <t>-</t>
        </is>
      </c>
      <c r="K31" s="14" t="inlineStr">
        <is>
          <t>Retrieve by literal term match and term-frequency scoring.</t>
        </is>
      </c>
      <c r="L31" s="14" t="inlineStr">
        <is>
          <t>Azure AI Search BM25 · Apache Lucene / OpenSearch lineage</t>
        </is>
      </c>
      <c r="M31" s="14" t="inlineStr">
        <is>
          <t>3.6.1 (optional-enabler), 3.6.4 (optional-enabler)</t>
        </is>
      </c>
      <c r="N31" s="16" t="inlineStr"/>
      <c r="O31" s="16" t="inlineStr"/>
    </row>
    <row r="32" ht="50" customHeight="1">
      <c r="A32" s="11" t="inlineStr">
        <is>
          <t>S3</t>
        </is>
      </c>
      <c r="B32" s="15" t="inlineStr">
        <is>
          <t>Retrieval &amp; Knowledge</t>
        </is>
      </c>
      <c r="C32" s="12" t="inlineStr">
        <is>
          <t>S3.2</t>
        </is>
      </c>
      <c r="D32" s="13" t="inlineStr">
        <is>
          <t>Vector Similarity Search</t>
        </is>
      </c>
      <c r="E32" s="42" t="inlineStr">
        <is>
          <t>SVC</t>
        </is>
      </c>
      <c r="F32" s="43" t="inlineStr">
        <is>
          <t>either</t>
        </is>
      </c>
      <c r="G32" s="11" t="inlineStr">
        <is>
          <t>application</t>
        </is>
      </c>
      <c r="H32" s="11" t="inlineStr">
        <is>
          <t>behavior service</t>
        </is>
      </c>
      <c r="I32" s="15" t="inlineStr">
        <is>
          <t>-</t>
        </is>
      </c>
      <c r="J32" s="11" t="inlineStr">
        <is>
          <t>-</t>
        </is>
      </c>
      <c r="K32" s="14" t="inlineStr">
        <is>
          <t>Retrieve by proximity in embedding space rather than term match.</t>
        </is>
      </c>
      <c r="L32" s="14" t="inlineStr">
        <is>
          <t>Azure AI Search HNSW / exhaustive KNN · HF sentence-similarity · LF AI &amp; Data landscape (Data / Store &amp; Format)</t>
        </is>
      </c>
      <c r="M32" s="14" t="inlineStr">
        <is>
          <t>3.6.1 (optional-enabler)</t>
        </is>
      </c>
      <c r="N32" s="16" t="inlineStr"/>
      <c r="O32" s="16" t="inlineStr"/>
    </row>
    <row r="33" ht="50" customHeight="1">
      <c r="A33" s="11" t="inlineStr">
        <is>
          <t>S3</t>
        </is>
      </c>
      <c r="B33" s="15" t="inlineStr">
        <is>
          <t>Retrieval &amp; Knowledge</t>
        </is>
      </c>
      <c r="C33" s="12" t="inlineStr">
        <is>
          <t>S3.3</t>
        </is>
      </c>
      <c r="D33" s="13" t="inlineStr">
        <is>
          <t>Rank Fusion Service</t>
        </is>
      </c>
      <c r="E33" s="42" t="inlineStr">
        <is>
          <t>SVC</t>
        </is>
      </c>
      <c r="F33" s="43" t="inlineStr"/>
      <c r="G33" s="11" t="inlineStr">
        <is>
          <t>application</t>
        </is>
      </c>
      <c r="H33" s="11" t="inlineStr">
        <is>
          <t>behavior service</t>
        </is>
      </c>
      <c r="I33" s="15" t="inlineStr">
        <is>
          <t>-</t>
        </is>
      </c>
      <c r="J33" s="11" t="inlineStr">
        <is>
          <t>-</t>
        </is>
      </c>
      <c r="K33" s="14" t="inlineStr">
        <is>
          <t>Combines several ranked result sets into one ordered list by a declared fusion function.</t>
        </is>
      </c>
      <c r="L33" s="14" t="inlineStr">
        <is>
          <t>Azure AI Search Reciprocal Rank Fusion</t>
        </is>
      </c>
      <c r="M33" s="14" t="inlineStr">
        <is>
          <t>3.6.4 (optional-enabler)</t>
        </is>
      </c>
      <c r="N33" s="16" t="inlineStr"/>
      <c r="O33" s="16" t="inlineStr"/>
    </row>
    <row r="34" ht="50" customHeight="1">
      <c r="A34" s="11" t="inlineStr">
        <is>
          <t>S3</t>
        </is>
      </c>
      <c r="B34" s="15" t="inlineStr">
        <is>
          <t>Retrieval &amp; Knowledge</t>
        </is>
      </c>
      <c r="C34" s="12" t="inlineStr">
        <is>
          <t>S3.4</t>
        </is>
      </c>
      <c r="D34" s="13" t="inlineStr">
        <is>
          <t>Semantic Reranking</t>
        </is>
      </c>
      <c r="E34" s="42" t="inlineStr">
        <is>
          <t>SVC</t>
        </is>
      </c>
      <c r="F34" s="43" t="inlineStr">
        <is>
          <t>either</t>
        </is>
      </c>
      <c r="G34" s="11" t="inlineStr">
        <is>
          <t>application</t>
        </is>
      </c>
      <c r="H34" s="11" t="inlineStr">
        <is>
          <t>behavior service</t>
        </is>
      </c>
      <c r="I34" s="15" t="inlineStr">
        <is>
          <t>-</t>
        </is>
      </c>
      <c r="J34" s="11" t="inlineStr">
        <is>
          <t>-</t>
        </is>
      </c>
      <c r="K34" s="14" t="inlineStr">
        <is>
          <t>Re-order a candidate set with a model that scores relevance directly.</t>
        </is>
      </c>
      <c r="L34" s="14" t="inlineStr">
        <is>
          <t>Azure AI Search L2 semantic ranker · HF text-ranking</t>
        </is>
      </c>
      <c r="M34" s="14" t="inlineStr">
        <is>
          <t>3.6.1 (optional-enabler), 3.6.3 (required-enabler)</t>
        </is>
      </c>
      <c r="N34" s="16" t="inlineStr"/>
      <c r="O34" s="16" t="inlineStr"/>
    </row>
    <row r="35" ht="50" customHeight="1">
      <c r="A35" s="11" t="inlineStr">
        <is>
          <t>S3</t>
        </is>
      </c>
      <c r="B35" s="15" t="inlineStr">
        <is>
          <t>Retrieval &amp; Knowledge</t>
        </is>
      </c>
      <c r="C35" s="12" t="inlineStr">
        <is>
          <t>S3.5</t>
        </is>
      </c>
      <c r="D35" s="13" t="inlineStr">
        <is>
          <t>Query Understanding, Rewriting &amp; Decomposition</t>
        </is>
      </c>
      <c r="E35" s="42" t="inlineStr">
        <is>
          <t>SVC</t>
        </is>
      </c>
      <c r="F35" s="43" t="inlineStr"/>
      <c r="G35" s="11" t="inlineStr">
        <is>
          <t>application</t>
        </is>
      </c>
      <c r="H35" s="11" t="inlineStr">
        <is>
          <t>behavior service</t>
        </is>
      </c>
      <c r="I35" s="15" t="inlineStr">
        <is>
          <t>-</t>
        </is>
      </c>
      <c r="J35" s="11" t="inlineStr">
        <is>
          <t>-</t>
        </is>
      </c>
      <c r="K35" s="14" t="inlineStr">
        <is>
          <t>Interpret and restructure a request before retrieval, including breaking it into subqueries.</t>
        </is>
      </c>
      <c r="L35" s="14" t="inlineStr">
        <is>
          <t>Azure AI Search agentic retrieval (query planning) · Google RAG Engine (Gemini Enterprise Agent Platform)</t>
        </is>
      </c>
      <c r="M35" s="14" t="inlineStr">
        <is>
          <t>3.6.1 (optional-enabler), 3.6.4 (optional-enabler)</t>
        </is>
      </c>
      <c r="N35" s="16" t="inlineStr">
        <is>
          <t>Yes</t>
        </is>
      </c>
      <c r="O35" s="16" t="inlineStr"/>
    </row>
    <row r="36" ht="50" customHeight="1">
      <c r="A36" s="11" t="inlineStr">
        <is>
          <t>S3</t>
        </is>
      </c>
      <c r="B36" s="15" t="inlineStr">
        <is>
          <t>Retrieval &amp; Knowledge</t>
        </is>
      </c>
      <c r="C36" s="12" t="inlineStr">
        <is>
          <t>S3.6</t>
        </is>
      </c>
      <c r="D36" s="13" t="inlineStr">
        <is>
          <t>Content Chunking &amp; Segmentation</t>
        </is>
      </c>
      <c r="E36" s="44" t="inlineStr">
        <is>
          <t>ABB</t>
        </is>
      </c>
      <c r="F36" s="43" t="inlineStr"/>
      <c r="G36" s="11" t="inlineStr">
        <is>
          <t>application</t>
        </is>
      </c>
      <c r="H36" s="11" t="inlineStr">
        <is>
          <t>behavior service</t>
        </is>
      </c>
      <c r="I36" s="15" t="inlineStr">
        <is>
          <t>-</t>
        </is>
      </c>
      <c r="J36" s="11" t="inlineStr">
        <is>
          <t>-</t>
        </is>
      </c>
      <c r="K36" s="14" t="inlineStr">
        <is>
          <t>Divide source content into retrievable units that preserve meaning and citability.</t>
        </is>
      </c>
      <c r="L36" s="14" t="inlineStr">
        <is>
          <t>Azure AI Search skillsets · AWS Bedrock Knowledge Bases · IBM GenAI Capability Model</t>
        </is>
      </c>
      <c r="M36" s="14" t="inlineStr">
        <is>
          <t>3.5.3 (required-enabler)</t>
        </is>
      </c>
      <c r="N36" s="16" t="inlineStr"/>
      <c r="O36" s="16" t="inlineStr"/>
    </row>
    <row r="37" ht="50" customHeight="1">
      <c r="A37" s="11" t="inlineStr">
        <is>
          <t>S3</t>
        </is>
      </c>
      <c r="B37" s="15" t="inlineStr">
        <is>
          <t>Retrieval &amp; Knowledge</t>
        </is>
      </c>
      <c r="C37" s="12" t="inlineStr">
        <is>
          <t>S3.7</t>
        </is>
      </c>
      <c r="D37" s="13" t="inlineStr">
        <is>
          <t>Embedding Generation</t>
        </is>
      </c>
      <c r="E37" s="44" t="inlineStr">
        <is>
          <t>ABB</t>
        </is>
      </c>
      <c r="F37" s="43" t="inlineStr"/>
      <c r="G37" s="11" t="inlineStr">
        <is>
          <t>application</t>
        </is>
      </c>
      <c r="H37" s="11" t="inlineStr">
        <is>
          <t>behavior service</t>
        </is>
      </c>
      <c r="I37" s="15" t="inlineStr">
        <is>
          <t>-</t>
        </is>
      </c>
      <c r="J37" s="11" t="inlineStr">
        <is>
          <t>-</t>
        </is>
      </c>
      <c r="K37" s="14" t="inlineStr">
        <is>
          <t>Produce vector representations of content for similarity operations.</t>
        </is>
      </c>
      <c r="L37" s="14" t="inlineStr">
        <is>
          <t>HF feature-extraction · OTel gen_ai embeddings · Microsoft Foundry Models</t>
        </is>
      </c>
      <c r="M37" s="14" t="inlineStr">
        <is>
          <t>3.7.2 (required-enabler)</t>
        </is>
      </c>
      <c r="N37" s="16" t="inlineStr"/>
      <c r="O37" s="16" t="inlineStr"/>
    </row>
    <row r="38" ht="50" customHeight="1">
      <c r="A38" s="11" t="inlineStr">
        <is>
          <t>S3</t>
        </is>
      </c>
      <c r="B38" s="15" t="inlineStr">
        <is>
          <t>Retrieval &amp; Knowledge</t>
        </is>
      </c>
      <c r="C38" s="12" t="inlineStr">
        <is>
          <t>S3.8</t>
        </is>
      </c>
      <c r="D38" s="13" t="inlineStr">
        <is>
          <t>Vector Index Management</t>
        </is>
      </c>
      <c r="E38" s="44" t="inlineStr">
        <is>
          <t>ABB</t>
        </is>
      </c>
      <c r="F38" s="43" t="inlineStr"/>
      <c r="G38" s="11" t="inlineStr">
        <is>
          <t>data</t>
        </is>
      </c>
      <c r="H38" s="11" t="inlineStr">
        <is>
          <t>passive structure information</t>
        </is>
      </c>
      <c r="I38" s="15" t="inlineStr">
        <is>
          <t>-</t>
        </is>
      </c>
      <c r="J38" s="11" t="inlineStr">
        <is>
          <t>-</t>
        </is>
      </c>
      <c r="K38" s="14" t="inlineStr">
        <is>
          <t>Builds, refreshes, compacts and migrates vector indexes, including re-embedding on model or content change.</t>
        </is>
      </c>
      <c r="L38" s="14" t="inlineStr">
        <is>
          <t>LF AI &amp; Data landscape · Azure AI Search · Databricks AI Search</t>
        </is>
      </c>
      <c r="M38" s="14" t="inlineStr">
        <is>
          <t>3.7.3 (required-enabler), 3.7.4 (required-enabler)</t>
        </is>
      </c>
      <c r="N38" s="16" t="inlineStr"/>
      <c r="O38" s="16" t="inlineStr"/>
    </row>
    <row r="39" ht="50" customHeight="1">
      <c r="A39" s="11" t="inlineStr">
        <is>
          <t>S3</t>
        </is>
      </c>
      <c r="B39" s="15" t="inlineStr">
        <is>
          <t>Retrieval &amp; Knowledge</t>
        </is>
      </c>
      <c r="C39" s="12" t="inlineStr">
        <is>
          <t>S3.9</t>
        </is>
      </c>
      <c r="D39" s="13" t="inlineStr">
        <is>
          <t>Knowledge Graph Construction &amp; Traversal</t>
        </is>
      </c>
      <c r="E39" s="44" t="inlineStr">
        <is>
          <t>ABB</t>
        </is>
      </c>
      <c r="F39" s="43" t="inlineStr"/>
      <c r="G39" s="11" t="inlineStr">
        <is>
          <t>application</t>
        </is>
      </c>
      <c r="H39" s="11" t="inlineStr">
        <is>
          <t>behavior service</t>
        </is>
      </c>
      <c r="I39" s="15" t="inlineStr">
        <is>
          <t>-</t>
        </is>
      </c>
      <c r="J39" s="11" t="inlineStr">
        <is>
          <t>-</t>
        </is>
      </c>
      <c r="K39" s="14" t="inlineStr">
        <is>
          <t>Represent entities and relationships explicitly and query across them.</t>
        </is>
      </c>
      <c r="L39" s="14" t="inlineStr">
        <is>
          <t>SAP Knowledge Graph · ISO/IEC 22989 - clause 5 AI concepts</t>
        </is>
      </c>
      <c r="M39" s="14" t="inlineStr">
        <is>
          <t>3.4.2 (required-enabler), 3.6.1 (optional-enabler)</t>
        </is>
      </c>
      <c r="N39" s="16" t="inlineStr"/>
      <c r="O39" s="16" t="inlineStr"/>
    </row>
    <row r="40" ht="50" customHeight="1">
      <c r="A40" s="11" t="inlineStr">
        <is>
          <t>S3</t>
        </is>
      </c>
      <c r="B40" s="15" t="inlineStr">
        <is>
          <t>Retrieval &amp; Knowledge</t>
        </is>
      </c>
      <c r="C40" s="12" t="inlineStr">
        <is>
          <t>S3.10</t>
        </is>
      </c>
      <c r="D40" s="13" t="inlineStr">
        <is>
          <t>Access-Trimmed Retrieval</t>
        </is>
      </c>
      <c r="E40" s="44" t="inlineStr">
        <is>
          <t>ABB</t>
        </is>
      </c>
      <c r="F40" s="43" t="inlineStr"/>
      <c r="G40" s="11" t="inlineStr">
        <is>
          <t>application</t>
        </is>
      </c>
      <c r="H40" s="11" t="inlineStr">
        <is>
          <t>behavior service</t>
        </is>
      </c>
      <c r="I40" s="15" t="inlineStr">
        <is>
          <t>-</t>
        </is>
      </c>
      <c r="J40" s="11" t="inlineStr">
        <is>
          <t>-</t>
        </is>
      </c>
      <c r="K40" s="14" t="inlineStr">
        <is>
          <t>Applies the requester's entitlement set as a filter at query time, before ranking, so non-entitled documents never enter the result set.</t>
        </is>
      </c>
      <c r="L40" s="14" t="inlineStr">
        <is>
          <t>Azure AI Search security filters · OWASP GenAI - Sensitive Information Disclosure</t>
        </is>
      </c>
      <c r="M40" s="14" t="inlineStr">
        <is>
          <t>3.6.2 (required-enabler)</t>
        </is>
      </c>
      <c r="N40" s="16" t="inlineStr"/>
      <c r="O40" s="16" t="inlineStr">
        <is>
          <t>Elevated</t>
        </is>
      </c>
    </row>
    <row r="41" ht="50" customHeight="1">
      <c r="A41" s="11" t="inlineStr">
        <is>
          <t>S3</t>
        </is>
      </c>
      <c r="B41" s="15" t="inlineStr">
        <is>
          <t>Retrieval &amp; Knowledge</t>
        </is>
      </c>
      <c r="C41" s="12" t="inlineStr">
        <is>
          <t>S3.11</t>
        </is>
      </c>
      <c r="D41" s="13" t="inlineStr">
        <is>
          <t>Federated &amp; Multi-Source Retrieval</t>
        </is>
      </c>
      <c r="E41" s="44" t="inlineStr">
        <is>
          <t>ABB</t>
        </is>
      </c>
      <c r="F41" s="43" t="inlineStr"/>
      <c r="G41" s="11" t="inlineStr">
        <is>
          <t>application</t>
        </is>
      </c>
      <c r="H41" s="11" t="inlineStr">
        <is>
          <t>behavior service</t>
        </is>
      </c>
      <c r="I41" s="15" t="inlineStr">
        <is>
          <t>-</t>
        </is>
      </c>
      <c r="J41" s="11" t="inlineStr">
        <is>
          <t>-</t>
        </is>
      </c>
      <c r="K41" s="14" t="inlineStr">
        <is>
          <t>Issues subqueries to several indexed and live repositories in parallel and merges their results into one ranked list.</t>
        </is>
      </c>
      <c r="L41" s="14" t="inlineStr">
        <is>
          <t>Azure Foundry IQ knowledge sources · Google Gemini Enterprise</t>
        </is>
      </c>
      <c r="M41" s="14" t="inlineStr">
        <is>
          <t>3.6.4 (optional-enabler)</t>
        </is>
      </c>
      <c r="N41" s="16" t="inlineStr"/>
      <c r="O41" s="16" t="inlineStr"/>
    </row>
    <row r="42" ht="50" customHeight="1">
      <c r="A42" s="11" t="inlineStr">
        <is>
          <t>S3</t>
        </is>
      </c>
      <c r="B42" s="15" t="inlineStr">
        <is>
          <t>Retrieval &amp; Knowledge</t>
        </is>
      </c>
      <c r="C42" s="12" t="inlineStr">
        <is>
          <t>S3.12</t>
        </is>
      </c>
      <c r="D42" s="13" t="inlineStr">
        <is>
          <t>Grounding, Citation &amp; Attribution</t>
        </is>
      </c>
      <c r="E42" s="42" t="inlineStr">
        <is>
          <t>SVC</t>
        </is>
      </c>
      <c r="F42" s="43" t="inlineStr"/>
      <c r="G42" s="11" t="inlineStr">
        <is>
          <t>application</t>
        </is>
      </c>
      <c r="H42" s="11" t="inlineStr">
        <is>
          <t>behavior service</t>
        </is>
      </c>
      <c r="I42" s="15" t="inlineStr">
        <is>
          <t>-</t>
        </is>
      </c>
      <c r="J42" s="11" t="inlineStr">
        <is>
          <t>-</t>
        </is>
      </c>
      <c r="K42" s="14" t="inlineStr">
        <is>
          <t>Bind generated statements to resolvable sources.</t>
        </is>
      </c>
      <c r="L42" s="14" t="inlineStr">
        <is>
          <t>Azure AI Search agentic retrieval (citations) · Azure Content Safety groundedness · NIST AI 600-1 (Confabulation)</t>
        </is>
      </c>
      <c r="M42" s="14" t="inlineStr">
        <is>
          <t>3.6.5 (required-enabler), 7.2.2 (required-enabler)</t>
        </is>
      </c>
      <c r="N42" s="16" t="inlineStr"/>
      <c r="O42" s="16" t="inlineStr"/>
    </row>
    <row r="43" ht="50" customHeight="1">
      <c r="A43" s="11" t="inlineStr">
        <is>
          <t>S3</t>
        </is>
      </c>
      <c r="B43" s="15" t="inlineStr">
        <is>
          <t>Retrieval &amp; Knowledge</t>
        </is>
      </c>
      <c r="C43" s="12" t="inlineStr">
        <is>
          <t>S3.13</t>
        </is>
      </c>
      <c r="D43" s="13" t="inlineStr">
        <is>
          <t>Agentic Retrieval Pattern</t>
        </is>
      </c>
      <c r="E43" s="28" t="inlineStr">
        <is>
          <t>PAT</t>
        </is>
      </c>
      <c r="F43" s="43" t="inlineStr"/>
      <c r="G43" s="11" t="inlineStr">
        <is>
          <t>application</t>
        </is>
      </c>
      <c r="H43" s="11" t="inlineStr">
        <is>
          <t>behavior service</t>
        </is>
      </c>
      <c r="I43" s="15" t="inlineStr">
        <is>
          <t>-</t>
        </is>
      </c>
      <c r="J43" s="11" t="inlineStr">
        <is>
          <t>-</t>
        </is>
      </c>
      <c r="K43" s="14" t="inlineStr">
        <is>
          <t>Plan, execute and refine multiple retrieval passes autonomously.</t>
        </is>
      </c>
      <c r="L43" s="14" t="inlineStr">
        <is>
          <t>Azure AI Search agentic retrieval · Google RAG Engine (Gemini Enterprise Agent Platform) · AWS Bedrock Knowledge Bases</t>
        </is>
      </c>
      <c r="M43" s="14" t="inlineStr">
        <is>
          <t>3.6.1 (optional-enabler), 4.4.2 (required-enabler)</t>
        </is>
      </c>
      <c r="N43" s="16" t="inlineStr">
        <is>
          <t>Yes</t>
        </is>
      </c>
      <c r="O43" s="16" t="inlineStr"/>
    </row>
    <row r="44" ht="50" customHeight="1">
      <c r="A44" s="11" t="inlineStr">
        <is>
          <t>S3</t>
        </is>
      </c>
      <c r="B44" s="15" t="inlineStr">
        <is>
          <t>Retrieval &amp; Knowledge</t>
        </is>
      </c>
      <c r="C44" s="12" t="inlineStr">
        <is>
          <t>S3.14</t>
        </is>
      </c>
      <c r="D44" s="13" t="inlineStr">
        <is>
          <t>Recommendation &amp; Similarity Matching</t>
        </is>
      </c>
      <c r="E44" s="42" t="inlineStr">
        <is>
          <t>SVC</t>
        </is>
      </c>
      <c r="F44" s="43" t="inlineStr"/>
      <c r="G44" s="11" t="inlineStr">
        <is>
          <t>application</t>
        </is>
      </c>
      <c r="H44" s="11" t="inlineStr">
        <is>
          <t>behavior service</t>
        </is>
      </c>
      <c r="I44" s="15" t="inlineStr">
        <is>
          <t>-</t>
        </is>
      </c>
      <c r="J44" s="11" t="inlineStr">
        <is>
          <t>-</t>
        </is>
      </c>
      <c r="K44" s="14" t="inlineStr">
        <is>
          <t>Surface related items on learned similarity or behavior.</t>
        </is>
      </c>
      <c r="L44" s="14" t="inlineStr">
        <is>
          <t>AWS Personalize · HF sentence-similarity</t>
        </is>
      </c>
      <c r="M44" s="14" t="inlineStr">
        <is>
          <t>3.6.4 (optional-enabler)</t>
        </is>
      </c>
      <c r="N44" s="16" t="inlineStr"/>
      <c r="O44" s="16" t="inlineStr"/>
    </row>
    <row r="45" ht="50" customHeight="1">
      <c r="A45" s="11" t="inlineStr">
        <is>
          <t>S3</t>
        </is>
      </c>
      <c r="B45" s="15" t="inlineStr">
        <is>
          <t>Retrieval &amp; Knowledge</t>
        </is>
      </c>
      <c r="C45" s="12" t="inlineStr">
        <is>
          <t>S3.15</t>
        </is>
      </c>
      <c r="D45" s="13" t="inlineStr">
        <is>
          <t>Governed Corpus Serving</t>
        </is>
      </c>
      <c r="E45" s="42" t="inlineStr">
        <is>
          <t>SVC</t>
        </is>
      </c>
      <c r="F45" s="43" t="inlineStr">
        <is>
          <t>either</t>
        </is>
      </c>
      <c r="G45" s="11" t="inlineStr">
        <is>
          <t>application</t>
        </is>
      </c>
      <c r="H45" s="11" t="inlineStr">
        <is>
          <t>behavior service</t>
        </is>
      </c>
      <c r="I45" s="15" t="inlineStr">
        <is>
          <t>-</t>
        </is>
      </c>
      <c r="J45" s="11" t="inlineStr">
        <is>
          <t>-</t>
        </is>
      </c>
      <c r="K45" s="14" t="inlineStr">
        <is>
          <t>Serves a curated corpus behind a stable addressable endpoint with its own access policy, freshness state and version.</t>
        </is>
      </c>
      <c r="L45" s="14" t="inlineStr">
        <is>
          <t>Foundry IQ · AWS Bedrock Knowledge Bases · Google RAG Engine (Gemini Enterprise Agent Platform)</t>
        </is>
      </c>
      <c r="M45" s="14" t="inlineStr">
        <is>
          <t>3.5.1 (required-enabler), 3.5.4 (required-enabler), 3.5.5 (required-enabler)</t>
        </is>
      </c>
      <c r="N45" s="16" t="inlineStr"/>
      <c r="O45" s="16" t="inlineStr"/>
    </row>
    <row r="46" ht="50" customHeight="1">
      <c r="A46" s="11" t="inlineStr">
        <is>
          <t>S3</t>
        </is>
      </c>
      <c r="B46" s="15" t="inlineStr">
        <is>
          <t>Retrieval &amp; Knowledge</t>
        </is>
      </c>
      <c r="C46" s="12" t="inlineStr">
        <is>
          <t>S3.16</t>
        </is>
      </c>
      <c r="D46" s="13" t="inlineStr">
        <is>
          <t>Hybrid Retrieval Pattern</t>
        </is>
      </c>
      <c r="E46" s="28" t="inlineStr">
        <is>
          <t>PAT</t>
        </is>
      </c>
      <c r="F46" s="43" t="inlineStr"/>
      <c r="G46" s="11" t="inlineStr">
        <is>
          <t>application</t>
        </is>
      </c>
      <c r="H46" s="11" t="inlineStr">
        <is>
          <t>behavior service</t>
        </is>
      </c>
      <c r="I46" s="15" t="inlineStr">
        <is>
          <t>-</t>
        </is>
      </c>
      <c r="J46" s="11" t="inlineStr">
        <is>
          <t>-</t>
        </is>
      </c>
      <c r="K46" s="14" t="inlineStr">
        <is>
          <t>Composes Lexical Retrieval, Vector Retrieval and Rank Fusion, optionally with Semantic Reranking, over one corpus.</t>
        </is>
      </c>
      <c r="L46" s="14" t="inlineStr">
        <is>
          <t>Azure AI Search Reciprocal Rank Fusion · Google RAG Engine (Gemini Enterprise Agent Platform)</t>
        </is>
      </c>
      <c r="M46" s="14" t="inlineStr">
        <is>
          <t>3.6.1 (optional-enabler), 3.6.4 (optional-enabler)</t>
        </is>
      </c>
      <c r="N46" s="16" t="inlineStr"/>
      <c r="O46" s="16" t="inlineStr"/>
    </row>
    <row r="47" ht="50" customHeight="1">
      <c r="A47" s="11" t="inlineStr">
        <is>
          <t>S4</t>
        </is>
      </c>
      <c r="B47" s="15" t="inlineStr">
        <is>
          <t>Reasoning, Prediction &amp; Decision</t>
        </is>
      </c>
      <c r="C47" s="12" t="inlineStr">
        <is>
          <t>S4.1</t>
        </is>
      </c>
      <c r="D47" s="13" t="inlineStr">
        <is>
          <t>Classification &amp; Scoring</t>
        </is>
      </c>
      <c r="E47" s="42" t="inlineStr">
        <is>
          <t>SVC</t>
        </is>
      </c>
      <c r="F47" s="43" t="inlineStr"/>
      <c r="G47" s="11" t="inlineStr">
        <is>
          <t>application</t>
        </is>
      </c>
      <c r="H47" s="11" t="inlineStr">
        <is>
          <t>behavior service</t>
        </is>
      </c>
      <c r="I47" s="15" t="inlineStr">
        <is>
          <t>-</t>
        </is>
      </c>
      <c r="J47" s="11" t="inlineStr">
        <is>
          <t>-</t>
        </is>
      </c>
      <c r="K47" s="14" t="inlineStr">
        <is>
          <t>Assign a class or score to a case using a trained model.</t>
        </is>
      </c>
      <c r="L47" s="14" t="inlineStr">
        <is>
          <t>ISO/IEC 23053 clause 6.2 (examples, explicitly non-exhaustive) · HF tabular-classification · Amazon Fraud Detector (sunset Oct 2026)</t>
        </is>
      </c>
      <c r="M47" s="14" t="inlineStr">
        <is>
          <t>-</t>
        </is>
      </c>
      <c r="N47" s="16" t="inlineStr"/>
      <c r="O47" s="16" t="inlineStr"/>
    </row>
    <row r="48" ht="50" customHeight="1">
      <c r="A48" s="11" t="inlineStr">
        <is>
          <t>S4</t>
        </is>
      </c>
      <c r="B48" s="15" t="inlineStr">
        <is>
          <t>Reasoning, Prediction &amp; Decision</t>
        </is>
      </c>
      <c r="C48" s="12" t="inlineStr">
        <is>
          <t>S4.2</t>
        </is>
      </c>
      <c r="D48" s="13" t="inlineStr">
        <is>
          <t>Regression &amp; Estimation</t>
        </is>
      </c>
      <c r="E48" s="42" t="inlineStr">
        <is>
          <t>SVC</t>
        </is>
      </c>
      <c r="F48" s="43" t="inlineStr"/>
      <c r="G48" s="11" t="inlineStr">
        <is>
          <t>application</t>
        </is>
      </c>
      <c r="H48" s="11" t="inlineStr">
        <is>
          <t>behavior service</t>
        </is>
      </c>
      <c r="I48" s="15" t="inlineStr">
        <is>
          <t>-</t>
        </is>
      </c>
      <c r="J48" s="11" t="inlineStr">
        <is>
          <t>-</t>
        </is>
      </c>
      <c r="K48" s="14" t="inlineStr">
        <is>
          <t>Predict a continuous value from input features.</t>
        </is>
      </c>
      <c r="L48" s="14" t="inlineStr">
        <is>
          <t>ISO/IEC 23053 clause 6.2 (examples, explicitly non-exhaustive) · HF tabular-regression</t>
        </is>
      </c>
      <c r="M48" s="14" t="inlineStr">
        <is>
          <t>-</t>
        </is>
      </c>
      <c r="N48" s="16" t="inlineStr"/>
      <c r="O48" s="16" t="inlineStr"/>
    </row>
    <row r="49" ht="50" customHeight="1">
      <c r="A49" s="11" t="inlineStr">
        <is>
          <t>S4</t>
        </is>
      </c>
      <c r="B49" s="15" t="inlineStr">
        <is>
          <t>Reasoning, Prediction &amp; Decision</t>
        </is>
      </c>
      <c r="C49" s="12" t="inlineStr">
        <is>
          <t>S4.3</t>
        </is>
      </c>
      <c r="D49" s="13" t="inlineStr">
        <is>
          <t>Time-Series Forecasting</t>
        </is>
      </c>
      <c r="E49" s="42" t="inlineStr">
        <is>
          <t>SVC</t>
        </is>
      </c>
      <c r="F49" s="43" t="inlineStr"/>
      <c r="G49" s="11" t="inlineStr">
        <is>
          <t>application</t>
        </is>
      </c>
      <c r="H49" s="11" t="inlineStr">
        <is>
          <t>behavior service</t>
        </is>
      </c>
      <c r="I49" s="15" t="inlineStr">
        <is>
          <t>-</t>
        </is>
      </c>
      <c r="J49" s="11" t="inlineStr">
        <is>
          <t>-</t>
        </is>
      </c>
      <c r="K49" s="14" t="inlineStr">
        <is>
          <t>Project a series forward from historical observations.</t>
        </is>
      </c>
      <c r="L49" s="14" t="inlineStr">
        <is>
          <t>statistical and ML forecasting practice (not a Hugging Face task) · AWS Forecast (legacy)</t>
        </is>
      </c>
      <c r="M49" s="14" t="inlineStr">
        <is>
          <t>-</t>
        </is>
      </c>
      <c r="N49" s="16" t="inlineStr"/>
      <c r="O49" s="16" t="inlineStr"/>
    </row>
    <row r="50" ht="50" customHeight="1">
      <c r="A50" s="11" t="inlineStr">
        <is>
          <t>S4</t>
        </is>
      </c>
      <c r="B50" s="15" t="inlineStr">
        <is>
          <t>Reasoning, Prediction &amp; Decision</t>
        </is>
      </c>
      <c r="C50" s="12" t="inlineStr">
        <is>
          <t>S4.4</t>
        </is>
      </c>
      <c r="D50" s="13" t="inlineStr">
        <is>
          <t>Anomaly &amp; Outlier Detection</t>
        </is>
      </c>
      <c r="E50" s="42" t="inlineStr">
        <is>
          <t>SVC</t>
        </is>
      </c>
      <c r="F50" s="43" t="inlineStr"/>
      <c r="G50" s="11" t="inlineStr">
        <is>
          <t>application</t>
        </is>
      </c>
      <c r="H50" s="11" t="inlineStr">
        <is>
          <t>behavior service</t>
        </is>
      </c>
      <c r="I50" s="15" t="inlineStr">
        <is>
          <t>-</t>
        </is>
      </c>
      <c r="J50" s="11" t="inlineStr">
        <is>
          <t>-</t>
        </is>
      </c>
      <c r="K50" s="14" t="inlineStr">
        <is>
          <t>Identify observations that depart from expected behavior.</t>
        </is>
      </c>
      <c r="L50" s="14" t="inlineStr">
        <is>
          <t>ISO/IEC 23053 clause 6.2 (examples, explicitly non-exhaustive) · Amazon Lookout family (discontinued)</t>
        </is>
      </c>
      <c r="M50" s="14" t="inlineStr">
        <is>
          <t>6.2.4 (required-enabler), 6.3.2 (required-enabler)</t>
        </is>
      </c>
      <c r="N50" s="16" t="inlineStr"/>
      <c r="O50" s="16" t="inlineStr"/>
    </row>
    <row r="51" ht="50" customHeight="1">
      <c r="A51" s="11" t="inlineStr">
        <is>
          <t>S4</t>
        </is>
      </c>
      <c r="B51" s="15" t="inlineStr">
        <is>
          <t>Reasoning, Prediction &amp; Decision</t>
        </is>
      </c>
      <c r="C51" s="12" t="inlineStr">
        <is>
          <t>S4.5</t>
        </is>
      </c>
      <c r="D51" s="13" t="inlineStr">
        <is>
          <t>Clustering &amp; Segmentation</t>
        </is>
      </c>
      <c r="E51" s="42" t="inlineStr">
        <is>
          <t>SVC</t>
        </is>
      </c>
      <c r="F51" s="43" t="inlineStr"/>
      <c r="G51" s="11" t="inlineStr">
        <is>
          <t>application</t>
        </is>
      </c>
      <c r="H51" s="11" t="inlineStr">
        <is>
          <t>behavior service</t>
        </is>
      </c>
      <c r="I51" s="15" t="inlineStr">
        <is>
          <t>-</t>
        </is>
      </c>
      <c r="J51" s="11" t="inlineStr">
        <is>
          <t>-</t>
        </is>
      </c>
      <c r="K51" s="14" t="inlineStr">
        <is>
          <t>Group cases by similarity without predefined labels.</t>
        </is>
      </c>
      <c r="L51" s="14" t="inlineStr">
        <is>
          <t>ISO/IEC 23053 clause 6.2 (examples, explicitly non-exhaustive)</t>
        </is>
      </c>
      <c r="M51" s="14" t="inlineStr">
        <is>
          <t>-</t>
        </is>
      </c>
      <c r="N51" s="16" t="inlineStr"/>
      <c r="O51" s="16" t="inlineStr"/>
    </row>
    <row r="52" ht="50" customHeight="1">
      <c r="A52" s="11" t="inlineStr">
        <is>
          <t>S4</t>
        </is>
      </c>
      <c r="B52" s="15" t="inlineStr">
        <is>
          <t>Reasoning, Prediction &amp; Decision</t>
        </is>
      </c>
      <c r="C52" s="12" t="inlineStr">
        <is>
          <t>S4.6</t>
        </is>
      </c>
      <c r="D52" s="13" t="inlineStr">
        <is>
          <t>Optimization &amp; Allocation</t>
        </is>
      </c>
      <c r="E52" s="42" t="inlineStr">
        <is>
          <t>SVC</t>
        </is>
      </c>
      <c r="F52" s="43" t="inlineStr"/>
      <c r="G52" s="11" t="inlineStr">
        <is>
          <t>application</t>
        </is>
      </c>
      <c r="H52" s="11" t="inlineStr">
        <is>
          <t>behavior service</t>
        </is>
      </c>
      <c r="I52" s="15" t="inlineStr">
        <is>
          <t>-</t>
        </is>
      </c>
      <c r="J52" s="11" t="inlineStr">
        <is>
          <t>-</t>
        </is>
      </c>
      <c r="K52" s="14" t="inlineStr">
        <is>
          <t>Select the best option under stated constraints and objectives.</t>
        </is>
      </c>
      <c r="L52" s="14" t="inlineStr">
        <is>
          <t>ISO/IEC 22989 - clause 9 fields of AI</t>
        </is>
      </c>
      <c r="M52" s="14" t="inlineStr">
        <is>
          <t>-</t>
        </is>
      </c>
      <c r="N52" s="16" t="inlineStr"/>
      <c r="O52" s="16" t="inlineStr"/>
    </row>
    <row r="53" ht="50" customHeight="1">
      <c r="A53" s="11" t="inlineStr">
        <is>
          <t>S4</t>
        </is>
      </c>
      <c r="B53" s="15" t="inlineStr">
        <is>
          <t>Reasoning, Prediction &amp; Decision</t>
        </is>
      </c>
      <c r="C53" s="12" t="inlineStr">
        <is>
          <t>S4.7</t>
        </is>
      </c>
      <c r="D53" s="13" t="inlineStr">
        <is>
          <t>Rules &amp; Policy Decisioning</t>
        </is>
      </c>
      <c r="E53" s="42" t="inlineStr">
        <is>
          <t>SVC</t>
        </is>
      </c>
      <c r="F53" s="43" t="inlineStr"/>
      <c r="G53" s="11" t="inlineStr">
        <is>
          <t>application</t>
        </is>
      </c>
      <c r="H53" s="11" t="inlineStr">
        <is>
          <t>behavior service</t>
        </is>
      </c>
      <c r="I53" s="15" t="inlineStr">
        <is>
          <t>-</t>
        </is>
      </c>
      <c r="J53" s="11" t="inlineStr">
        <is>
          <t>-</t>
        </is>
      </c>
      <c r="K53" s="14" t="inlineStr">
        <is>
          <t>Apply deterministic rules, alone or combined with a model.</t>
        </is>
      </c>
      <c r="L53" s="14" t="inlineStr">
        <is>
          <t>ISO/IEC 22989 - clause 5 AI concepts</t>
        </is>
      </c>
      <c r="M53" s="14" t="inlineStr">
        <is>
          <t>2.4.4 (required-enabler), 7.1.6 (required-enabler)</t>
        </is>
      </c>
      <c r="N53" s="16" t="inlineStr"/>
      <c r="O53" s="16" t="inlineStr"/>
    </row>
    <row r="54" ht="50" customHeight="1">
      <c r="A54" s="11" t="inlineStr">
        <is>
          <t>S4</t>
        </is>
      </c>
      <c r="B54" s="15" t="inlineStr">
        <is>
          <t>Reasoning, Prediction &amp; Decision</t>
        </is>
      </c>
      <c r="C54" s="12" t="inlineStr">
        <is>
          <t>S4.8</t>
        </is>
      </c>
      <c r="D54" s="13" t="inlineStr">
        <is>
          <t>Planning &amp; Task Decomposition</t>
        </is>
      </c>
      <c r="E54" s="42" t="inlineStr">
        <is>
          <t>SVC</t>
        </is>
      </c>
      <c r="F54" s="43" t="inlineStr"/>
      <c r="G54" s="11" t="inlineStr">
        <is>
          <t>application</t>
        </is>
      </c>
      <c r="H54" s="11" t="inlineStr">
        <is>
          <t>behavior service</t>
        </is>
      </c>
      <c r="I54" s="15" t="inlineStr">
        <is>
          <t>-</t>
        </is>
      </c>
      <c r="J54" s="11" t="inlineStr">
        <is>
          <t>-</t>
        </is>
      </c>
      <c r="K54" s="14" t="inlineStr">
        <is>
          <t>Break a goal into an ordered set of executable steps.</t>
        </is>
      </c>
      <c r="L54" s="14" t="inlineStr">
        <is>
          <t>OTel gen_ai plan · SAP agentic orchestration · IBM (routing &amp; orchestration)</t>
        </is>
      </c>
      <c r="M54" s="14" t="inlineStr">
        <is>
          <t>4.4.2 (required-enabler)</t>
        </is>
      </c>
      <c r="N54" s="16" t="inlineStr">
        <is>
          <t>Yes</t>
        </is>
      </c>
      <c r="O54" s="16" t="inlineStr"/>
    </row>
    <row r="55" ht="50" customHeight="1">
      <c r="A55" s="11" t="inlineStr">
        <is>
          <t>S4</t>
        </is>
      </c>
      <c r="B55" s="15" t="inlineStr">
        <is>
          <t>Reasoning, Prediction &amp; Decision</t>
        </is>
      </c>
      <c r="C55" s="12" t="inlineStr">
        <is>
          <t>S4.9</t>
        </is>
      </c>
      <c r="D55" s="13" t="inlineStr">
        <is>
          <t>Model-Based Evaluation</t>
        </is>
      </c>
      <c r="E55" s="42" t="inlineStr">
        <is>
          <t>SVC</t>
        </is>
      </c>
      <c r="F55" s="43" t="inlineStr"/>
      <c r="G55" s="11" t="inlineStr">
        <is>
          <t>application</t>
        </is>
      </c>
      <c r="H55" s="11" t="inlineStr">
        <is>
          <t>behavior service</t>
        </is>
      </c>
      <c r="I55" s="15" t="inlineStr">
        <is>
          <t>-</t>
        </is>
      </c>
      <c r="J55" s="11" t="inlineStr">
        <is>
          <t>-</t>
        </is>
      </c>
      <c r="K55" s="14" t="inlineStr">
        <is>
          <t>Use a model to score the output of another model against criteria.</t>
        </is>
      </c>
      <c r="L55" s="14" t="inlineStr">
        <is>
          <t>NIST AI 600-1 · Microsoft Foundry evaluations · AWS Bedrock model evaluation</t>
        </is>
      </c>
      <c r="M55" s="14" t="inlineStr">
        <is>
          <t>4.6.3 (required-enabler), 6.3.1 (evidence-provider)</t>
        </is>
      </c>
      <c r="N55" s="16" t="inlineStr"/>
      <c r="O55" s="16" t="inlineStr"/>
    </row>
    <row r="56" ht="50" customHeight="1">
      <c r="A56" s="11" t="inlineStr">
        <is>
          <t>S4</t>
        </is>
      </c>
      <c r="B56" s="15" t="inlineStr">
        <is>
          <t>Reasoning, Prediction &amp; Decision</t>
        </is>
      </c>
      <c r="C56" s="12" t="inlineStr">
        <is>
          <t>S4.10</t>
        </is>
      </c>
      <c r="D56" s="13" t="inlineStr">
        <is>
          <t>Formal &amp; Verifiable Reasoning Checks</t>
        </is>
      </c>
      <c r="E56" s="42" t="inlineStr">
        <is>
          <t>SVC</t>
        </is>
      </c>
      <c r="F56" s="43" t="inlineStr"/>
      <c r="G56" s="11" t="inlineStr">
        <is>
          <t>application</t>
        </is>
      </c>
      <c r="H56" s="11" t="inlineStr">
        <is>
          <t>behavior service</t>
        </is>
      </c>
      <c r="I56" s="15" t="inlineStr">
        <is>
          <t>-</t>
        </is>
      </c>
      <c r="J56" s="11" t="inlineStr">
        <is>
          <t>-</t>
        </is>
      </c>
      <c r="K56" s="14" t="inlineStr">
        <is>
          <t>Verify an output against formally expressed rules rather than by classifier judgement.</t>
        </is>
      </c>
      <c r="L56" s="14" t="inlineStr">
        <is>
          <t>AWS Bedrock Automated Reasoning checks</t>
        </is>
      </c>
      <c r="M56" s="14" t="inlineStr">
        <is>
          <t>4.6.5 (required-enabler), 7.2.2 (evidence-provider)</t>
        </is>
      </c>
      <c r="N56" s="16" t="inlineStr"/>
      <c r="O56" s="16" t="inlineStr"/>
    </row>
    <row r="57" ht="50" customHeight="1">
      <c r="A57" s="11" t="inlineStr">
        <is>
          <t>S5</t>
        </is>
      </c>
      <c r="B57" s="15" t="inlineStr">
        <is>
          <t>Agent &amp; Orchestration</t>
        </is>
      </c>
      <c r="C57" s="12" t="inlineStr">
        <is>
          <t>S5.1</t>
        </is>
      </c>
      <c r="D57" s="13" t="inlineStr">
        <is>
          <t>Agent Runtime &amp; Execution</t>
        </is>
      </c>
      <c r="E57" s="42" t="inlineStr">
        <is>
          <t>SVC</t>
        </is>
      </c>
      <c r="F57" s="43" t="inlineStr">
        <is>
          <t>either</t>
        </is>
      </c>
      <c r="G57" s="11" t="inlineStr">
        <is>
          <t>application</t>
        </is>
      </c>
      <c r="H57" s="11" t="inlineStr">
        <is>
          <t>behavior service</t>
        </is>
      </c>
      <c r="I57" s="15" t="inlineStr">
        <is>
          <t>operations</t>
        </is>
      </c>
      <c r="J57" s="11" t="inlineStr">
        <is>
          <t>-</t>
        </is>
      </c>
      <c r="K57" s="14" t="inlineStr">
        <is>
          <t>Host and execute an agent's reasoning-action loop under supervision.</t>
        </is>
      </c>
      <c r="L57" s="14" t="inlineStr">
        <is>
          <t>Microsoft Foundry Agent Service · AWS Bedrock AgentCore · Google Agent Runtime (Gemini Enterprise Agent Platform) · OTel invoke_agent</t>
        </is>
      </c>
      <c r="M57" s="14" t="inlineStr">
        <is>
          <t>6.1.1 (required-enabler), 4.4.1 (required-enabler)</t>
        </is>
      </c>
      <c r="N57" s="16" t="inlineStr">
        <is>
          <t>Yes</t>
        </is>
      </c>
      <c r="O57" s="16" t="inlineStr"/>
    </row>
    <row r="58" ht="50" customHeight="1">
      <c r="A58" s="11" t="inlineStr">
        <is>
          <t>S5</t>
        </is>
      </c>
      <c r="B58" s="15" t="inlineStr">
        <is>
          <t>Agent &amp; Orchestration</t>
        </is>
      </c>
      <c r="C58" s="12" t="inlineStr">
        <is>
          <t>S5.2</t>
        </is>
      </c>
      <c r="D58" s="13" t="inlineStr">
        <is>
          <t>Agent Definition &amp; Declarative Specification</t>
        </is>
      </c>
      <c r="E58" s="44" t="inlineStr">
        <is>
          <t>ABB</t>
        </is>
      </c>
      <c r="F58" s="43" t="inlineStr"/>
      <c r="G58" s="11" t="inlineStr">
        <is>
          <t>application</t>
        </is>
      </c>
      <c r="H58" s="11" t="inlineStr">
        <is>
          <t>behavior service</t>
        </is>
      </c>
      <c r="I58" s="15" t="inlineStr">
        <is>
          <t>operations</t>
        </is>
      </c>
      <c r="J58" s="11" t="inlineStr">
        <is>
          <t>-</t>
        </is>
      </c>
      <c r="K58" s="14" t="inlineStr">
        <is>
          <t>Express an agent's goal, scope, tools and limits as a versioned artifact.</t>
        </is>
      </c>
      <c r="L58" s="14" t="inlineStr">
        <is>
          <t>A2A Agent Card · Microsoft Foundry prompt agents · OTel create_agent</t>
        </is>
      </c>
      <c r="M58" s="14" t="inlineStr">
        <is>
          <t>4.4.1 (required-enabler), 7.7.2 (required-enabler)</t>
        </is>
      </c>
      <c r="N58" s="16" t="inlineStr">
        <is>
          <t>Yes</t>
        </is>
      </c>
      <c r="O58" s="16" t="inlineStr"/>
    </row>
    <row r="59" ht="50" customHeight="1">
      <c r="A59" s="11" t="inlineStr">
        <is>
          <t>S5</t>
        </is>
      </c>
      <c r="B59" s="15" t="inlineStr">
        <is>
          <t>Agent &amp; Orchestration</t>
        </is>
      </c>
      <c r="C59" s="12" t="inlineStr">
        <is>
          <t>S5.3</t>
        </is>
      </c>
      <c r="D59" s="13" t="inlineStr">
        <is>
          <t>Tool &amp; Function Calling</t>
        </is>
      </c>
      <c r="E59" s="42" t="inlineStr">
        <is>
          <t>SVC</t>
        </is>
      </c>
      <c r="F59" s="43" t="inlineStr">
        <is>
          <t>either</t>
        </is>
      </c>
      <c r="G59" s="11" t="inlineStr">
        <is>
          <t>application</t>
        </is>
      </c>
      <c r="H59" s="11" t="inlineStr">
        <is>
          <t>behavior service</t>
        </is>
      </c>
      <c r="I59" s="15" t="inlineStr">
        <is>
          <t>operations</t>
        </is>
      </c>
      <c r="J59" s="11" t="inlineStr">
        <is>
          <t>-</t>
        </is>
      </c>
      <c r="K59" s="14" t="inlineStr">
        <is>
          <t>Let a model invoke a declared, typed capability and consume its result.</t>
        </is>
      </c>
      <c r="L59" s="14" t="inlineStr">
        <is>
          <t>MCP Tools primitive · OTel execute_tool · IBM (tool management / tool calling)</t>
        </is>
      </c>
      <c r="M59" s="14" t="inlineStr">
        <is>
          <t>4.5.2 (required-enabler), 4.4.1 (required-enabler)</t>
        </is>
      </c>
      <c r="N59" s="16" t="inlineStr">
        <is>
          <t>Yes</t>
        </is>
      </c>
      <c r="O59" s="16" t="inlineStr"/>
    </row>
    <row r="60" ht="50" customHeight="1">
      <c r="A60" s="11" t="inlineStr">
        <is>
          <t>S5</t>
        </is>
      </c>
      <c r="B60" s="15" t="inlineStr">
        <is>
          <t>Agent &amp; Orchestration</t>
        </is>
      </c>
      <c r="C60" s="12" t="inlineStr">
        <is>
          <t>S5.4</t>
        </is>
      </c>
      <c r="D60" s="13" t="inlineStr">
        <is>
          <t>Agent Orchestrator Runtime</t>
        </is>
      </c>
      <c r="E60" s="44" t="inlineStr">
        <is>
          <t>ABB</t>
        </is>
      </c>
      <c r="F60" s="43" t="inlineStr"/>
      <c r="G60" s="11" t="inlineStr">
        <is>
          <t>application</t>
        </is>
      </c>
      <c r="H60" s="11" t="inlineStr">
        <is>
          <t>behavior service</t>
        </is>
      </c>
      <c r="I60" s="15" t="inlineStr">
        <is>
          <t>operations</t>
        </is>
      </c>
      <c r="J60" s="11" t="inlineStr">
        <is>
          <t>-</t>
        </is>
      </c>
      <c r="K60" s="14" t="inlineStr">
        <is>
          <t>Executes a coordination topology over several agents, routing work and consolidating results.</t>
        </is>
      </c>
      <c r="L60" s="14" t="inlineStr">
        <is>
          <t>AWS Bedrock AgentCore · SAP agentic orchestration · IBM routing &amp; orchestration · OWASP ASI08 Cascading Failures</t>
        </is>
      </c>
      <c r="M60" s="14" t="inlineStr">
        <is>
          <t>4.4.3 (required-enabler)</t>
        </is>
      </c>
      <c r="N60" s="16" t="inlineStr">
        <is>
          <t>Yes</t>
        </is>
      </c>
      <c r="O60" s="16" t="inlineStr"/>
    </row>
    <row r="61" ht="50" customHeight="1">
      <c r="A61" s="11" t="inlineStr">
        <is>
          <t>S5</t>
        </is>
      </c>
      <c r="B61" s="15" t="inlineStr">
        <is>
          <t>Agent &amp; Orchestration</t>
        </is>
      </c>
      <c r="C61" s="12" t="inlineStr">
        <is>
          <t>S5.5</t>
        </is>
      </c>
      <c r="D61" s="13" t="inlineStr">
        <is>
          <t>Agent-to-Agent Interoperability</t>
        </is>
      </c>
      <c r="E61" s="44" t="inlineStr">
        <is>
          <t>ABB</t>
        </is>
      </c>
      <c r="F61" s="43" t="inlineStr"/>
      <c r="G61" s="11" t="inlineStr">
        <is>
          <t>application</t>
        </is>
      </c>
      <c r="H61" s="11" t="inlineStr">
        <is>
          <t>behavior service</t>
        </is>
      </c>
      <c r="I61" s="15" t="inlineStr">
        <is>
          <t>operations</t>
        </is>
      </c>
      <c r="J61" s="11" t="inlineStr">
        <is>
          <t>S10.2</t>
        </is>
      </c>
      <c r="K61" s="14" t="inlineStr">
        <is>
          <t>Let agents from different owners discover and transact with one another.</t>
        </is>
      </c>
      <c r="L61" s="14" t="inlineStr">
        <is>
          <t>A2A 1.0.0 (Agent Card, Task, Message, Part, Artifact) · SAP Agent Gateway / Bring Your Own Agent · Microsoft Entra Agent ID (A2A support)</t>
        </is>
      </c>
      <c r="M61" s="14" t="inlineStr">
        <is>
          <t>4.4.3 (required-enabler), 4.5.4 (required-enabler)</t>
        </is>
      </c>
      <c r="N61" s="16" t="inlineStr">
        <is>
          <t>Yes</t>
        </is>
      </c>
      <c r="O61" s="16" t="inlineStr"/>
    </row>
    <row r="62" ht="50" customHeight="1">
      <c r="A62" s="11" t="inlineStr">
        <is>
          <t>S5</t>
        </is>
      </c>
      <c r="B62" s="15" t="inlineStr">
        <is>
          <t>Agent &amp; Orchestration</t>
        </is>
      </c>
      <c r="C62" s="12" t="inlineStr">
        <is>
          <t>S5.6</t>
        </is>
      </c>
      <c r="D62" s="13" t="inlineStr">
        <is>
          <t>Deterministic Workflow Orchestration</t>
        </is>
      </c>
      <c r="E62" s="44" t="inlineStr">
        <is>
          <t>ABB</t>
        </is>
      </c>
      <c r="F62" s="43" t="inlineStr"/>
      <c r="G62" s="11" t="inlineStr">
        <is>
          <t>application</t>
        </is>
      </c>
      <c r="H62" s="11" t="inlineStr">
        <is>
          <t>behavior service</t>
        </is>
      </c>
      <c r="I62" s="15" t="inlineStr">
        <is>
          <t>operations</t>
        </is>
      </c>
      <c r="J62" s="11" t="inlineStr">
        <is>
          <t>-</t>
        </is>
      </c>
      <c r="K62" s="14" t="inlineStr">
        <is>
          <t>Run a fixed sequence of steps where autonomy is not wanted.</t>
        </is>
      </c>
      <c r="L62" s="14" t="inlineStr">
        <is>
          <t>OTel invoke_workflow · Azure Logic Apps / Durable Functions pattern</t>
        </is>
      </c>
      <c r="M62" s="14" t="inlineStr">
        <is>
          <t>4.4.6 (required-enabler), 2.4.2 (required-enabler)</t>
        </is>
      </c>
      <c r="N62" s="16" t="inlineStr"/>
      <c r="O62" s="16" t="inlineStr"/>
    </row>
    <row r="63" ht="50" customHeight="1">
      <c r="A63" s="11" t="inlineStr">
        <is>
          <t>S5</t>
        </is>
      </c>
      <c r="B63" s="15" t="inlineStr">
        <is>
          <t>Agent &amp; Orchestration</t>
        </is>
      </c>
      <c r="C63" s="12" t="inlineStr">
        <is>
          <t>S5.7</t>
        </is>
      </c>
      <c r="D63" s="13" t="inlineStr">
        <is>
          <t>Session &amp; Short-Term Memory</t>
        </is>
      </c>
      <c r="E63" s="44" t="inlineStr">
        <is>
          <t>ABB</t>
        </is>
      </c>
      <c r="F63" s="43" t="inlineStr"/>
      <c r="G63" s="11" t="inlineStr">
        <is>
          <t>application</t>
        </is>
      </c>
      <c r="H63" s="11" t="inlineStr">
        <is>
          <t>behavior service</t>
        </is>
      </c>
      <c r="I63" s="15" t="inlineStr">
        <is>
          <t>operations</t>
        </is>
      </c>
      <c r="J63" s="11" t="inlineStr">
        <is>
          <t>-</t>
        </is>
      </c>
      <c r="K63" s="14" t="inlineStr">
        <is>
          <t>Retain state within a single interaction or task.</t>
        </is>
      </c>
      <c r="L63" s="14" t="inlineStr">
        <is>
          <t>A2A Task lifecycle · IBM (conversational memory) · OWASP ASI06 Memory &amp; Context Poisoning</t>
        </is>
      </c>
      <c r="M63" s="14" t="inlineStr">
        <is>
          <t>4.4.4 (required-enabler)</t>
        </is>
      </c>
      <c r="N63" s="16" t="inlineStr">
        <is>
          <t>Yes</t>
        </is>
      </c>
      <c r="O63" s="16" t="inlineStr"/>
    </row>
    <row r="64" ht="50" customHeight="1">
      <c r="A64" s="11" t="inlineStr">
        <is>
          <t>S5</t>
        </is>
      </c>
      <c r="B64" s="15" t="inlineStr">
        <is>
          <t>Agent &amp; Orchestration</t>
        </is>
      </c>
      <c r="C64" s="12" t="inlineStr">
        <is>
          <t>S5.8</t>
        </is>
      </c>
      <c r="D64" s="13" t="inlineStr">
        <is>
          <t>Persistent &amp; Long-Term Memory</t>
        </is>
      </c>
      <c r="E64" s="44" t="inlineStr">
        <is>
          <t>ABB</t>
        </is>
      </c>
      <c r="F64" s="43" t="inlineStr"/>
      <c r="G64" s="11" t="inlineStr">
        <is>
          <t>application</t>
        </is>
      </c>
      <c r="H64" s="11" t="inlineStr">
        <is>
          <t>behavior service</t>
        </is>
      </c>
      <c r="I64" s="15" t="inlineStr">
        <is>
          <t>operations</t>
        </is>
      </c>
      <c r="J64" s="11" t="inlineStr">
        <is>
          <t>-</t>
        </is>
      </c>
      <c r="K64" s="14" t="inlineStr">
        <is>
          <t>Retain state across sessions, with retention and visibility rules.</t>
        </is>
      </c>
      <c r="L64" s="14" t="inlineStr">
        <is>
          <t>AWS Bedrock AgentCore Memory · OWASP ASI06 · ISO/IEC 42001 (records)</t>
        </is>
      </c>
      <c r="M64" s="14" t="inlineStr">
        <is>
          <t>4.4.4 (required-enabler), 3.1.4 (required-enabler)</t>
        </is>
      </c>
      <c r="N64" s="16" t="inlineStr">
        <is>
          <t>Yes</t>
        </is>
      </c>
      <c r="O64" s="16" t="inlineStr"/>
    </row>
    <row r="65" ht="50" customHeight="1">
      <c r="A65" s="11" t="inlineStr">
        <is>
          <t>S5</t>
        </is>
      </c>
      <c r="B65" s="15" t="inlineStr">
        <is>
          <t>Agent &amp; Orchestration</t>
        </is>
      </c>
      <c r="C65" s="12" t="inlineStr">
        <is>
          <t>S5.9</t>
        </is>
      </c>
      <c r="D65" s="13" t="inlineStr">
        <is>
          <t>Context Assembly &amp; Management</t>
        </is>
      </c>
      <c r="E65" s="44" t="inlineStr">
        <is>
          <t>ABB</t>
        </is>
      </c>
      <c r="F65" s="43" t="inlineStr"/>
      <c r="G65" s="11" t="inlineStr">
        <is>
          <t>application</t>
        </is>
      </c>
      <c r="H65" s="11" t="inlineStr">
        <is>
          <t>behavior service</t>
        </is>
      </c>
      <c r="I65" s="15" t="inlineStr">
        <is>
          <t>operations</t>
        </is>
      </c>
      <c r="J65" s="11" t="inlineStr">
        <is>
          <t>-</t>
        </is>
      </c>
      <c r="K65" s="14" t="inlineStr">
        <is>
          <t>Select, order and budget what enters the model's context window.</t>
        </is>
      </c>
      <c r="L65" s="14" t="inlineStr">
        <is>
          <t>SAP context engineering · IBM GenAI Capability Model · OTel gen_ai.input.messages</t>
        </is>
      </c>
      <c r="M65" s="14" t="inlineStr">
        <is>
          <t>4.3.3 (required-enabler)</t>
        </is>
      </c>
      <c r="N65" s="16" t="inlineStr">
        <is>
          <t>Yes</t>
        </is>
      </c>
      <c r="O65" s="16" t="inlineStr"/>
    </row>
    <row r="66" ht="50" customHeight="1">
      <c r="A66" s="11" t="inlineStr">
        <is>
          <t>S5</t>
        </is>
      </c>
      <c r="B66" s="15" t="inlineStr">
        <is>
          <t>Agent &amp; Orchestration</t>
        </is>
      </c>
      <c r="C66" s="12" t="inlineStr">
        <is>
          <t>S5.10</t>
        </is>
      </c>
      <c r="D66" s="13" t="inlineStr">
        <is>
          <t>Human-in-the-Loop Interrupt &amp; Approval</t>
        </is>
      </c>
      <c r="E66" s="42" t="inlineStr">
        <is>
          <t>SVC</t>
        </is>
      </c>
      <c r="F66" s="43" t="inlineStr"/>
      <c r="G66" s="11" t="inlineStr">
        <is>
          <t>application</t>
        </is>
      </c>
      <c r="H66" s="11" t="inlineStr">
        <is>
          <t>behavior service</t>
        </is>
      </c>
      <c r="I66" s="15" t="inlineStr">
        <is>
          <t>operations</t>
        </is>
      </c>
      <c r="J66" s="11" t="inlineStr">
        <is>
          <t>-</t>
        </is>
      </c>
      <c r="K66" s="14" t="inlineStr">
        <is>
          <t>Route a decision or action to a person before it takes effect.</t>
        </is>
      </c>
      <c r="L66" s="14" t="inlineStr">
        <is>
          <t>Amazon Augmented AI / A2I (maintenance mode, Jul 2026) · MCP Elicitation primitive · IMDA MGF for Agentic AI</t>
        </is>
      </c>
      <c r="M66" s="14" t="inlineStr">
        <is>
          <t>2.5.2 (required-enabler), 2.5.4 (required-enabler), 7.2.3 (required-enabler)</t>
        </is>
      </c>
      <c r="N66" s="16" t="inlineStr">
        <is>
          <t>Yes</t>
        </is>
      </c>
      <c r="O66" s="16" t="inlineStr"/>
    </row>
    <row r="67" ht="50" customHeight="1">
      <c r="A67" s="11" t="inlineStr">
        <is>
          <t>S5</t>
        </is>
      </c>
      <c r="B67" s="15" t="inlineStr">
        <is>
          <t>Agent &amp; Orchestration</t>
        </is>
      </c>
      <c r="C67" s="12" t="inlineStr">
        <is>
          <t>S5.11</t>
        </is>
      </c>
      <c r="D67" s="13" t="inlineStr">
        <is>
          <t>Task State &amp; Long-Running Job Management</t>
        </is>
      </c>
      <c r="E67" s="44" t="inlineStr">
        <is>
          <t>ABB</t>
        </is>
      </c>
      <c r="F67" s="43" t="inlineStr"/>
      <c r="G67" s="11" t="inlineStr">
        <is>
          <t>application</t>
        </is>
      </c>
      <c r="H67" s="11" t="inlineStr">
        <is>
          <t>behavior service</t>
        </is>
      </c>
      <c r="I67" s="15" t="inlineStr">
        <is>
          <t>operations</t>
        </is>
      </c>
      <c r="J67" s="11" t="inlineStr">
        <is>
          <t>-</t>
        </is>
      </c>
      <c r="K67" s="14" t="inlineStr">
        <is>
          <t>Track work that outlives a single request, including resumption and cancellation.</t>
        </is>
      </c>
      <c r="L67" s="14" t="inlineStr">
        <is>
          <t>MCP Tasks extension (2026-07-28) · A2A Task states (WORKING, INPUT_REQUIRED, AUTH_REQUIRED, COMPLETED, FAILED, CANCELED, REJECTED)</t>
        </is>
      </c>
      <c r="M67" s="14" t="inlineStr">
        <is>
          <t>4.4.6 (required-enabler), 6.1.1 (required-enabler)</t>
        </is>
      </c>
      <c r="N67" s="16" t="inlineStr">
        <is>
          <t>Yes</t>
        </is>
      </c>
      <c r="O67" s="16" t="inlineStr"/>
    </row>
    <row r="68" ht="50" customHeight="1">
      <c r="A68" s="11" t="inlineStr">
        <is>
          <t>S5</t>
        </is>
      </c>
      <c r="B68" s="15" t="inlineStr">
        <is>
          <t>Agent &amp; Orchestration</t>
        </is>
      </c>
      <c r="C68" s="12" t="inlineStr">
        <is>
          <t>S5.12</t>
        </is>
      </c>
      <c r="D68" s="13" t="inlineStr">
        <is>
          <t>Sandboxed Code Execution</t>
        </is>
      </c>
      <c r="E68" s="42" t="inlineStr">
        <is>
          <t>SVC</t>
        </is>
      </c>
      <c r="F68" s="43" t="inlineStr"/>
      <c r="G68" s="11" t="inlineStr">
        <is>
          <t>technology</t>
        </is>
      </c>
      <c r="H68" s="11" t="inlineStr">
        <is>
          <t>active structure</t>
        </is>
      </c>
      <c r="I68" s="15" t="inlineStr">
        <is>
          <t>operations</t>
        </is>
      </c>
      <c r="J68" s="11" t="inlineStr">
        <is>
          <t>-</t>
        </is>
      </c>
      <c r="K68" s="14" t="inlineStr">
        <is>
          <t>Execute generated code in an isolated environment with bounded effect.</t>
        </is>
      </c>
      <c r="L68" s="14" t="inlineStr">
        <is>
          <t>Google Agent Runtime (Gemini Enterprise Agent Platform) · SAP harness engineering · OWASP ASI05 Unexpected Code Execution</t>
        </is>
      </c>
      <c r="M68" s="14" t="inlineStr">
        <is>
          <t>4.4.5 (required-enabler), 7.4.5 (required-enabler)</t>
        </is>
      </c>
      <c r="N68" s="16" t="inlineStr">
        <is>
          <t>Yes</t>
        </is>
      </c>
      <c r="O68" s="16" t="inlineStr"/>
    </row>
    <row r="69" ht="50" customHeight="1">
      <c r="A69" s="11" t="inlineStr">
        <is>
          <t>S5</t>
        </is>
      </c>
      <c r="B69" s="15" t="inlineStr">
        <is>
          <t>Agent &amp; Orchestration</t>
        </is>
      </c>
      <c r="C69" s="12" t="inlineStr">
        <is>
          <t>S5.13</t>
        </is>
      </c>
      <c r="D69" s="13" t="inlineStr">
        <is>
          <t>Termination, Budget &amp; Loop Control</t>
        </is>
      </c>
      <c r="E69" s="44" t="inlineStr">
        <is>
          <t>ABB</t>
        </is>
      </c>
      <c r="F69" s="43" t="inlineStr"/>
      <c r="G69" s="11" t="inlineStr">
        <is>
          <t>application</t>
        </is>
      </c>
      <c r="H69" s="11" t="inlineStr">
        <is>
          <t>behavior service</t>
        </is>
      </c>
      <c r="I69" s="15" t="inlineStr">
        <is>
          <t>operations</t>
        </is>
      </c>
      <c r="J69" s="11" t="inlineStr">
        <is>
          <t>-</t>
        </is>
      </c>
      <c r="K69" s="14" t="inlineStr">
        <is>
          <t>Stop an agent on cost, time, step-count or repetition conditions.</t>
        </is>
      </c>
      <c r="L69" s="14" t="inlineStr">
        <is>
          <t>OWASP GenAI - Unbounded Consumption · SAP harness engineering</t>
        </is>
      </c>
      <c r="M69" s="14" t="inlineStr">
        <is>
          <t>4.4.6 (required-enabler), 6.5.1 (operational-support)</t>
        </is>
      </c>
      <c r="N69" s="16" t="inlineStr">
        <is>
          <t>Yes</t>
        </is>
      </c>
      <c r="O69" s="16" t="inlineStr"/>
    </row>
    <row r="70" ht="50" customHeight="1">
      <c r="A70" s="11" t="inlineStr">
        <is>
          <t>S5</t>
        </is>
      </c>
      <c r="B70" s="15" t="inlineStr">
        <is>
          <t>Agent &amp; Orchestration</t>
        </is>
      </c>
      <c r="C70" s="12" t="inlineStr">
        <is>
          <t>S5.14</t>
        </is>
      </c>
      <c r="D70" s="13" t="inlineStr">
        <is>
          <t>Agent Skill Packaging &amp; Distribution</t>
        </is>
      </c>
      <c r="E70" s="44" t="inlineStr">
        <is>
          <t>ABB</t>
        </is>
      </c>
      <c r="F70" s="43" t="inlineStr"/>
      <c r="G70" s="11" t="inlineStr">
        <is>
          <t>application</t>
        </is>
      </c>
      <c r="H70" s="11" t="inlineStr">
        <is>
          <t>behavior service</t>
        </is>
      </c>
      <c r="I70" s="15" t="inlineStr">
        <is>
          <t>operations</t>
        </is>
      </c>
      <c r="J70" s="11" t="inlineStr">
        <is>
          <t>-</t>
        </is>
      </c>
      <c r="K70" s="14" t="inlineStr">
        <is>
          <t>Package reusable agent competence for discovery and reuse.</t>
        </is>
      </c>
      <c r="L70" s="14" t="inlineStr">
        <is>
          <t>MCP Skills over MCP working group - SEP-2640, in review · Google Skill Registry · Azure API Center (skills inventory)</t>
        </is>
      </c>
      <c r="M70" s="14" t="inlineStr">
        <is>
          <t>5.6.4 (required-enabler), 5.5.1 (required-enabler)</t>
        </is>
      </c>
      <c r="N70" s="16" t="inlineStr">
        <is>
          <t>Yes</t>
        </is>
      </c>
      <c r="O70" s="16" t="inlineStr"/>
    </row>
    <row r="71" ht="50" customHeight="1">
      <c r="A71" s="11" t="inlineStr">
        <is>
          <t>S5</t>
        </is>
      </c>
      <c r="B71" s="15" t="inlineStr">
        <is>
          <t>Agent &amp; Orchestration</t>
        </is>
      </c>
      <c r="C71" s="12" t="inlineStr">
        <is>
          <t>S5.15</t>
        </is>
      </c>
      <c r="D71" s="13" t="inlineStr">
        <is>
          <t>Multi-Agent Coordination Patterns</t>
        </is>
      </c>
      <c r="E71" s="28" t="inlineStr">
        <is>
          <t>PAT</t>
        </is>
      </c>
      <c r="F71" s="43" t="inlineStr"/>
      <c r="G71" s="11" t="inlineStr">
        <is>
          <t>application</t>
        </is>
      </c>
      <c r="H71" s="11" t="inlineStr">
        <is>
          <t>behavior service</t>
        </is>
      </c>
      <c r="I71" s="15" t="inlineStr">
        <is>
          <t>operations</t>
        </is>
      </c>
      <c r="J71" s="11" t="inlineStr">
        <is>
          <t>-</t>
        </is>
      </c>
      <c r="K71" s="14" t="inlineStr">
        <is>
          <t>Named topologies for agent collaboration: supervisor/worker, handoff, sequential, concurrent fan-out, group, hierarchical, reviewer/debate and event-driven.</t>
        </is>
      </c>
      <c r="L71" s="14" t="inlineStr">
        <is>
          <t>AWS Bedrock AgentCore · SAP AI-native North Star architecture · OWASP GenAI - Cascading Failures</t>
        </is>
      </c>
      <c r="M71" s="14" t="inlineStr">
        <is>
          <t>4.4.3 (required-enabler)</t>
        </is>
      </c>
      <c r="N71" s="16" t="inlineStr">
        <is>
          <t>Yes</t>
        </is>
      </c>
      <c r="O71" s="16" t="inlineStr"/>
    </row>
    <row r="72" ht="50" customHeight="1">
      <c r="A72" s="11" t="inlineStr">
        <is>
          <t>S6</t>
        </is>
      </c>
      <c r="B72" s="15" t="inlineStr">
        <is>
          <t>Integration, Gateway &amp; Registry</t>
        </is>
      </c>
      <c r="C72" s="12" t="inlineStr">
        <is>
          <t>S6.1</t>
        </is>
      </c>
      <c r="D72" s="13" t="inlineStr">
        <is>
          <t>Model Gateway &amp; Unified Inference API</t>
        </is>
      </c>
      <c r="E72" s="42" t="inlineStr">
        <is>
          <t>SVC</t>
        </is>
      </c>
      <c r="F72" s="43" t="inlineStr">
        <is>
          <t>either</t>
        </is>
      </c>
      <c r="G72" s="11" t="inlineStr">
        <is>
          <t>application</t>
        </is>
      </c>
      <c r="H72" s="11" t="inlineStr">
        <is>
          <t>behavior service</t>
        </is>
      </c>
      <c r="I72" s="15" t="inlineStr">
        <is>
          <t>integration, security</t>
        </is>
      </c>
      <c r="J72" s="11" t="inlineStr">
        <is>
          <t>-</t>
        </is>
      </c>
      <c r="K72" s="14" t="inlineStr">
        <is>
          <t>Front several model providers behind one governed endpoint and schema.</t>
        </is>
      </c>
      <c r="L72" s="14" t="inlineStr">
        <is>
          <t>Azure APIM AI gateway (unified model API) · AWS Bedrock · IBM (Model Hub / Model Hosting)</t>
        </is>
      </c>
      <c r="M72" s="14" t="inlineStr">
        <is>
          <t>5.2.2 (required-enabler), 5.2.1 (required-enabler)</t>
        </is>
      </c>
      <c r="N72" s="16" t="inlineStr"/>
      <c r="O72" s="16" t="inlineStr"/>
    </row>
    <row r="73" ht="50" customHeight="1">
      <c r="A73" s="11" t="inlineStr">
        <is>
          <t>S6</t>
        </is>
      </c>
      <c r="B73" s="15" t="inlineStr">
        <is>
          <t>Integration, Gateway &amp; Registry</t>
        </is>
      </c>
      <c r="C73" s="12" t="inlineStr">
        <is>
          <t>S6.2</t>
        </is>
      </c>
      <c r="D73" s="13" t="inlineStr">
        <is>
          <t>Model Routing &amp; Fallback</t>
        </is>
      </c>
      <c r="E73" s="44" t="inlineStr">
        <is>
          <t>ABB</t>
        </is>
      </c>
      <c r="F73" s="43" t="inlineStr"/>
      <c r="G73" s="11" t="inlineStr">
        <is>
          <t>application</t>
        </is>
      </c>
      <c r="H73" s="11" t="inlineStr">
        <is>
          <t>behavior service</t>
        </is>
      </c>
      <c r="I73" s="15" t="inlineStr">
        <is>
          <t>integration, security</t>
        </is>
      </c>
      <c r="J73" s="11" t="inlineStr">
        <is>
          <t>-</t>
        </is>
      </c>
      <c r="K73" s="14" t="inlineStr">
        <is>
          <t>Direct each request to an appropriate model on cost, capability or availability.</t>
        </is>
      </c>
      <c r="L73" s="14" t="inlineStr">
        <is>
          <t>AWS Bedrock Intelligent Prompt Routing · IBM (model routing)</t>
        </is>
      </c>
      <c r="M73" s="14" t="inlineStr">
        <is>
          <t>5.2.2 (required-enabler), 5.2.5 (required-enabler), 6.5.4 (operational-support)</t>
        </is>
      </c>
      <c r="N73" s="16" t="inlineStr"/>
      <c r="O73" s="16" t="inlineStr"/>
    </row>
    <row r="74" ht="50" customHeight="1">
      <c r="A74" s="11" t="inlineStr">
        <is>
          <t>S6</t>
        </is>
      </c>
      <c r="B74" s="15" t="inlineStr">
        <is>
          <t>Integration, Gateway &amp; Registry</t>
        </is>
      </c>
      <c r="C74" s="12" t="inlineStr">
        <is>
          <t>S6.3</t>
        </is>
      </c>
      <c r="D74" s="13" t="inlineStr">
        <is>
          <t>MCP Server Adapter</t>
        </is>
      </c>
      <c r="E74" s="44" t="inlineStr">
        <is>
          <t>ABB</t>
        </is>
      </c>
      <c r="F74" s="43" t="inlineStr"/>
      <c r="G74" s="11" t="inlineStr">
        <is>
          <t>application</t>
        </is>
      </c>
      <c r="H74" s="11" t="inlineStr">
        <is>
          <t>behavior service</t>
        </is>
      </c>
      <c r="I74" s="15" t="inlineStr">
        <is>
          <t>integration, security</t>
        </is>
      </c>
      <c r="J74" s="11" t="inlineStr">
        <is>
          <t>S10.1</t>
        </is>
      </c>
      <c r="K74" s="14" t="inlineStr">
        <is>
          <t>Expose an institutional capability to AI clients as an MCP server.</t>
        </is>
      </c>
      <c r="L74" s="14" t="inlineStr">
        <is>
          <t>MCP spec 2026-07-28 (Resources, Prompts, Tools) · Azure APIM MCP server support · SAP MCP Gateway</t>
        </is>
      </c>
      <c r="M74" s="14" t="inlineStr">
        <is>
          <t>4.5.3 (required-enabler), 4.5.5 (required-enabler)</t>
        </is>
      </c>
      <c r="N74" s="16" t="inlineStr">
        <is>
          <t>Yes</t>
        </is>
      </c>
      <c r="O74" s="16" t="inlineStr"/>
    </row>
    <row r="75" ht="50" customHeight="1">
      <c r="A75" s="11" t="inlineStr">
        <is>
          <t>S6</t>
        </is>
      </c>
      <c r="B75" s="15" t="inlineStr">
        <is>
          <t>Integration, Gateway &amp; Registry</t>
        </is>
      </c>
      <c r="C75" s="12" t="inlineStr">
        <is>
          <t>S6.4</t>
        </is>
      </c>
      <c r="D75" s="13" t="inlineStr">
        <is>
          <t>MCP Client Adapter</t>
        </is>
      </c>
      <c r="E75" s="44" t="inlineStr">
        <is>
          <t>ABB</t>
        </is>
      </c>
      <c r="F75" s="43" t="inlineStr"/>
      <c r="G75" s="11" t="inlineStr">
        <is>
          <t>application</t>
        </is>
      </c>
      <c r="H75" s="11" t="inlineStr">
        <is>
          <t>behavior service</t>
        </is>
      </c>
      <c r="I75" s="15" t="inlineStr">
        <is>
          <t>integration, security</t>
        </is>
      </c>
      <c r="J75" s="11" t="inlineStr">
        <is>
          <t>S10.1</t>
        </is>
      </c>
      <c r="K75" s="14" t="inlineStr">
        <is>
          <t>Consume external MCP servers from an institutional AI client.</t>
        </is>
      </c>
      <c r="L75" s="14" t="inlineStr">
        <is>
          <t>MCP spec 2026-07-28 (Elicitation; Streamable HTTP)</t>
        </is>
      </c>
      <c r="M75" s="14" t="inlineStr">
        <is>
          <t>4.5.3 (required-enabler), 5.5.4 (required-enabler)</t>
        </is>
      </c>
      <c r="N75" s="16" t="inlineStr">
        <is>
          <t>Yes</t>
        </is>
      </c>
      <c r="O75" s="16" t="inlineStr"/>
    </row>
    <row r="76" ht="50" customHeight="1">
      <c r="A76" s="11" t="inlineStr">
        <is>
          <t>S6</t>
        </is>
      </c>
      <c r="B76" s="15" t="inlineStr">
        <is>
          <t>Integration, Gateway &amp; Registry</t>
        </is>
      </c>
      <c r="C76" s="12" t="inlineStr">
        <is>
          <t>S6.5</t>
        </is>
      </c>
      <c r="D76" s="13" t="inlineStr">
        <is>
          <t>MCP Gateway</t>
        </is>
      </c>
      <c r="E76" s="42" t="inlineStr">
        <is>
          <t>SVC</t>
        </is>
      </c>
      <c r="F76" s="43" t="inlineStr">
        <is>
          <t>either</t>
        </is>
      </c>
      <c r="G76" s="11" t="inlineStr">
        <is>
          <t>application</t>
        </is>
      </c>
      <c r="H76" s="11" t="inlineStr">
        <is>
          <t>behavior service</t>
        </is>
      </c>
      <c r="I76" s="15" t="inlineStr">
        <is>
          <t>integration, security</t>
        </is>
      </c>
      <c r="J76" s="11" t="inlineStr">
        <is>
          <t>S10.1</t>
        </is>
      </c>
      <c r="K76" s="14" t="inlineStr">
        <is>
          <t>Terminates tool-protocol traffic at a policy enforcement point and forwards to approved backends.</t>
        </is>
      </c>
      <c r="L76" s="14" t="inlineStr">
        <is>
          <t>Azure APIM AI Gateway tier (federated MCP endpoint) · SAP MCP Gateway · AWS AgentCore Gateway</t>
        </is>
      </c>
      <c r="M76" s="14" t="inlineStr">
        <is>
          <t>5.2.2 (required-enabler), 5.5.3 (required-enabler), 7.4.5 (control-enforcer)</t>
        </is>
      </c>
      <c r="N76" s="16" t="inlineStr">
        <is>
          <t>Yes</t>
        </is>
      </c>
      <c r="O76" s="16" t="inlineStr"/>
    </row>
    <row r="77" ht="50" customHeight="1">
      <c r="A77" s="11" t="inlineStr">
        <is>
          <t>S6</t>
        </is>
      </c>
      <c r="B77" s="15" t="inlineStr">
        <is>
          <t>Integration, Gateway &amp; Registry</t>
        </is>
      </c>
      <c r="C77" s="12" t="inlineStr">
        <is>
          <t>S6.6</t>
        </is>
      </c>
      <c r="D77" s="13" t="inlineStr">
        <is>
          <t>Approved Tool &amp; Server Registry</t>
        </is>
      </c>
      <c r="E77" s="44" t="inlineStr">
        <is>
          <t>ABB</t>
        </is>
      </c>
      <c r="F77" s="43" t="inlineStr">
        <is>
          <t>either</t>
        </is>
      </c>
      <c r="G77" s="11" t="inlineStr">
        <is>
          <t>application</t>
        </is>
      </c>
      <c r="H77" s="11" t="inlineStr">
        <is>
          <t>behavior service</t>
        </is>
      </c>
      <c r="I77" s="15" t="inlineStr">
        <is>
          <t>integration, security</t>
        </is>
      </c>
      <c r="J77" s="11" t="inlineStr">
        <is>
          <t>-</t>
        </is>
      </c>
      <c r="K77" s="14" t="inlineStr">
        <is>
          <t>Holds the institution's approved tool servers and their approval state; distinct from any public registry.</t>
        </is>
      </c>
      <c r="L77" s="14" t="inlineStr">
        <is>
          <t>Official MCP Registry (preview, API frozen at v0.1) · Azure API Center (mcp_registry_search / fetch) · Google Agent Registry · Microsoft Agent 365</t>
        </is>
      </c>
      <c r="M77" s="14" t="inlineStr">
        <is>
          <t>5.5.1 (required-enabler), 5.5.2 (required-enabler)</t>
        </is>
      </c>
      <c r="N77" s="16" t="inlineStr">
        <is>
          <t>Yes</t>
        </is>
      </c>
      <c r="O77" s="16" t="inlineStr"/>
    </row>
    <row r="78" ht="50" customHeight="1">
      <c r="A78" s="11" t="inlineStr">
        <is>
          <t>S6</t>
        </is>
      </c>
      <c r="B78" s="15" t="inlineStr">
        <is>
          <t>Integration, Gateway &amp; Registry</t>
        </is>
      </c>
      <c r="C78" s="12" t="inlineStr">
        <is>
          <t>S6.7</t>
        </is>
      </c>
      <c r="D78" s="13" t="inlineStr">
        <is>
          <t>Third-Party Connector Integration</t>
        </is>
      </c>
      <c r="E78" s="44" t="inlineStr">
        <is>
          <t>ABB</t>
        </is>
      </c>
      <c r="F78" s="43" t="inlineStr"/>
      <c r="G78" s="11" t="inlineStr">
        <is>
          <t>application</t>
        </is>
      </c>
      <c r="H78" s="11" t="inlineStr">
        <is>
          <t>behavior service</t>
        </is>
      </c>
      <c r="I78" s="15" t="inlineStr">
        <is>
          <t>integration, security</t>
        </is>
      </c>
      <c r="J78" s="11" t="inlineStr">
        <is>
          <t>-</t>
        </is>
      </c>
      <c r="K78" s="14" t="inlineStr">
        <is>
          <t>Reach external SaaS and partner systems through governed connectors.</t>
        </is>
      </c>
      <c r="L78" s="14" t="inlineStr">
        <is>
          <t>Azure APIM · MCP ecosystem · Microsoft Entra (third-party agent integration)</t>
        </is>
      </c>
      <c r="M78" s="14" t="inlineStr">
        <is>
          <t>4.5.1 (required-enabler), 5.5.4 (required-enabler)</t>
        </is>
      </c>
      <c r="N78" s="16" t="inlineStr">
        <is>
          <t>Yes</t>
        </is>
      </c>
      <c r="O78" s="16" t="inlineStr"/>
    </row>
    <row r="79" ht="50" customHeight="1">
      <c r="A79" s="11" t="inlineStr">
        <is>
          <t>S6</t>
        </is>
      </c>
      <c r="B79" s="15" t="inlineStr">
        <is>
          <t>Integration, Gateway &amp; Registry</t>
        </is>
      </c>
      <c r="C79" s="12" t="inlineStr">
        <is>
          <t>S6.8</t>
        </is>
      </c>
      <c r="D79" s="13" t="inlineStr">
        <is>
          <t>Identity Propagation &amp; Delegated Authorization</t>
        </is>
      </c>
      <c r="E79" s="42" t="inlineStr">
        <is>
          <t>SVC</t>
        </is>
      </c>
      <c r="F79" s="43" t="inlineStr">
        <is>
          <t>either</t>
        </is>
      </c>
      <c r="G79" s="11" t="inlineStr">
        <is>
          <t>application</t>
        </is>
      </c>
      <c r="H79" s="11" t="inlineStr">
        <is>
          <t>behavior service</t>
        </is>
      </c>
      <c r="I79" s="15" t="inlineStr">
        <is>
          <t>integration, security</t>
        </is>
      </c>
      <c r="J79" s="11" t="inlineStr">
        <is>
          <t>S10.5</t>
        </is>
      </c>
      <c r="K79" s="14" t="inlineStr">
        <is>
          <t>Exchanges the calling user's token for a downstream credential carrying that user's identity and scoped consent.</t>
        </is>
      </c>
      <c r="L79" s="14" t="inlineStr">
        <is>
          <t>OAuth 2.0 on-behalf-of · MCP authorization (RFC 9207 iss validation, CIMD) · Azure Entra</t>
        </is>
      </c>
      <c r="M79" s="14" t="inlineStr">
        <is>
          <t>4.5.4 (required-enabler), 7.4.5 (control-enforcer)</t>
        </is>
      </c>
      <c r="N79" s="16" t="inlineStr">
        <is>
          <t>Yes</t>
        </is>
      </c>
      <c r="O79" s="16" t="inlineStr"/>
    </row>
    <row r="80" ht="50" customHeight="1">
      <c r="A80" s="11" t="inlineStr">
        <is>
          <t>S6</t>
        </is>
      </c>
      <c r="B80" s="15" t="inlineStr">
        <is>
          <t>Integration, Gateway &amp; Registry</t>
        </is>
      </c>
      <c r="C80" s="12" t="inlineStr">
        <is>
          <t>S6.9</t>
        </is>
      </c>
      <c r="D80" s="13" t="inlineStr">
        <is>
          <t>Agent Identity &amp; Credential Issuance</t>
        </is>
      </c>
      <c r="E80" s="44" t="inlineStr">
        <is>
          <t>ABB</t>
        </is>
      </c>
      <c r="F80" s="43" t="inlineStr">
        <is>
          <t>either</t>
        </is>
      </c>
      <c r="G80" s="11" t="inlineStr">
        <is>
          <t>application</t>
        </is>
      </c>
      <c r="H80" s="11" t="inlineStr">
        <is>
          <t>behavior service</t>
        </is>
      </c>
      <c r="I80" s="15" t="inlineStr">
        <is>
          <t>integration, security</t>
        </is>
      </c>
      <c r="J80" s="11" t="inlineStr">
        <is>
          <t>S10.5</t>
        </is>
      </c>
      <c r="K80" s="14" t="inlineStr">
        <is>
          <t>Give each agent a distinct, sponsored, revocable identity.</t>
        </is>
      </c>
      <c r="L80" s="14" t="inlineStr">
        <is>
          <t>Microsoft Entra Agent ID (blueprint / blueprint principal / agent identity / agent user) · CSA Agentic Identity Governance Framework v1 (draft white paper) · OpenID Foundation AI Identity CG · OWASP ASI03 Identity &amp; Privilege Abuse</t>
        </is>
      </c>
      <c r="M80" s="14" t="inlineStr">
        <is>
          <t>7.4.4 (control-enforcer), 7.7.2 (control-enforcer)</t>
        </is>
      </c>
      <c r="N80" s="16" t="inlineStr">
        <is>
          <t>Yes</t>
        </is>
      </c>
      <c r="O80" s="16" t="inlineStr"/>
    </row>
    <row r="81" ht="50" customHeight="1">
      <c r="A81" s="11" t="inlineStr">
        <is>
          <t>S6</t>
        </is>
      </c>
      <c r="B81" s="15" t="inlineStr">
        <is>
          <t>Integration, Gateway &amp; Registry</t>
        </is>
      </c>
      <c r="C81" s="12" t="inlineStr">
        <is>
          <t>S6.10</t>
        </is>
      </c>
      <c r="D81" s="13" t="inlineStr">
        <is>
          <t>Rate Limiting, Quota &amp; Throttling</t>
        </is>
      </c>
      <c r="E81" s="44" t="inlineStr">
        <is>
          <t>ABB</t>
        </is>
      </c>
      <c r="F81" s="43" t="inlineStr"/>
      <c r="G81" s="11" t="inlineStr">
        <is>
          <t>application</t>
        </is>
      </c>
      <c r="H81" s="11" t="inlineStr">
        <is>
          <t>behavior service</t>
        </is>
      </c>
      <c r="I81" s="15" t="inlineStr">
        <is>
          <t>integration, security</t>
        </is>
      </c>
      <c r="J81" s="11" t="inlineStr">
        <is>
          <t>-</t>
        </is>
      </c>
      <c r="K81" s="14" t="inlineStr">
        <is>
          <t>Bound consumption per consumer, per model and per tool.</t>
        </is>
      </c>
      <c r="L81" s="14" t="inlineStr">
        <is>
          <t>Azure APIM · OWASP GenAI - Unbounded Consumption</t>
        </is>
      </c>
      <c r="M81" s="14" t="inlineStr">
        <is>
          <t>5.2.3 (required-enabler), 6.5.2 (required-enabler)</t>
        </is>
      </c>
      <c r="N81" s="16" t="inlineStr"/>
      <c r="O81" s="16" t="inlineStr"/>
    </row>
    <row r="82" ht="50" customHeight="1">
      <c r="A82" s="11" t="inlineStr">
        <is>
          <t>S6</t>
        </is>
      </c>
      <c r="B82" s="15" t="inlineStr">
        <is>
          <t>Integration, Gateway &amp; Registry</t>
        </is>
      </c>
      <c r="C82" s="12" t="inlineStr">
        <is>
          <t>S6.11</t>
        </is>
      </c>
      <c r="D82" s="13" t="inlineStr">
        <is>
          <t>Semantic &amp; Prompt Caching</t>
        </is>
      </c>
      <c r="E82" s="44" t="inlineStr">
        <is>
          <t>ABB</t>
        </is>
      </c>
      <c r="F82" s="43" t="inlineStr"/>
      <c r="G82" s="11" t="inlineStr">
        <is>
          <t>application</t>
        </is>
      </c>
      <c r="H82" s="11" t="inlineStr">
        <is>
          <t>behavior service</t>
        </is>
      </c>
      <c r="I82" s="15" t="inlineStr">
        <is>
          <t>integration, security</t>
        </is>
      </c>
      <c r="J82" s="11" t="inlineStr">
        <is>
          <t>-</t>
        </is>
      </c>
      <c r="K82" s="14" t="inlineStr">
        <is>
          <t>Reuse prior results to cut latency and cost.</t>
        </is>
      </c>
      <c r="L82" s="14" t="inlineStr">
        <is>
          <t>AWS Bedrock prompt caching · Azure APIM semantic caching · MCP cacheScope / ttlMs</t>
        </is>
      </c>
      <c r="M82" s="14" t="inlineStr">
        <is>
          <t>6.5.4 (operational-support), 5.2.2 (required-enabler)</t>
        </is>
      </c>
      <c r="N82" s="16" t="inlineStr"/>
      <c r="O82" s="16" t="inlineStr"/>
    </row>
    <row r="83" ht="50" customHeight="1">
      <c r="A83" s="11" t="inlineStr">
        <is>
          <t>S6</t>
        </is>
      </c>
      <c r="B83" s="15" t="inlineStr">
        <is>
          <t>Integration, Gateway &amp; Registry</t>
        </is>
      </c>
      <c r="C83" s="12" t="inlineStr">
        <is>
          <t>S6.12</t>
        </is>
      </c>
      <c r="D83" s="13" t="inlineStr">
        <is>
          <t>Event &amp; Message Integration</t>
        </is>
      </c>
      <c r="E83" s="44" t="inlineStr">
        <is>
          <t>ABB</t>
        </is>
      </c>
      <c r="F83" s="43" t="inlineStr"/>
      <c r="G83" s="11" t="inlineStr">
        <is>
          <t>application</t>
        </is>
      </c>
      <c r="H83" s="11" t="inlineStr">
        <is>
          <t>behavior service</t>
        </is>
      </c>
      <c r="I83" s="15" t="inlineStr">
        <is>
          <t>integration, security</t>
        </is>
      </c>
      <c r="J83" s="11" t="inlineStr">
        <is>
          <t>-</t>
        </is>
      </c>
      <c r="K83" s="14" t="inlineStr">
        <is>
          <t>Trigger AI work from, and emit results to, institutional event streams.</t>
        </is>
      </c>
      <c r="L83" s="14" t="inlineStr">
        <is>
          <t>SAP process layer (APIs/events) · A2A push-notification webhooks</t>
        </is>
      </c>
      <c r="M83" s="14" t="inlineStr">
        <is>
          <t>4.5.1 (required-enabler)</t>
        </is>
      </c>
      <c r="N83" s="16" t="inlineStr"/>
      <c r="O83" s="16" t="inlineStr"/>
    </row>
    <row r="84" ht="50" customHeight="1">
      <c r="A84" s="11" t="inlineStr">
        <is>
          <t>S6</t>
        </is>
      </c>
      <c r="B84" s="15" t="inlineStr">
        <is>
          <t>Integration, Gateway &amp; Registry</t>
        </is>
      </c>
      <c r="C84" s="12" t="inlineStr">
        <is>
          <t>S6.13</t>
        </is>
      </c>
      <c r="D84" s="13" t="inlineStr">
        <is>
          <t>Business Capability API Exposure</t>
        </is>
      </c>
      <c r="E84" s="44" t="inlineStr">
        <is>
          <t>ABB</t>
        </is>
      </c>
      <c r="F84" s="43" t="inlineStr"/>
      <c r="G84" s="11" t="inlineStr">
        <is>
          <t>application</t>
        </is>
      </c>
      <c r="H84" s="11" t="inlineStr">
        <is>
          <t>behavior service</t>
        </is>
      </c>
      <c r="I84" s="15" t="inlineStr">
        <is>
          <t>integration, security</t>
        </is>
      </c>
      <c r="J84" s="11" t="inlineStr">
        <is>
          <t>-</t>
        </is>
      </c>
      <c r="K84" s="14" t="inlineStr">
        <is>
          <t>Publish institutional business functions as callable, contracted APIs for AI to use.</t>
        </is>
      </c>
      <c r="L84" s="14" t="inlineStr">
        <is>
          <t>SAP process layer (applications as capability providers) · Azure API Center</t>
        </is>
      </c>
      <c r="M84" s="14" t="inlineStr">
        <is>
          <t>4.5.1 (required-enabler), 4.5.5 (required-enabler)</t>
        </is>
      </c>
      <c r="N84" s="16" t="inlineStr"/>
      <c r="O84" s="16" t="inlineStr"/>
    </row>
    <row r="85" ht="50" customHeight="1">
      <c r="A85" s="11" t="inlineStr">
        <is>
          <t>S6</t>
        </is>
      </c>
      <c r="B85" s="15" t="inlineStr">
        <is>
          <t>Integration, Gateway &amp; Registry</t>
        </is>
      </c>
      <c r="C85" s="12" t="inlineStr">
        <is>
          <t>S6.14</t>
        </is>
      </c>
      <c r="D85" s="13" t="inlineStr">
        <is>
          <t>Brokered External Federation Pattern</t>
        </is>
      </c>
      <c r="E85" s="28" t="inlineStr">
        <is>
          <t>PAT</t>
        </is>
      </c>
      <c r="F85" s="43" t="inlineStr"/>
      <c r="G85" s="11" t="inlineStr">
        <is>
          <t>application</t>
        </is>
      </c>
      <c r="H85" s="11" t="inlineStr">
        <is>
          <t>behavior service</t>
        </is>
      </c>
      <c r="I85" s="15" t="inlineStr">
        <is>
          <t>integration, security</t>
        </is>
      </c>
      <c r="J85" s="11" t="inlineStr">
        <is>
          <t>S10.1</t>
        </is>
      </c>
      <c r="K85" s="14" t="inlineStr">
        <is>
          <t>Composes Gateway, Registry, Delegated Authorization, Runtime Action Policy and Audit ABBs to admit third-party tool servers across a trust boundary.</t>
        </is>
      </c>
      <c r="L85" s="14" t="inlineStr">
        <is>
          <t>SAP AI-native North Star architecture · Azure API Management AI gateway</t>
        </is>
      </c>
      <c r="M85" s="14" t="inlineStr">
        <is>
          <t>5.5.3 (required-enabler), 7.4.5 (control-enforcer)</t>
        </is>
      </c>
      <c r="N85" s="16" t="inlineStr">
        <is>
          <t>Yes</t>
        </is>
      </c>
      <c r="O85" s="16" t="inlineStr"/>
    </row>
    <row r="86" ht="50" customHeight="1">
      <c r="A86" s="11" t="inlineStr">
        <is>
          <t>S6</t>
        </is>
      </c>
      <c r="B86" s="15" t="inlineStr">
        <is>
          <t>Integration, Gateway &amp; Registry</t>
        </is>
      </c>
      <c r="C86" s="12" t="inlineStr">
        <is>
          <t>S6.15</t>
        </is>
      </c>
      <c r="D86" s="13" t="inlineStr">
        <is>
          <t>Agent &amp; Skill Discovery Catalog</t>
        </is>
      </c>
      <c r="E86" s="44" t="inlineStr">
        <is>
          <t>ABB</t>
        </is>
      </c>
      <c r="F86" s="43" t="inlineStr"/>
      <c r="G86" s="11" t="inlineStr">
        <is>
          <t>application</t>
        </is>
      </c>
      <c r="H86" s="11" t="inlineStr">
        <is>
          <t>behavior service</t>
        </is>
      </c>
      <c r="I86" s="15" t="inlineStr">
        <is>
          <t>integration, security</t>
        </is>
      </c>
      <c r="J86" s="11" t="inlineStr">
        <is>
          <t>S10.2</t>
        </is>
      </c>
      <c r="K86" s="14" t="inlineStr">
        <is>
          <t>Publishes discoverable agent and skill descriptors for internal consumers, separate from the approval registry.</t>
        </is>
      </c>
      <c r="L86" s="14" t="inlineStr">
        <is>
          <t>Google Agent Registry · A2A Agent Card · MCP Skills over MCP working group - SEP-2640, in review</t>
        </is>
      </c>
      <c r="M86" s="14" t="inlineStr">
        <is>
          <t>7.7.2 (control-enforcer), 5.6.4 (required-enabler)</t>
        </is>
      </c>
      <c r="N86" s="16" t="inlineStr">
        <is>
          <t>Yes</t>
        </is>
      </c>
      <c r="O86" s="16" t="inlineStr"/>
    </row>
    <row r="87" ht="50" customHeight="1">
      <c r="A87" s="11" t="inlineStr">
        <is>
          <t>S7</t>
        </is>
      </c>
      <c r="B87" s="15" t="inlineStr">
        <is>
          <t>Guardrail, Safety &amp; Assurance</t>
        </is>
      </c>
      <c r="C87" s="12" t="inlineStr">
        <is>
          <t>S7.1</t>
        </is>
      </c>
      <c r="D87" s="13" t="inlineStr">
        <is>
          <t>Input Content Filtering</t>
        </is>
      </c>
      <c r="E87" s="42" t="inlineStr">
        <is>
          <t>SVC</t>
        </is>
      </c>
      <c r="F87" s="43" t="inlineStr"/>
      <c r="G87" s="11" t="inlineStr">
        <is>
          <t>application</t>
        </is>
      </c>
      <c r="H87" s="11" t="inlineStr">
        <is>
          <t>behavior service</t>
        </is>
      </c>
      <c r="I87" s="15" t="inlineStr">
        <is>
          <t>control, safety</t>
        </is>
      </c>
      <c r="J87" s="11" t="inlineStr">
        <is>
          <t>-</t>
        </is>
      </c>
      <c r="K87" s="14" t="inlineStr">
        <is>
          <t>Screen incoming content for harmful or disallowed material before it reaches a model.</t>
        </is>
      </c>
      <c r="L87" s="14" t="inlineStr">
        <is>
          <t>Azure Content Safety (text/image/multimodal) · AWS Bedrock Guardrails</t>
        </is>
      </c>
      <c r="M87" s="14" t="inlineStr">
        <is>
          <t>7.4.6 (control-enforcer), 7.2.1 (control-enforcer)</t>
        </is>
      </c>
      <c r="N87" s="16" t="inlineStr"/>
      <c r="O87" s="16" t="inlineStr"/>
    </row>
    <row r="88" ht="50" customHeight="1">
      <c r="A88" s="11" t="inlineStr">
        <is>
          <t>S7</t>
        </is>
      </c>
      <c r="B88" s="15" t="inlineStr">
        <is>
          <t>Guardrail, Safety &amp; Assurance</t>
        </is>
      </c>
      <c r="C88" s="12" t="inlineStr">
        <is>
          <t>S7.2</t>
        </is>
      </c>
      <c r="D88" s="13" t="inlineStr">
        <is>
          <t>Output Content Filtering</t>
        </is>
      </c>
      <c r="E88" s="42" t="inlineStr">
        <is>
          <t>SVC</t>
        </is>
      </c>
      <c r="F88" s="43" t="inlineStr"/>
      <c r="G88" s="11" t="inlineStr">
        <is>
          <t>application</t>
        </is>
      </c>
      <c r="H88" s="11" t="inlineStr">
        <is>
          <t>behavior service</t>
        </is>
      </c>
      <c r="I88" s="15" t="inlineStr">
        <is>
          <t>control, safety</t>
        </is>
      </c>
      <c r="J88" s="11" t="inlineStr">
        <is>
          <t>-</t>
        </is>
      </c>
      <c r="K88" s="14" t="inlineStr">
        <is>
          <t>Screen generated content before it reaches its recipient.</t>
        </is>
      </c>
      <c r="L88" s="14" t="inlineStr">
        <is>
          <t>Azure Content Safety · AWS Bedrock Guardrails · NIST AI 600-1 (Dangerous / Obscene Content)</t>
        </is>
      </c>
      <c r="M88" s="14" t="inlineStr">
        <is>
          <t>7.4.6 (control-enforcer)</t>
        </is>
      </c>
      <c r="N88" s="16" t="inlineStr"/>
      <c r="O88" s="16" t="inlineStr"/>
    </row>
    <row r="89" ht="50" customHeight="1">
      <c r="A89" s="11" t="inlineStr">
        <is>
          <t>S7</t>
        </is>
      </c>
      <c r="B89" s="15" t="inlineStr">
        <is>
          <t>Guardrail, Safety &amp; Assurance</t>
        </is>
      </c>
      <c r="C89" s="12" t="inlineStr">
        <is>
          <t>S7.3</t>
        </is>
      </c>
      <c r="D89" s="13" t="inlineStr">
        <is>
          <t>Sensitive Data Redaction &amp; Masking</t>
        </is>
      </c>
      <c r="E89" s="42" t="inlineStr">
        <is>
          <t>SVC</t>
        </is>
      </c>
      <c r="F89" s="43" t="inlineStr"/>
      <c r="G89" s="11" t="inlineStr">
        <is>
          <t>application</t>
        </is>
      </c>
      <c r="H89" s="11" t="inlineStr">
        <is>
          <t>behavior service</t>
        </is>
      </c>
      <c r="I89" s="15" t="inlineStr">
        <is>
          <t>control, safety</t>
        </is>
      </c>
      <c r="J89" s="11" t="inlineStr">
        <is>
          <t>-</t>
        </is>
      </c>
      <c r="K89" s="14" t="inlineStr">
        <is>
          <t>Transforms detected sensitive spans by masking, tokenizing or removing them before storage or transmission.</t>
        </is>
      </c>
      <c r="L89" s="14" t="inlineStr">
        <is>
          <t>Azure Language PII detection · ISO/IEC 27701 · OWASP GenAI - Sensitive Information Disclosure</t>
        </is>
      </c>
      <c r="M89" s="14" t="inlineStr">
        <is>
          <t>7.5.2 (control-enforcer), 7.5.4 (control-enforcer), 3.1.2 (control-enforcer)</t>
        </is>
      </c>
      <c r="N89" s="16" t="inlineStr"/>
      <c r="O89" s="16" t="inlineStr">
        <is>
          <t>Elevated</t>
        </is>
      </c>
    </row>
    <row r="90" ht="50" customHeight="1">
      <c r="A90" s="11" t="inlineStr">
        <is>
          <t>S7</t>
        </is>
      </c>
      <c r="B90" s="15" t="inlineStr">
        <is>
          <t>Guardrail, Safety &amp; Assurance</t>
        </is>
      </c>
      <c r="C90" s="12" t="inlineStr">
        <is>
          <t>S7.4</t>
        </is>
      </c>
      <c r="D90" s="13" t="inlineStr">
        <is>
          <t>Prompt Injection &amp; Jailbreak Detection</t>
        </is>
      </c>
      <c r="E90" s="42" t="inlineStr">
        <is>
          <t>SVC</t>
        </is>
      </c>
      <c r="F90" s="43" t="inlineStr"/>
      <c r="G90" s="11" t="inlineStr">
        <is>
          <t>application</t>
        </is>
      </c>
      <c r="H90" s="11" t="inlineStr">
        <is>
          <t>behavior service</t>
        </is>
      </c>
      <c r="I90" s="15" t="inlineStr">
        <is>
          <t>control, safety</t>
        </is>
      </c>
      <c r="J90" s="11" t="inlineStr">
        <is>
          <t>-</t>
        </is>
      </c>
      <c r="K90" s="14" t="inlineStr">
        <is>
          <t>Detect attempts to subvert instructions, directly or through retrieved content.</t>
        </is>
      </c>
      <c r="L90" s="14" t="inlineStr">
        <is>
          <t>Azure Prompt Shields (jailbreak + indirect injection) · OWASP GenAI - Prompt Injection · OWASP ASI01 Agent Goal Hijack</t>
        </is>
      </c>
      <c r="M90" s="14" t="inlineStr">
        <is>
          <t>7.4.3 (control-enforcer)</t>
        </is>
      </c>
      <c r="N90" s="16" t="inlineStr">
        <is>
          <t>Yes</t>
        </is>
      </c>
      <c r="O90" s="16" t="inlineStr"/>
    </row>
    <row r="91" ht="50" customHeight="1">
      <c r="A91" s="11" t="inlineStr">
        <is>
          <t>S7</t>
        </is>
      </c>
      <c r="B91" s="15" t="inlineStr">
        <is>
          <t>Guardrail, Safety &amp; Assurance</t>
        </is>
      </c>
      <c r="C91" s="12" t="inlineStr">
        <is>
          <t>S7.5</t>
        </is>
      </c>
      <c r="D91" s="13" t="inlineStr">
        <is>
          <t>Groundedness &amp; Hallucination Detection</t>
        </is>
      </c>
      <c r="E91" s="42" t="inlineStr">
        <is>
          <t>SVC</t>
        </is>
      </c>
      <c r="F91" s="43" t="inlineStr">
        <is>
          <t>either</t>
        </is>
      </c>
      <c r="G91" s="11" t="inlineStr">
        <is>
          <t>application</t>
        </is>
      </c>
      <c r="H91" s="11" t="inlineStr">
        <is>
          <t>behavior service</t>
        </is>
      </c>
      <c r="I91" s="15" t="inlineStr">
        <is>
          <t>control, safety</t>
        </is>
      </c>
      <c r="J91" s="11" t="inlineStr">
        <is>
          <t>-</t>
        </is>
      </c>
      <c r="K91" s="14" t="inlineStr">
        <is>
          <t>Test whether an assertion is supported by the supplied source material.</t>
        </is>
      </c>
      <c r="L91" s="14" t="inlineStr">
        <is>
          <t>Azure Content Safety groundedness detection (+ correction) · NIST AI 600-1 (Confabulation) · OWASP GenAI - Misinformation</t>
        </is>
      </c>
      <c r="M91" s="14" t="inlineStr">
        <is>
          <t>6.3.1 (evidence-provider), 3.6.5 (required-enabler)</t>
        </is>
      </c>
      <c r="N91" s="16" t="inlineStr"/>
      <c r="O91" s="16" t="inlineStr"/>
    </row>
    <row r="92" ht="50" customHeight="1">
      <c r="A92" s="11" t="inlineStr">
        <is>
          <t>S7</t>
        </is>
      </c>
      <c r="B92" s="15" t="inlineStr">
        <is>
          <t>Guardrail, Safety &amp; Assurance</t>
        </is>
      </c>
      <c r="C92" s="12" t="inlineStr">
        <is>
          <t>S7.6</t>
        </is>
      </c>
      <c r="D92" s="13" t="inlineStr">
        <is>
          <t>Topic &amp; Scope Enforcement</t>
        </is>
      </c>
      <c r="E92" s="42" t="inlineStr">
        <is>
          <t>SVC</t>
        </is>
      </c>
      <c r="F92" s="43" t="inlineStr"/>
      <c r="G92" s="11" t="inlineStr">
        <is>
          <t>application</t>
        </is>
      </c>
      <c r="H92" s="11" t="inlineStr">
        <is>
          <t>behavior service</t>
        </is>
      </c>
      <c r="I92" s="15" t="inlineStr">
        <is>
          <t>control, safety</t>
        </is>
      </c>
      <c r="J92" s="11" t="inlineStr">
        <is>
          <t>-</t>
        </is>
      </c>
      <c r="K92" s="14" t="inlineStr">
        <is>
          <t>Keep a system inside its declared purpose and refuse out-of-scope requests.</t>
        </is>
      </c>
      <c r="L92" s="14" t="inlineStr">
        <is>
          <t>AWS Bedrock Guardrails denied topics · Azure Content Safety custom categories</t>
        </is>
      </c>
      <c r="M92" s="14" t="inlineStr">
        <is>
          <t>7.1.6 (control-enforcer), 4.4.5 (control-enforcer)</t>
        </is>
      </c>
      <c r="N92" s="16" t="inlineStr"/>
      <c r="O92" s="16" t="inlineStr"/>
    </row>
    <row r="93" ht="50" customHeight="1">
      <c r="A93" s="11" t="inlineStr">
        <is>
          <t>S7</t>
        </is>
      </c>
      <c r="B93" s="15" t="inlineStr">
        <is>
          <t>Guardrail, Safety &amp; Assurance</t>
        </is>
      </c>
      <c r="C93" s="12" t="inlineStr">
        <is>
          <t>S7.7</t>
        </is>
      </c>
      <c r="D93" s="13" t="inlineStr">
        <is>
          <t>Protected Material &amp; IP Leakage Detection</t>
        </is>
      </c>
      <c r="E93" s="42" t="inlineStr">
        <is>
          <t>SVC</t>
        </is>
      </c>
      <c r="F93" s="43" t="inlineStr"/>
      <c r="G93" s="11" t="inlineStr">
        <is>
          <t>application</t>
        </is>
      </c>
      <c r="H93" s="11" t="inlineStr">
        <is>
          <t>behavior service</t>
        </is>
      </c>
      <c r="I93" s="15" t="inlineStr">
        <is>
          <t>control, safety</t>
        </is>
      </c>
      <c r="J93" s="11" t="inlineStr">
        <is>
          <t>-</t>
        </is>
      </c>
      <c r="K93" s="14" t="inlineStr">
        <is>
          <t>Detect reproduction of copyrighted or protected content in output.</t>
        </is>
      </c>
      <c r="L93" s="14" t="inlineStr">
        <is>
          <t>Azure Content Safety protected material (text and code) · OWASP GenAI - Hidden Context Exposure</t>
        </is>
      </c>
      <c r="M93" s="14" t="inlineStr">
        <is>
          <t>7.6.3 (control-enforcer), 7.5.4 (control-enforcer)</t>
        </is>
      </c>
      <c r="N93" s="16" t="inlineStr"/>
      <c r="O93" s="16" t="inlineStr">
        <is>
          <t>Elevated</t>
        </is>
      </c>
    </row>
    <row r="94" ht="50" customHeight="1">
      <c r="A94" s="11" t="inlineStr">
        <is>
          <t>S7</t>
        </is>
      </c>
      <c r="B94" s="15" t="inlineStr">
        <is>
          <t>Guardrail, Safety &amp; Assurance</t>
        </is>
      </c>
      <c r="C94" s="12" t="inlineStr">
        <is>
          <t>S7.8</t>
        </is>
      </c>
      <c r="D94" s="13" t="inlineStr">
        <is>
          <t>Agent Action &amp; Task Adherence Monitoring</t>
        </is>
      </c>
      <c r="E94" s="42" t="inlineStr">
        <is>
          <t>SVC</t>
        </is>
      </c>
      <c r="F94" s="43" t="inlineStr"/>
      <c r="G94" s="11" t="inlineStr">
        <is>
          <t>application</t>
        </is>
      </c>
      <c r="H94" s="11" t="inlineStr">
        <is>
          <t>behavior service</t>
        </is>
      </c>
      <c r="I94" s="15" t="inlineStr">
        <is>
          <t>control, safety</t>
        </is>
      </c>
      <c r="J94" s="11" t="inlineStr">
        <is>
          <t>-</t>
        </is>
      </c>
      <c r="K94" s="14" t="inlineStr">
        <is>
          <t>Detect tool calls and actions that are misaligned, premature or outside the agent's remit.</t>
        </is>
      </c>
      <c r="L94" s="14" t="inlineStr">
        <is>
          <t>Azure Content Safety Task Adherence API · OWASP ASI02 Tool Misuse · OWASP GenAI - Excessive Agency</t>
        </is>
      </c>
      <c r="M94" s="14" t="inlineStr">
        <is>
          <t>7.2.3 (control-enforcer), 6.2.3 (control-enforcer)</t>
        </is>
      </c>
      <c r="N94" s="16" t="inlineStr">
        <is>
          <t>Yes</t>
        </is>
      </c>
      <c r="O94" s="16" t="inlineStr"/>
    </row>
    <row r="95" ht="50" customHeight="1">
      <c r="A95" s="11" t="inlineStr">
        <is>
          <t>S7</t>
        </is>
      </c>
      <c r="B95" s="15" t="inlineStr">
        <is>
          <t>Guardrail, Safety &amp; Assurance</t>
        </is>
      </c>
      <c r="C95" s="12" t="inlineStr">
        <is>
          <t>S7.9</t>
        </is>
      </c>
      <c r="D95" s="13" t="inlineStr">
        <is>
          <t>Runtime Action Authorization &amp; Gating</t>
        </is>
      </c>
      <c r="E95" s="44" t="inlineStr">
        <is>
          <t>ABB</t>
        </is>
      </c>
      <c r="F95" s="43" t="inlineStr">
        <is>
          <t>either</t>
        </is>
      </c>
      <c r="G95" s="11" t="inlineStr">
        <is>
          <t>application</t>
        </is>
      </c>
      <c r="H95" s="11" t="inlineStr">
        <is>
          <t>behavior service</t>
        </is>
      </c>
      <c r="I95" s="15" t="inlineStr">
        <is>
          <t>control, safety</t>
        </is>
      </c>
      <c r="J95" s="11" t="inlineStr">
        <is>
          <t>-</t>
        </is>
      </c>
      <c r="K95" s="14" t="inlineStr">
        <is>
          <t>Decide, at the moment of the call, whether an agent may perform a consequential action.</t>
        </is>
      </c>
      <c r="L95" s="14" t="inlineStr">
        <is>
          <t>OWASP ASI03 Identity &amp; Privilege Abuse · CSA MAESTRO · SAP harness engineering</t>
        </is>
      </c>
      <c r="M95" s="14" t="inlineStr">
        <is>
          <t>7.4.5 (control-enforcer), 4.4.5 (control-enforcer)</t>
        </is>
      </c>
      <c r="N95" s="16" t="inlineStr">
        <is>
          <t>Yes</t>
        </is>
      </c>
      <c r="O95" s="16" t="inlineStr"/>
    </row>
    <row r="96" ht="50" customHeight="1">
      <c r="A96" s="11" t="inlineStr">
        <is>
          <t>S7</t>
        </is>
      </c>
      <c r="B96" s="15" t="inlineStr">
        <is>
          <t>Guardrail, Safety &amp; Assurance</t>
        </is>
      </c>
      <c r="C96" s="12" t="inlineStr">
        <is>
          <t>S7.10</t>
        </is>
      </c>
      <c r="D96" s="13" t="inlineStr">
        <is>
          <t>Output Provenance &amp; Watermarking</t>
        </is>
      </c>
      <c r="E96" s="44" t="inlineStr">
        <is>
          <t>ABB</t>
        </is>
      </c>
      <c r="F96" s="43" t="inlineStr"/>
      <c r="G96" s="11" t="inlineStr">
        <is>
          <t>application</t>
        </is>
      </c>
      <c r="H96" s="11" t="inlineStr">
        <is>
          <t>behavior service</t>
        </is>
      </c>
      <c r="I96" s="15" t="inlineStr">
        <is>
          <t>control, safety</t>
        </is>
      </c>
      <c r="J96" s="11" t="inlineStr">
        <is>
          <t>S10.4</t>
        </is>
      </c>
      <c r="K96" s="14" t="inlineStr">
        <is>
          <t>Mark generated content so downstream consumers can establish origin.</t>
        </is>
      </c>
      <c r="L96" s="14" t="inlineStr">
        <is>
          <t>C2PA 2.4 (trainedAlgorithmicMedia, Content Credentials) · CAWG training &amp; data mining assertion 1.1</t>
        </is>
      </c>
      <c r="M96" s="14" t="inlineStr">
        <is>
          <t>7.2.2 (control-enforcer), 7.6.4 (control-enforcer)</t>
        </is>
      </c>
      <c r="N96" s="16" t="inlineStr"/>
      <c r="O96" s="16" t="inlineStr">
        <is>
          <t>Elevated</t>
        </is>
      </c>
    </row>
    <row r="97" ht="50" customHeight="1">
      <c r="A97" s="11" t="inlineStr">
        <is>
          <t>S7</t>
        </is>
      </c>
      <c r="B97" s="15" t="inlineStr">
        <is>
          <t>Guardrail, Safety &amp; Assurance</t>
        </is>
      </c>
      <c r="C97" s="12" t="inlineStr">
        <is>
          <t>S7.11</t>
        </is>
      </c>
      <c r="D97" s="13" t="inlineStr">
        <is>
          <t>Abuse &amp; Unbounded-Consumption Detection</t>
        </is>
      </c>
      <c r="E97" s="44" t="inlineStr">
        <is>
          <t>ABB</t>
        </is>
      </c>
      <c r="F97" s="43" t="inlineStr"/>
      <c r="G97" s="11" t="inlineStr">
        <is>
          <t>application</t>
        </is>
      </c>
      <c r="H97" s="11" t="inlineStr">
        <is>
          <t>behavior service</t>
        </is>
      </c>
      <c r="I97" s="15" t="inlineStr">
        <is>
          <t>control, safety</t>
        </is>
      </c>
      <c r="J97" s="11" t="inlineStr">
        <is>
          <t>-</t>
        </is>
      </c>
      <c r="K97" s="14" t="inlineStr">
        <is>
          <t>Detect misuse patterns and runaway resource consumption.</t>
        </is>
      </c>
      <c r="L97" s="14" t="inlineStr">
        <is>
          <t>OWASP GenAI - Unbounded Consumption · OWASP ASI10 Rogue Agents</t>
        </is>
      </c>
      <c r="M97" s="14" t="inlineStr">
        <is>
          <t>7.4.7 (control-enforcer), 6.5.1 (operational-support)</t>
        </is>
      </c>
      <c r="N97" s="16" t="inlineStr">
        <is>
          <t>Yes</t>
        </is>
      </c>
      <c r="O97" s="16" t="inlineStr"/>
    </row>
    <row r="98" ht="50" customHeight="1">
      <c r="A98" s="11" t="inlineStr">
        <is>
          <t>S7</t>
        </is>
      </c>
      <c r="B98" s="15" t="inlineStr">
        <is>
          <t>Guardrail, Safety &amp; Assurance</t>
        </is>
      </c>
      <c r="C98" s="12" t="inlineStr">
        <is>
          <t>S7.12</t>
        </is>
      </c>
      <c r="D98" s="13" t="inlineStr">
        <is>
          <t>AI-Channel Data Loss Prevention</t>
        </is>
      </c>
      <c r="E98" s="44" t="inlineStr">
        <is>
          <t>ABB</t>
        </is>
      </c>
      <c r="F98" s="43" t="inlineStr"/>
      <c r="G98" s="11" t="inlineStr">
        <is>
          <t>application</t>
        </is>
      </c>
      <c r="H98" s="11" t="inlineStr">
        <is>
          <t>behavior service</t>
        </is>
      </c>
      <c r="I98" s="15" t="inlineStr">
        <is>
          <t>control, safety</t>
        </is>
      </c>
      <c r="J98" s="11" t="inlineStr">
        <is>
          <t>-</t>
        </is>
      </c>
      <c r="K98" s="14" t="inlineStr">
        <is>
          <t>Inspects prompts, tool arguments and outputs against classification labels and blocks or quarantines transfers that breach policy.</t>
        </is>
      </c>
      <c r="L98" s="14" t="inlineStr">
        <is>
          <t>OWASP GenAI - Sensitive Information Disclosure · ISO/IEC 27001 · Azure Content Safety</t>
        </is>
      </c>
      <c r="M98" s="14" t="inlineStr">
        <is>
          <t>7.5.4 (control-enforcer), 7.4.6 (control-enforcer)</t>
        </is>
      </c>
      <c r="N98" s="16" t="inlineStr"/>
      <c r="O98" s="16" t="inlineStr">
        <is>
          <t>Elevated</t>
        </is>
      </c>
    </row>
    <row r="99" ht="50" customHeight="1">
      <c r="A99" s="11" t="inlineStr">
        <is>
          <t>S7</t>
        </is>
      </c>
      <c r="B99" s="15" t="inlineStr">
        <is>
          <t>Guardrail, Safety &amp; Assurance</t>
        </is>
      </c>
      <c r="C99" s="12" t="inlineStr">
        <is>
          <t>S7.13</t>
        </is>
      </c>
      <c r="D99" s="13" t="inlineStr">
        <is>
          <t>Emergency Stop &amp; Capability Revocation</t>
        </is>
      </c>
      <c r="E99" s="42" t="inlineStr">
        <is>
          <t>SVC</t>
        </is>
      </c>
      <c r="F99" s="43" t="inlineStr">
        <is>
          <t>either</t>
        </is>
      </c>
      <c r="G99" s="11" t="inlineStr">
        <is>
          <t>application</t>
        </is>
      </c>
      <c r="H99" s="11" t="inlineStr">
        <is>
          <t>behavior service</t>
        </is>
      </c>
      <c r="I99" s="15" t="inlineStr">
        <is>
          <t>control, safety</t>
        </is>
      </c>
      <c r="J99" s="11" t="inlineStr">
        <is>
          <t>-</t>
        </is>
      </c>
      <c r="K99" s="14" t="inlineStr">
        <is>
          <t>Halts inference and agent execution and revokes agent credentials and tool grants across the fleet, from a single tested trigger.</t>
        </is>
      </c>
      <c r="L99" s="14" t="inlineStr">
        <is>
          <t>OWASP GenAI - Excessive Agency · IMDA Model AI Governance Framework · CSA MAESTRO</t>
        </is>
      </c>
      <c r="M99" s="14" t="inlineStr">
        <is>
          <t>6.4.2 (control-enforcer), 7.4.4 (control-enforcer), 5.5.3 (control-enforcer)</t>
        </is>
      </c>
      <c r="N99" s="16" t="inlineStr">
        <is>
          <t>Yes</t>
        </is>
      </c>
      <c r="O99" s="16" t="inlineStr"/>
    </row>
    <row r="100" ht="50" customHeight="1">
      <c r="A100" s="11" t="inlineStr">
        <is>
          <t>S7</t>
        </is>
      </c>
      <c r="B100" s="15" t="inlineStr">
        <is>
          <t>Guardrail, Safety &amp; Assurance</t>
        </is>
      </c>
      <c r="C100" s="12" t="inlineStr">
        <is>
          <t>S7.14</t>
        </is>
      </c>
      <c r="D100" s="13" t="inlineStr">
        <is>
          <t>Adversarial Test Harness</t>
        </is>
      </c>
      <c r="E100" s="42" t="inlineStr">
        <is>
          <t>SVC</t>
        </is>
      </c>
      <c r="F100" s="43" t="inlineStr"/>
      <c r="G100" s="11" t="inlineStr">
        <is>
          <t>application</t>
        </is>
      </c>
      <c r="H100" s="11" t="inlineStr">
        <is>
          <t>behavior service</t>
        </is>
      </c>
      <c r="I100" s="15" t="inlineStr">
        <is>
          <t>control, safety</t>
        </is>
      </c>
      <c r="J100" s="11" t="inlineStr">
        <is>
          <t>-</t>
        </is>
      </c>
      <c r="K100" s="14" t="inlineStr">
        <is>
          <t>Runs curated attack suites against a deployed system and records outcomes as reproducible evidence.</t>
        </is>
      </c>
      <c r="L100" s="14" t="inlineStr">
        <is>
          <t>OWASP GenAI Security Project · NIST AI 600-1 Generative AI Profile · MITRE ATLAS</t>
        </is>
      </c>
      <c r="M100" s="14" t="inlineStr">
        <is>
          <t>7.4.7 (evidence-provider), 7.4.1 (operational-support)</t>
        </is>
      </c>
      <c r="N100" s="16" t="inlineStr">
        <is>
          <t>Yes</t>
        </is>
      </c>
      <c r="O100" s="16" t="inlineStr"/>
    </row>
    <row r="101" ht="50" customHeight="1">
      <c r="A101" s="11" t="inlineStr">
        <is>
          <t>S8</t>
        </is>
      </c>
      <c r="B101" s="15" t="inlineStr">
        <is>
          <t>Model, Data &amp; Experiment</t>
        </is>
      </c>
      <c r="C101" s="12" t="inlineStr">
        <is>
          <t>S8.1</t>
        </is>
      </c>
      <c r="D101" s="13" t="inlineStr">
        <is>
          <t>Model Catalog &amp; Marketplace</t>
        </is>
      </c>
      <c r="E101" s="44" t="inlineStr">
        <is>
          <t>ABB</t>
        </is>
      </c>
      <c r="F101" s="43" t="inlineStr"/>
      <c r="G101" s="11" t="inlineStr">
        <is>
          <t>data</t>
        </is>
      </c>
      <c r="H101" s="11" t="inlineStr">
        <is>
          <t>passive structure information</t>
        </is>
      </c>
      <c r="I101" s="15" t="inlineStr">
        <is>
          <t>operations</t>
        </is>
      </c>
      <c r="J101" s="11" t="inlineStr">
        <is>
          <t>-</t>
        </is>
      </c>
      <c r="K101" s="14" t="inlineStr">
        <is>
          <t>Publish the models available to the institution and the terms of their use.</t>
        </is>
      </c>
      <c r="L101" s="14" t="inlineStr">
        <is>
          <t>Microsoft Foundry Models · AWS Bedrock model catalog · Google Model Garden (Gemini Enterprise Agent Platform) · IBM Model Hub</t>
        </is>
      </c>
      <c r="M101" s="14" t="inlineStr">
        <is>
          <t>5.2.1 (required-enabler), 4.2.1 (required-enabler)</t>
        </is>
      </c>
      <c r="N101" s="16" t="inlineStr"/>
      <c r="O101" s="16" t="inlineStr"/>
    </row>
    <row r="102" ht="50" customHeight="1">
      <c r="A102" s="11" t="inlineStr">
        <is>
          <t>S8</t>
        </is>
      </c>
      <c r="B102" s="15" t="inlineStr">
        <is>
          <t>Model, Data &amp; Experiment</t>
        </is>
      </c>
      <c r="C102" s="12" t="inlineStr">
        <is>
          <t>S8.2</t>
        </is>
      </c>
      <c r="D102" s="13" t="inlineStr">
        <is>
          <t>Model Registry &amp; Versioning</t>
        </is>
      </c>
      <c r="E102" s="44" t="inlineStr">
        <is>
          <t>ABB</t>
        </is>
      </c>
      <c r="F102" s="43" t="inlineStr"/>
      <c r="G102" s="11" t="inlineStr">
        <is>
          <t>data</t>
        </is>
      </c>
      <c r="H102" s="11" t="inlineStr">
        <is>
          <t>passive structure information</t>
        </is>
      </c>
      <c r="I102" s="15" t="inlineStr">
        <is>
          <t>operations</t>
        </is>
      </c>
      <c r="J102" s="11" t="inlineStr">
        <is>
          <t>-</t>
        </is>
      </c>
      <c r="K102" s="14" t="inlineStr">
        <is>
          <t>Stores model artifacts with immutable version identifiers, lineage pointers and stage labels, and serves them to deployment.</t>
        </is>
      </c>
      <c r="L102" s="14" t="inlineStr">
        <is>
          <t>LF AI &amp; Data (Model / Parameter) · Google Model Registry (Gemini Enterprise Agent Platform) · MLflow lineage</t>
        </is>
      </c>
      <c r="M102" s="14" t="inlineStr">
        <is>
          <t>4.2.5 (required-enabler)</t>
        </is>
      </c>
      <c r="N102" s="16" t="inlineStr"/>
      <c r="O102" s="16" t="inlineStr"/>
    </row>
    <row r="103" ht="50" customHeight="1">
      <c r="A103" s="11" t="inlineStr">
        <is>
          <t>S8</t>
        </is>
      </c>
      <c r="B103" s="15" t="inlineStr">
        <is>
          <t>Model, Data &amp; Experiment</t>
        </is>
      </c>
      <c r="C103" s="12" t="inlineStr">
        <is>
          <t>S8.3</t>
        </is>
      </c>
      <c r="D103" s="13" t="inlineStr">
        <is>
          <t>Model Serving &amp; Inference Runtime</t>
        </is>
      </c>
      <c r="E103" s="42" t="inlineStr">
        <is>
          <t>SVC</t>
        </is>
      </c>
      <c r="F103" s="43" t="inlineStr">
        <is>
          <t>either</t>
        </is>
      </c>
      <c r="G103" s="11" t="inlineStr">
        <is>
          <t>application</t>
        </is>
      </c>
      <c r="H103" s="11" t="inlineStr">
        <is>
          <t>behavior service</t>
        </is>
      </c>
      <c r="I103" s="15" t="inlineStr">
        <is>
          <t>operations</t>
        </is>
      </c>
      <c r="J103" s="11" t="inlineStr">
        <is>
          <t>-</t>
        </is>
      </c>
      <c r="K103" s="14" t="inlineStr">
        <is>
          <t>Host models and serve inference at required throughput.</t>
        </is>
      </c>
      <c r="L103" s="14" t="inlineStr">
        <is>
          <t>NVIDIA NIM microservices / Triton · Databricks Model Serving · IBM Model Hosting</t>
        </is>
      </c>
      <c r="M103" s="14" t="inlineStr">
        <is>
          <t>6.1.2 (required-enabler), 5.1.1 (required-enabler)</t>
        </is>
      </c>
      <c r="N103" s="16" t="inlineStr"/>
      <c r="O103" s="16" t="inlineStr"/>
    </row>
    <row r="104" ht="50" customHeight="1">
      <c r="A104" s="11" t="inlineStr">
        <is>
          <t>S8</t>
        </is>
      </c>
      <c r="B104" s="15" t="inlineStr">
        <is>
          <t>Model, Data &amp; Experiment</t>
        </is>
      </c>
      <c r="C104" s="12" t="inlineStr">
        <is>
          <t>S8.4</t>
        </is>
      </c>
      <c r="D104" s="13" t="inlineStr">
        <is>
          <t>Batch &amp; Asynchronous Inference</t>
        </is>
      </c>
      <c r="E104" s="42" t="inlineStr">
        <is>
          <t>SVC</t>
        </is>
      </c>
      <c r="F104" s="43" t="inlineStr"/>
      <c r="G104" s="11" t="inlineStr">
        <is>
          <t>application</t>
        </is>
      </c>
      <c r="H104" s="11" t="inlineStr">
        <is>
          <t>behavior service</t>
        </is>
      </c>
      <c r="I104" s="15" t="inlineStr">
        <is>
          <t>operations</t>
        </is>
      </c>
      <c r="J104" s="11" t="inlineStr">
        <is>
          <t>-</t>
        </is>
      </c>
      <c r="K104" s="14" t="inlineStr">
        <is>
          <t>Process large volumes offline where latency is not the constraint.</t>
        </is>
      </c>
      <c r="L104" s="14" t="inlineStr">
        <is>
          <t>AWS Bedrock batch processing · Google Batch Prediction (Gemini Enterprise Agent Platform)</t>
        </is>
      </c>
      <c r="M104" s="14" t="inlineStr">
        <is>
          <t>6.1.2 (required-enabler), 6.5.4 (optional-enabler)</t>
        </is>
      </c>
      <c r="N104" s="16" t="inlineStr"/>
      <c r="O104" s="16" t="inlineStr"/>
    </row>
    <row r="105" ht="50" customHeight="1">
      <c r="A105" s="11" t="inlineStr">
        <is>
          <t>S8</t>
        </is>
      </c>
      <c r="B105" s="15" t="inlineStr">
        <is>
          <t>Model, Data &amp; Experiment</t>
        </is>
      </c>
      <c r="C105" s="12" t="inlineStr">
        <is>
          <t>S8.5</t>
        </is>
      </c>
      <c r="D105" s="13" t="inlineStr">
        <is>
          <t>Fine-Tuning &amp; Adaptation</t>
        </is>
      </c>
      <c r="E105" s="42" t="inlineStr">
        <is>
          <t>SVC</t>
        </is>
      </c>
      <c r="F105" s="43" t="inlineStr">
        <is>
          <t>either</t>
        </is>
      </c>
      <c r="G105" s="11" t="inlineStr">
        <is>
          <t>application</t>
        </is>
      </c>
      <c r="H105" s="11" t="inlineStr">
        <is>
          <t>behavior service</t>
        </is>
      </c>
      <c r="I105" s="15" t="inlineStr">
        <is>
          <t>operations</t>
        </is>
      </c>
      <c r="J105" s="11" t="inlineStr">
        <is>
          <t>-</t>
        </is>
      </c>
      <c r="K105" s="14" t="inlineStr">
        <is>
          <t>Adapt a base model to institutional context and task.</t>
        </is>
      </c>
      <c r="L105" s="14" t="inlineStr">
        <is>
          <t>IBM Model Customization / GenAI Tuning · Microsoft Foundry model customization · ISO/IEC 23053 cl.8 (modelling)</t>
        </is>
      </c>
      <c r="M105" s="14" t="inlineStr">
        <is>
          <t>4.2.2 (optional-enabler)</t>
        </is>
      </c>
      <c r="N105" s="16" t="inlineStr"/>
      <c r="O105" s="16" t="inlineStr"/>
    </row>
    <row r="106" ht="50" customHeight="1">
      <c r="A106" s="11" t="inlineStr">
        <is>
          <t>S8</t>
        </is>
      </c>
      <c r="B106" s="15" t="inlineStr">
        <is>
          <t>Model, Data &amp; Experiment</t>
        </is>
      </c>
      <c r="C106" s="12" t="inlineStr">
        <is>
          <t>S8.6</t>
        </is>
      </c>
      <c r="D106" s="13" t="inlineStr">
        <is>
          <t>Model Distillation &amp; Compression</t>
        </is>
      </c>
      <c r="E106" s="42" t="inlineStr">
        <is>
          <t>SVC</t>
        </is>
      </c>
      <c r="F106" s="43" t="inlineStr"/>
      <c r="G106" s="11" t="inlineStr">
        <is>
          <t>application</t>
        </is>
      </c>
      <c r="H106" s="11" t="inlineStr">
        <is>
          <t>behavior service</t>
        </is>
      </c>
      <c r="I106" s="15" t="inlineStr">
        <is>
          <t>operations</t>
        </is>
      </c>
      <c r="J106" s="11" t="inlineStr">
        <is>
          <t>-</t>
        </is>
      </c>
      <c r="K106" s="14" t="inlineStr">
        <is>
          <t>Produce a smaller, cheaper model that preserves acceptable behavior.</t>
        </is>
      </c>
      <c r="L106" s="14" t="inlineStr">
        <is>
          <t>AWS Bedrock model distillation · IEEE 2941-2021 (model compression)</t>
        </is>
      </c>
      <c r="M106" s="14" t="inlineStr">
        <is>
          <t>6.5.4 (optional-enabler), 4.2.2 (optional-enabler)</t>
        </is>
      </c>
      <c r="N106" s="16" t="inlineStr"/>
      <c r="O106" s="16" t="inlineStr"/>
    </row>
    <row r="107" ht="50" customHeight="1">
      <c r="A107" s="11" t="inlineStr">
        <is>
          <t>S8</t>
        </is>
      </c>
      <c r="B107" s="15" t="inlineStr">
        <is>
          <t>Model, Data &amp; Experiment</t>
        </is>
      </c>
      <c r="C107" s="12" t="inlineStr">
        <is>
          <t>S8.7</t>
        </is>
      </c>
      <c r="D107" s="13" t="inlineStr">
        <is>
          <t>Training &amp; Distributed Compute</t>
        </is>
      </c>
      <c r="E107" s="44" t="inlineStr">
        <is>
          <t>ABB</t>
        </is>
      </c>
      <c r="F107" s="43" t="inlineStr"/>
      <c r="G107" s="11" t="inlineStr">
        <is>
          <t>technology</t>
        </is>
      </c>
      <c r="H107" s="11" t="inlineStr">
        <is>
          <t>active structure</t>
        </is>
      </c>
      <c r="I107" s="15" t="inlineStr">
        <is>
          <t>operations</t>
        </is>
      </c>
      <c r="J107" s="11" t="inlineStr">
        <is>
          <t>-</t>
        </is>
      </c>
      <c r="K107" s="14" t="inlineStr">
        <is>
          <t>Train models at scale across accelerated infrastructure.</t>
        </is>
      </c>
      <c r="L107" s="14" t="inlineStr">
        <is>
          <t>NVIDIA Enterprise AI Factory (HGX / NVL72 reference configs) · Amazon SageMaker HyperPod · LF AI &amp; Data (Distributed Computing)</t>
        </is>
      </c>
      <c r="M107" s="14" t="inlineStr">
        <is>
          <t>4.2.3 (required-enabler), 5.4.1 (required-enabler)</t>
        </is>
      </c>
      <c r="N107" s="16" t="inlineStr"/>
      <c r="O107" s="16" t="inlineStr"/>
    </row>
    <row r="108" ht="50" customHeight="1">
      <c r="A108" s="11" t="inlineStr">
        <is>
          <t>S8</t>
        </is>
      </c>
      <c r="B108" s="15" t="inlineStr">
        <is>
          <t>Model, Data &amp; Experiment</t>
        </is>
      </c>
      <c r="C108" s="12" t="inlineStr">
        <is>
          <t>S8.8</t>
        </is>
      </c>
      <c r="D108" s="13" t="inlineStr">
        <is>
          <t>Experiment Tracking</t>
        </is>
      </c>
      <c r="E108" s="44" t="inlineStr">
        <is>
          <t>ABB</t>
        </is>
      </c>
      <c r="F108" s="43" t="inlineStr"/>
      <c r="G108" s="11" t="inlineStr">
        <is>
          <t>application</t>
        </is>
      </c>
      <c r="H108" s="11" t="inlineStr">
        <is>
          <t>behavior service</t>
        </is>
      </c>
      <c r="I108" s="15" t="inlineStr">
        <is>
          <t>operations</t>
        </is>
      </c>
      <c r="J108" s="11" t="inlineStr">
        <is>
          <t>-</t>
        </is>
      </c>
      <c r="K108" s="14" t="inlineStr">
        <is>
          <t>Record runs, parameters and results so work is reproducible.</t>
        </is>
      </c>
      <c r="L108" s="14" t="inlineStr">
        <is>
          <t>Managed MLflow · Google experiment tracking (Gemini Enterprise Agent Platform) · CD Foundation MLOps SIG</t>
        </is>
      </c>
      <c r="M108" s="14" t="inlineStr">
        <is>
          <t>4.2.3 (required-enabler)</t>
        </is>
      </c>
      <c r="N108" s="16" t="inlineStr"/>
      <c r="O108" s="16" t="inlineStr"/>
    </row>
    <row r="109" ht="50" customHeight="1">
      <c r="A109" s="11" t="inlineStr">
        <is>
          <t>S8</t>
        </is>
      </c>
      <c r="B109" s="15" t="inlineStr">
        <is>
          <t>Model, Data &amp; Experiment</t>
        </is>
      </c>
      <c r="C109" s="12" t="inlineStr">
        <is>
          <t>S8.9</t>
        </is>
      </c>
      <c r="D109" s="13" t="inlineStr">
        <is>
          <t>Feature Store</t>
        </is>
      </c>
      <c r="E109" s="44" t="inlineStr">
        <is>
          <t>ABB</t>
        </is>
      </c>
      <c r="F109" s="43" t="inlineStr"/>
      <c r="G109" s="11" t="inlineStr">
        <is>
          <t>data</t>
        </is>
      </c>
      <c r="H109" s="11" t="inlineStr">
        <is>
          <t>passive structure information</t>
        </is>
      </c>
      <c r="I109" s="15" t="inlineStr">
        <is>
          <t>operations</t>
        </is>
      </c>
      <c r="J109" s="11" t="inlineStr">
        <is>
          <t>-</t>
        </is>
      </c>
      <c r="K109" s="14" t="inlineStr">
        <is>
          <t>Computes, stores and serves engineered features to training and inference with point-in-time correctness.</t>
        </is>
      </c>
      <c r="L109" s="14" t="inlineStr">
        <is>
          <t>LF AI &amp; Data (Feature Engineering) · Google Feature Store (Gemini Enterprise Agent Platform) · Databricks</t>
        </is>
      </c>
      <c r="M109" s="14" t="inlineStr">
        <is>
          <t>3.7.1 (required-enabler)</t>
        </is>
      </c>
      <c r="N109" s="16" t="inlineStr"/>
      <c r="O109" s="16" t="inlineStr"/>
    </row>
    <row r="110" ht="50" customHeight="1">
      <c r="A110" s="11" t="inlineStr">
        <is>
          <t>S8</t>
        </is>
      </c>
      <c r="B110" s="15" t="inlineStr">
        <is>
          <t>Model, Data &amp; Experiment</t>
        </is>
      </c>
      <c r="C110" s="12" t="inlineStr">
        <is>
          <t>S8.10</t>
        </is>
      </c>
      <c r="D110" s="13" t="inlineStr">
        <is>
          <t>Prompt Registry &amp; Versioning</t>
        </is>
      </c>
      <c r="E110" s="44" t="inlineStr">
        <is>
          <t>ABB</t>
        </is>
      </c>
      <c r="F110" s="43" t="inlineStr"/>
      <c r="G110" s="11" t="inlineStr">
        <is>
          <t>data</t>
        </is>
      </c>
      <c r="H110" s="11" t="inlineStr">
        <is>
          <t>passive structure information</t>
        </is>
      </c>
      <c r="I110" s="15" t="inlineStr">
        <is>
          <t>operations</t>
        </is>
      </c>
      <c r="J110" s="11" t="inlineStr">
        <is>
          <t>-</t>
        </is>
      </c>
      <c r="K110" s="14" t="inlineStr">
        <is>
          <t>Manage prompts as controlled, reviewable, versioned artifacts.</t>
        </is>
      </c>
      <c r="L110" s="14" t="inlineStr">
        <is>
          <t>IBM GenAI Engineering (prompt engineering / prompt tuning) · Microsoft Foundry</t>
        </is>
      </c>
      <c r="M110" s="14" t="inlineStr">
        <is>
          <t>4.3.2 (required-enabler)</t>
        </is>
      </c>
      <c r="N110" s="16" t="inlineStr"/>
      <c r="O110" s="16" t="inlineStr"/>
    </row>
    <row r="111" ht="50" customHeight="1">
      <c r="A111" s="11" t="inlineStr">
        <is>
          <t>S8</t>
        </is>
      </c>
      <c r="B111" s="15" t="inlineStr">
        <is>
          <t>Model, Data &amp; Experiment</t>
        </is>
      </c>
      <c r="C111" s="12" t="inlineStr">
        <is>
          <t>S8.11</t>
        </is>
      </c>
      <c r="D111" s="13" t="inlineStr">
        <is>
          <t>Dataset &amp; Corpus Management</t>
        </is>
      </c>
      <c r="E111" s="44" t="inlineStr">
        <is>
          <t>ABB</t>
        </is>
      </c>
      <c r="F111" s="43" t="inlineStr"/>
      <c r="G111" s="11" t="inlineStr">
        <is>
          <t>data</t>
        </is>
      </c>
      <c r="H111" s="11" t="inlineStr">
        <is>
          <t>passive structure information</t>
        </is>
      </c>
      <c r="I111" s="15" t="inlineStr">
        <is>
          <t>operations</t>
        </is>
      </c>
      <c r="J111" s="11" t="inlineStr">
        <is>
          <t>-</t>
        </is>
      </c>
      <c r="K111" s="14" t="inlineStr">
        <is>
          <t>Version, snapshot and govern the datasets models and evaluations use.</t>
        </is>
      </c>
      <c r="L111" s="14" t="inlineStr">
        <is>
          <t>ISO/IEC 5259 series · LF AI &amp; Data (Data / Versioning) · ISO/IEC 23053 cl.8 (data acquisition, preparation)</t>
        </is>
      </c>
      <c r="M111" s="14" t="inlineStr">
        <is>
          <t>3.3.5 (required-enabler), 3.5.1 (required-enabler)</t>
        </is>
      </c>
      <c r="N111" s="16" t="inlineStr"/>
      <c r="O111" s="16" t="inlineStr"/>
    </row>
    <row r="112" ht="50" customHeight="1">
      <c r="A112" s="11" t="inlineStr">
        <is>
          <t>S8</t>
        </is>
      </c>
      <c r="B112" s="15" t="inlineStr">
        <is>
          <t>Model, Data &amp; Experiment</t>
        </is>
      </c>
      <c r="C112" s="12" t="inlineStr">
        <is>
          <t>S8.12</t>
        </is>
      </c>
      <c r="D112" s="13" t="inlineStr">
        <is>
          <t>Data Labeling &amp; Annotation</t>
        </is>
      </c>
      <c r="E112" s="44" t="inlineStr">
        <is>
          <t>ABB</t>
        </is>
      </c>
      <c r="F112" s="43" t="inlineStr"/>
      <c r="G112" s="11" t="inlineStr">
        <is>
          <t>application</t>
        </is>
      </c>
      <c r="H112" s="11" t="inlineStr">
        <is>
          <t>behavior service</t>
        </is>
      </c>
      <c r="I112" s="15" t="inlineStr">
        <is>
          <t>operations</t>
        </is>
      </c>
      <c r="J112" s="11" t="inlineStr">
        <is>
          <t>-</t>
        </is>
      </c>
      <c r="K112" s="14" t="inlineStr">
        <is>
          <t>Produce and quality-check labels, human or machine generated.</t>
        </is>
      </c>
      <c r="L112" s="14" t="inlineStr">
        <is>
          <t>LF AI &amp; Data (Labeling &amp; Annotation) · Amazon SageMaker Ground Truth (maintenance mode, Jul 2026) · ISO/IEC 5259-2</t>
        </is>
      </c>
      <c r="M112" s="14" t="inlineStr">
        <is>
          <t>3.3.4 (required-enabler)</t>
        </is>
      </c>
      <c r="N112" s="16" t="inlineStr"/>
      <c r="O112" s="16" t="inlineStr"/>
    </row>
    <row r="113" ht="50" customHeight="1">
      <c r="A113" s="11" t="inlineStr">
        <is>
          <t>S8</t>
        </is>
      </c>
      <c r="B113" s="15" t="inlineStr">
        <is>
          <t>Model, Data &amp; Experiment</t>
        </is>
      </c>
      <c r="C113" s="12" t="inlineStr">
        <is>
          <t>S8.13</t>
        </is>
      </c>
      <c r="D113" s="13" t="inlineStr">
        <is>
          <t>Data Pipeline &amp; Transformation</t>
        </is>
      </c>
      <c r="E113" s="44" t="inlineStr">
        <is>
          <t>ABB</t>
        </is>
      </c>
      <c r="F113" s="43" t="inlineStr"/>
      <c r="G113" s="11" t="inlineStr">
        <is>
          <t>application</t>
        </is>
      </c>
      <c r="H113" s="11" t="inlineStr">
        <is>
          <t>behavior service</t>
        </is>
      </c>
      <c r="I113" s="15" t="inlineStr">
        <is>
          <t>operations</t>
        </is>
      </c>
      <c r="J113" s="11" t="inlineStr">
        <is>
          <t>-</t>
        </is>
      </c>
      <c r="K113" s="14" t="inlineStr">
        <is>
          <t>Move and reshape data into the form AI workloads require.</t>
        </is>
      </c>
      <c r="L113" s="14" t="inlineStr">
        <is>
          <t>ISO/IEC 23053 cl.8 · LF AI &amp; Data (Pipeline Management) · Databricks</t>
        </is>
      </c>
      <c r="M113" s="14" t="inlineStr">
        <is>
          <t>3.3.2 (required-enabler), 3.2.1 (required-enabler)</t>
        </is>
      </c>
      <c r="N113" s="16" t="inlineStr"/>
      <c r="O113" s="16" t="inlineStr"/>
    </row>
    <row r="114" ht="50" customHeight="1">
      <c r="A114" s="11" t="inlineStr">
        <is>
          <t>S8</t>
        </is>
      </c>
      <c r="B114" s="15" t="inlineStr">
        <is>
          <t>Model, Data &amp; Experiment</t>
        </is>
      </c>
      <c r="C114" s="12" t="inlineStr">
        <is>
          <t>S8.14</t>
        </is>
      </c>
      <c r="D114" s="13" t="inlineStr">
        <is>
          <t>Metadata, Catalog &amp; Lineage</t>
        </is>
      </c>
      <c r="E114" s="44" t="inlineStr">
        <is>
          <t>ABB</t>
        </is>
      </c>
      <c r="F114" s="43" t="inlineStr"/>
      <c r="G114" s="11" t="inlineStr">
        <is>
          <t>data</t>
        </is>
      </c>
      <c r="H114" s="11" t="inlineStr">
        <is>
          <t>passive structure information</t>
        </is>
      </c>
      <c r="I114" s="15" t="inlineStr">
        <is>
          <t>operations</t>
        </is>
      </c>
      <c r="J114" s="11" t="inlineStr">
        <is>
          <t>-</t>
        </is>
      </c>
      <c r="K114" s="14" t="inlineStr">
        <is>
          <t>Record what data exists, what it means and where it went.</t>
        </is>
      </c>
      <c r="L114" s="14" t="inlineStr">
        <is>
          <t>EDM Council ADAC · Unity Catalog · Google Metadata / Lineage tracking · LF AI &amp; Data (Data / Lineage)</t>
        </is>
      </c>
      <c r="M114" s="14" t="inlineStr">
        <is>
          <t>3.4.1 (required-enabler), 3.4.3 (required-enabler), 3.4.2 (required-enabler)</t>
        </is>
      </c>
      <c r="N114" s="16" t="inlineStr"/>
      <c r="O114" s="16" t="inlineStr"/>
    </row>
    <row r="115" ht="50" customHeight="1">
      <c r="A115" s="11" t="inlineStr">
        <is>
          <t>S8</t>
        </is>
      </c>
      <c r="B115" s="15" t="inlineStr">
        <is>
          <t>Model, Data &amp; Experiment</t>
        </is>
      </c>
      <c r="C115" s="12" t="inlineStr">
        <is>
          <t>S8.15</t>
        </is>
      </c>
      <c r="D115" s="13" t="inlineStr">
        <is>
          <t>Evaluation Harness &amp; Benchmarking</t>
        </is>
      </c>
      <c r="E115" s="42" t="inlineStr">
        <is>
          <t>SVC</t>
        </is>
      </c>
      <c r="F115" s="43" t="inlineStr">
        <is>
          <t>either</t>
        </is>
      </c>
      <c r="G115" s="11" t="inlineStr">
        <is>
          <t>application</t>
        </is>
      </c>
      <c r="H115" s="11" t="inlineStr">
        <is>
          <t>behavior service</t>
        </is>
      </c>
      <c r="I115" s="15" t="inlineStr">
        <is>
          <t>operations</t>
        </is>
      </c>
      <c r="J115" s="11" t="inlineStr">
        <is>
          <t>-</t>
        </is>
      </c>
      <c r="K115" s="14" t="inlineStr">
        <is>
          <t>Run repeatable evaluations against defined criteria and test sets.</t>
        </is>
      </c>
      <c r="L115" s="14" t="inlineStr">
        <is>
          <t>Microsoft Foundry evaluations · AWS Bedrock model evaluation · LF AI &amp; Data (Model / Benchmarking) · NIST AI 600-1</t>
        </is>
      </c>
      <c r="M115" s="14" t="inlineStr">
        <is>
          <t>4.6.2 (required-enabler), 4.6.3 (required-enabler)</t>
        </is>
      </c>
      <c r="N115" s="16" t="inlineStr"/>
      <c r="O115" s="16" t="inlineStr"/>
    </row>
    <row r="116" ht="50" customHeight="1">
      <c r="A116" s="11" t="inlineStr">
        <is>
          <t>S8</t>
        </is>
      </c>
      <c r="B116" s="15" t="inlineStr">
        <is>
          <t>Model, Data &amp; Experiment</t>
        </is>
      </c>
      <c r="C116" s="12" t="inlineStr">
        <is>
          <t>S8.16</t>
        </is>
      </c>
      <c r="D116" s="13" t="inlineStr">
        <is>
          <t>Edge &amp; On-Device Inference</t>
        </is>
      </c>
      <c r="E116" s="42" t="inlineStr">
        <is>
          <t>SVC</t>
        </is>
      </c>
      <c r="F116" s="43" t="inlineStr"/>
      <c r="G116" s="11" t="inlineStr">
        <is>
          <t>technology</t>
        </is>
      </c>
      <c r="H116" s="11" t="inlineStr">
        <is>
          <t>active structure</t>
        </is>
      </c>
      <c r="I116" s="15" t="inlineStr">
        <is>
          <t>operations</t>
        </is>
      </c>
      <c r="J116" s="11" t="inlineStr">
        <is>
          <t>-</t>
        </is>
      </c>
      <c r="K116" s="14" t="inlineStr">
        <is>
          <t>Packages and executes models on local or embedded hardware with intermittent or no connection to a central service.</t>
        </is>
      </c>
      <c r="L116" s="14" t="inlineStr">
        <is>
          <t>Microsoft Foundry Local · Amazon SageMaker Edge / Panorama (end of life) · NVIDIA edge stack</t>
        </is>
      </c>
      <c r="M116" s="14" t="inlineStr">
        <is>
          <t>5.4.5 (required-enabler), 6.1.2 (required-enabler)</t>
        </is>
      </c>
      <c r="N116" s="16" t="inlineStr"/>
      <c r="O116" s="16" t="inlineStr"/>
    </row>
    <row r="117" ht="50" customHeight="1">
      <c r="A117" s="11" t="inlineStr">
        <is>
          <t>S8</t>
        </is>
      </c>
      <c r="B117" s="15" t="inlineStr">
        <is>
          <t>Model, Data &amp; Experiment</t>
        </is>
      </c>
      <c r="C117" s="12" t="inlineStr">
        <is>
          <t>S8.17</t>
        </is>
      </c>
      <c r="D117" s="13" t="inlineStr">
        <is>
          <t>Sovereign &amp; Isolated Deployment</t>
        </is>
      </c>
      <c r="E117" s="44" t="inlineStr">
        <is>
          <t>ABB</t>
        </is>
      </c>
      <c r="F117" s="43" t="inlineStr"/>
      <c r="G117" s="11" t="inlineStr">
        <is>
          <t>technology</t>
        </is>
      </c>
      <c r="H117" s="11" t="inlineStr">
        <is>
          <t>active structure</t>
        </is>
      </c>
      <c r="I117" s="15" t="inlineStr">
        <is>
          <t>operations</t>
        </is>
      </c>
      <c r="J117" s="11" t="inlineStr">
        <is>
          <t>-</t>
        </is>
      </c>
      <c r="K117" s="14" t="inlineStr">
        <is>
          <t>Run AI wholly within a defined jurisdiction or disconnected boundary.</t>
        </is>
      </c>
      <c r="L117" s="14" t="inlineStr">
        <is>
          <t>SAP sovereign cloud · Azure sovereign / air-gapped patterns · ISO/IEC 42001 (third party and jurisdiction)</t>
        </is>
      </c>
      <c r="M117" s="14" t="inlineStr">
        <is>
          <t>3.1.5 (required-enabler), 5.4.4 (required-enabler)</t>
        </is>
      </c>
      <c r="N117" s="16" t="inlineStr"/>
      <c r="O117" s="16" t="inlineStr">
        <is>
          <t>Elevated</t>
        </is>
      </c>
    </row>
    <row r="118" ht="50" customHeight="1">
      <c r="A118" s="11" t="inlineStr">
        <is>
          <t>S8</t>
        </is>
      </c>
      <c r="B118" s="15" t="inlineStr">
        <is>
          <t>Model, Data &amp; Experiment</t>
        </is>
      </c>
      <c r="C118" s="12" t="inlineStr">
        <is>
          <t>S8.18</t>
        </is>
      </c>
      <c r="D118" s="13" t="inlineStr">
        <is>
          <t>Model &amp; Artifact Integrity Verification</t>
        </is>
      </c>
      <c r="E118" s="42" t="inlineStr">
        <is>
          <t>SVC</t>
        </is>
      </c>
      <c r="F118" s="43" t="inlineStr"/>
      <c r="G118" s="11" t="inlineStr">
        <is>
          <t>application</t>
        </is>
      </c>
      <c r="H118" s="11" t="inlineStr">
        <is>
          <t>behavior service</t>
        </is>
      </c>
      <c r="I118" s="15" t="inlineStr">
        <is>
          <t>operations</t>
        </is>
      </c>
      <c r="J118" s="11" t="inlineStr">
        <is>
          <t>-</t>
        </is>
      </c>
      <c r="K118" s="14" t="inlineStr">
        <is>
          <t>Signs, attests and verifies model weights, containers and dependencies at registration and again at load.</t>
        </is>
      </c>
      <c r="L118" s="14" t="inlineStr">
        <is>
          <t>Supply-chain integrity practice (SBOM, sigstore) · IEEE 2941-2021 · OWASP GenAI Security Project</t>
        </is>
      </c>
      <c r="M118" s="14" t="inlineStr">
        <is>
          <t>7.4.2 (required-enabler), 4.2.5 (operational-support)</t>
        </is>
      </c>
      <c r="N118" s="16" t="inlineStr"/>
      <c r="O118" s="16" t="inlineStr"/>
    </row>
    <row r="119" ht="50" customHeight="1">
      <c r="A119" s="11" t="inlineStr">
        <is>
          <t>S8</t>
        </is>
      </c>
      <c r="B119" s="15" t="inlineStr">
        <is>
          <t>Model, Data &amp; Experiment</t>
        </is>
      </c>
      <c r="C119" s="12" t="inlineStr">
        <is>
          <t>S8.19</t>
        </is>
      </c>
      <c r="D119" s="13" t="inlineStr">
        <is>
          <t>Subject Data Location &amp; Purge</t>
        </is>
      </c>
      <c r="E119" s="42" t="inlineStr">
        <is>
          <t>SVC</t>
        </is>
      </c>
      <c r="F119" s="43" t="inlineStr"/>
      <c r="G119" s="11" t="inlineStr">
        <is>
          <t>application</t>
        </is>
      </c>
      <c r="H119" s="11" t="inlineStr">
        <is>
          <t>behavior service</t>
        </is>
      </c>
      <c r="I119" s="15" t="inlineStr">
        <is>
          <t>operations</t>
        </is>
      </c>
      <c r="J119" s="11" t="inlineStr">
        <is>
          <t>-</t>
        </is>
      </c>
      <c r="K119" s="14" t="inlineStr">
        <is>
          <t>Locates a data subject's records across indexes, embeddings, caches and derived artifacts and removes them verifiably.</t>
        </is>
      </c>
      <c r="L119" s="14" t="inlineStr">
        <is>
          <t>ISO/IEC 27701 · Institutional data protection framework</t>
        </is>
      </c>
      <c r="M119" s="14" t="inlineStr">
        <is>
          <t>7.5.3 (required-enabler), 3.1.4 (required-enabler)</t>
        </is>
      </c>
      <c r="N119" s="16" t="inlineStr"/>
      <c r="O119" s="16" t="inlineStr">
        <is>
          <t>Elevated</t>
        </is>
      </c>
    </row>
    <row r="120" ht="50" customHeight="1">
      <c r="A120" s="11" t="inlineStr">
        <is>
          <t>S8</t>
        </is>
      </c>
      <c r="B120" s="15" t="inlineStr">
        <is>
          <t>Model, Data &amp; Experiment</t>
        </is>
      </c>
      <c r="C120" s="12" t="inlineStr">
        <is>
          <t>S8.20</t>
        </is>
      </c>
      <c r="D120" s="13" t="inlineStr">
        <is>
          <t>Isolated Workspace &amp; Network Provisioning</t>
        </is>
      </c>
      <c r="E120" s="44" t="inlineStr">
        <is>
          <t>ABB</t>
        </is>
      </c>
      <c r="F120" s="43" t="inlineStr"/>
      <c r="G120" s="11" t="inlineStr">
        <is>
          <t>application</t>
        </is>
      </c>
      <c r="H120" s="11" t="inlineStr">
        <is>
          <t>behavior service</t>
        </is>
      </c>
      <c r="I120" s="15" t="inlineStr">
        <is>
          <t>operations</t>
        </is>
      </c>
      <c r="J120" s="11" t="inlineStr">
        <is>
          <t>-</t>
        </is>
      </c>
      <c r="K120" s="14" t="inlineStr">
        <is>
          <t>Provisions tenant-isolated workspaces with private connectivity and enforced data-segregation boundaries.</t>
        </is>
      </c>
      <c r="L120" s="14" t="inlineStr">
        <is>
          <t>Microsoft Cloud Adoption Framework for AI · ISO/IEC 27001</t>
        </is>
      </c>
      <c r="M120" s="14" t="inlineStr">
        <is>
          <t>5.3.2 (required-enabler), 5.3.3 (required-enabler), 5.3.4 (required-enabler)</t>
        </is>
      </c>
      <c r="N120" s="16" t="inlineStr"/>
      <c r="O120" s="16" t="inlineStr"/>
    </row>
    <row r="121" ht="50" customHeight="1">
      <c r="A121" s="11" t="inlineStr">
        <is>
          <t>S8</t>
        </is>
      </c>
      <c r="B121" s="15" t="inlineStr">
        <is>
          <t>Model, Data &amp; Experiment</t>
        </is>
      </c>
      <c r="C121" s="12" t="inlineStr">
        <is>
          <t>S8.21</t>
        </is>
      </c>
      <c r="D121" s="13" t="inlineStr">
        <is>
          <t>Model Documentation Generation</t>
        </is>
      </c>
      <c r="E121" s="42" t="inlineStr">
        <is>
          <t>SVC</t>
        </is>
      </c>
      <c r="F121" s="43" t="inlineStr"/>
      <c r="G121" s="11" t="inlineStr">
        <is>
          <t>application</t>
        </is>
      </c>
      <c r="H121" s="11" t="inlineStr">
        <is>
          <t>behavior service</t>
        </is>
      </c>
      <c r="I121" s="15" t="inlineStr">
        <is>
          <t>operations</t>
        </is>
      </c>
      <c r="J121" s="11" t="inlineStr">
        <is>
          <t>-</t>
        </is>
      </c>
      <c r="K121" s="14" t="inlineStr">
        <is>
          <t>Produces and publishes model and system documentation from registry, evaluation and lineage metadata.</t>
        </is>
      </c>
      <c r="L121" s="14" t="inlineStr">
        <is>
          <t>IBM Generative AI Capability Model · NIST AI 600-1 Generative AI Profile</t>
        </is>
      </c>
      <c r="M121" s="14" t="inlineStr">
        <is>
          <t>4.2.4 (required-enabler), 7.2.2 (evidence-provider)</t>
        </is>
      </c>
      <c r="N121" s="16" t="inlineStr"/>
      <c r="O121" s="16" t="inlineStr"/>
    </row>
    <row r="122" ht="50" customHeight="1">
      <c r="A122" s="11" t="inlineStr">
        <is>
          <t>S8</t>
        </is>
      </c>
      <c r="B122" s="15" t="inlineStr">
        <is>
          <t>Model, Data &amp; Experiment</t>
        </is>
      </c>
      <c r="C122" s="12" t="inlineStr">
        <is>
          <t>S8.22</t>
        </is>
      </c>
      <c r="D122" s="13" t="inlineStr">
        <is>
          <t>Permitted-Use &amp; Consent Metadata</t>
        </is>
      </c>
      <c r="E122" s="44" t="inlineStr">
        <is>
          <t>ABB</t>
        </is>
      </c>
      <c r="F122" s="43" t="inlineStr"/>
      <c r="G122" s="11" t="inlineStr">
        <is>
          <t>data</t>
        </is>
      </c>
      <c r="H122" s="11" t="inlineStr">
        <is>
          <t>passive structure information</t>
        </is>
      </c>
      <c r="I122" s="15" t="inlineStr">
        <is>
          <t>operations</t>
        </is>
      </c>
      <c r="J122" s="11" t="inlineStr">
        <is>
          <t>S10.4</t>
        </is>
      </c>
      <c r="K122" s="14" t="inlineStr">
        <is>
          <t>Records licensing terms, permitted-use scope and consent basis as machine-checkable metadata enforced at access time.</t>
        </is>
      </c>
      <c r="L122" s="14" t="inlineStr">
        <is>
          <t>EDM Council DCAM/ADAC · C2PA / CAWG data-mining assertions</t>
        </is>
      </c>
      <c r="M122" s="14" t="inlineStr">
        <is>
          <t>3.2.2 (required-enabler), 3.2.4 (required-enabler)</t>
        </is>
      </c>
      <c r="N122" s="16" t="inlineStr"/>
      <c r="O122" s="16" t="inlineStr">
        <is>
          <t>Elevated</t>
        </is>
      </c>
    </row>
    <row r="123" ht="50" customHeight="1">
      <c r="A123" s="11" t="inlineStr">
        <is>
          <t>S8</t>
        </is>
      </c>
      <c r="B123" s="15" t="inlineStr">
        <is>
          <t>Model, Data &amp; Experiment</t>
        </is>
      </c>
      <c r="C123" s="12" t="inlineStr">
        <is>
          <t>S8.23</t>
        </is>
      </c>
      <c r="D123" s="13" t="inlineStr">
        <is>
          <t>Architecture Repository &amp; Decision Records</t>
        </is>
      </c>
      <c r="E123" s="44" t="inlineStr">
        <is>
          <t>ABB</t>
        </is>
      </c>
      <c r="F123" s="43" t="inlineStr"/>
      <c r="G123" s="11" t="inlineStr">
        <is>
          <t>application</t>
        </is>
      </c>
      <c r="H123" s="11" t="inlineStr">
        <is>
          <t>passive structure information</t>
        </is>
      </c>
      <c r="I123" s="15" t="inlineStr">
        <is>
          <t>operations</t>
        </is>
      </c>
      <c r="J123" s="11" t="inlineStr">
        <is>
          <t>-</t>
        </is>
      </c>
      <c r="K123" s="14" t="inlineStr">
        <is>
          <t>Stores capabilities, building blocks, patterns, solutions and dated architecture decisions with their relationships.</t>
        </is>
      </c>
      <c r="L123" s="14" t="inlineStr">
        <is>
          <t>The Open Group TOGAF - Architecture Repository · ArchiMate tooling practice</t>
        </is>
      </c>
      <c r="M123" s="14" t="inlineStr">
        <is>
          <t>4.1.3 (required-enabler), 4.1.6 (required-enabler)</t>
        </is>
      </c>
      <c r="N123" s="16" t="inlineStr"/>
      <c r="O123" s="16" t="inlineStr"/>
    </row>
    <row r="124" ht="50" customHeight="1">
      <c r="A124" s="11" t="inlineStr">
        <is>
          <t>S8</t>
        </is>
      </c>
      <c r="B124" s="15" t="inlineStr">
        <is>
          <t>Model, Data &amp; Experiment</t>
        </is>
      </c>
      <c r="C124" s="12" t="inlineStr">
        <is>
          <t>S8.24</t>
        </is>
      </c>
      <c r="D124" s="13" t="inlineStr">
        <is>
          <t>Conformance Test Harness</t>
        </is>
      </c>
      <c r="E124" s="42" t="inlineStr">
        <is>
          <t>SVC</t>
        </is>
      </c>
      <c r="F124" s="43" t="inlineStr">
        <is>
          <t>either</t>
        </is>
      </c>
      <c r="G124" s="11" t="inlineStr">
        <is>
          <t>application</t>
        </is>
      </c>
      <c r="H124" s="11" t="inlineStr">
        <is>
          <t>behavior service</t>
        </is>
      </c>
      <c r="I124" s="15" t="inlineStr">
        <is>
          <t>evidence</t>
        </is>
      </c>
      <c r="J124" s="11" t="inlineStr">
        <is>
          <t>-</t>
        </is>
      </c>
      <c r="K124" s="14" t="inlineStr">
        <is>
          <t>Executes declared conformance tests against a solution and records pass/fail as reusable evidence.</t>
        </is>
      </c>
      <c r="L124" s="14" t="inlineStr">
        <is>
          <t>The Open Group TOGAF - conformance · NIST AI 600-1 Generative AI Profile</t>
        </is>
      </c>
      <c r="M124" s="14" t="inlineStr">
        <is>
          <t>4.1.7 (evidence-provider), 4.6.3 (operational-support)</t>
        </is>
      </c>
      <c r="N124" s="16" t="inlineStr"/>
      <c r="O124" s="16" t="inlineStr"/>
    </row>
    <row r="125" ht="50" customHeight="1">
      <c r="A125" s="11" t="inlineStr">
        <is>
          <t>S9</t>
        </is>
      </c>
      <c r="B125" s="15" t="inlineStr">
        <is>
          <t>Observability, Operations &amp; Cost</t>
        </is>
      </c>
      <c r="C125" s="12" t="inlineStr">
        <is>
          <t>S9.1</t>
        </is>
      </c>
      <c r="D125" s="13" t="inlineStr">
        <is>
          <t>Trace Instrumentation &amp; Context Propagation</t>
        </is>
      </c>
      <c r="E125" s="44" t="inlineStr">
        <is>
          <t>ABB</t>
        </is>
      </c>
      <c r="F125" s="43" t="inlineStr">
        <is>
          <t>either</t>
        </is>
      </c>
      <c r="G125" s="11" t="inlineStr">
        <is>
          <t>application</t>
        </is>
      </c>
      <c r="H125" s="11" t="inlineStr">
        <is>
          <t>behavior service</t>
        </is>
      </c>
      <c r="I125" s="15" t="inlineStr">
        <is>
          <t>operations, evidence</t>
        </is>
      </c>
      <c r="J125" s="11" t="inlineStr">
        <is>
          <t>S10.3</t>
        </is>
      </c>
      <c r="K125" s="14" t="inlineStr">
        <is>
          <t>Emits spans and propagates correlation context across model, retrieval, tool, agent and workflow calls.</t>
        </is>
      </c>
      <c r="L125" s="14" t="inlineStr">
        <is>
          <t>OTel gen_ai spans (chat, execute_tool, invoke_agent, invoke_workflow) · Microsoft Foundry tracing</t>
        </is>
      </c>
      <c r="M125" s="14" t="inlineStr">
        <is>
          <t>6.2.1 (operational-support), 6.2.2 (operational-support)</t>
        </is>
      </c>
      <c r="N125" s="16" t="inlineStr">
        <is>
          <t>Yes</t>
        </is>
      </c>
      <c r="O125" s="16" t="inlineStr"/>
    </row>
    <row r="126" ht="50" customHeight="1">
      <c r="A126" s="11" t="inlineStr">
        <is>
          <t>S9</t>
        </is>
      </c>
      <c r="B126" s="15" t="inlineStr">
        <is>
          <t>Observability, Operations &amp; Cost</t>
        </is>
      </c>
      <c r="C126" s="12" t="inlineStr">
        <is>
          <t>S9.2</t>
        </is>
      </c>
      <c r="D126" s="13" t="inlineStr">
        <is>
          <t>Interaction &amp; Prompt Logging</t>
        </is>
      </c>
      <c r="E126" s="44" t="inlineStr">
        <is>
          <t>ABB</t>
        </is>
      </c>
      <c r="F126" s="43" t="inlineStr"/>
      <c r="G126" s="11" t="inlineStr">
        <is>
          <t>application</t>
        </is>
      </c>
      <c r="H126" s="11" t="inlineStr">
        <is>
          <t>behavior service</t>
        </is>
      </c>
      <c r="I126" s="15" t="inlineStr">
        <is>
          <t>operations, evidence</t>
        </is>
      </c>
      <c r="J126" s="11" t="inlineStr">
        <is>
          <t>-</t>
        </is>
      </c>
      <c r="K126" s="14" t="inlineStr">
        <is>
          <t>Persists prompt, context, output and decision records to a retention-managed store, with configurable field-level redaction.</t>
        </is>
      </c>
      <c r="L126" s="14" t="inlineStr">
        <is>
          <t>OTel gen_ai.input.messages / output.messages (opt-in) · ISO/IEC 42001</t>
        </is>
      </c>
      <c r="M126" s="14" t="inlineStr">
        <is>
          <t>6.2.2 (operational-support), 7.8.2 (evidence-provider)</t>
        </is>
      </c>
      <c r="N126" s="16" t="inlineStr"/>
      <c r="O126" s="16" t="inlineStr">
        <is>
          <t>Elevated</t>
        </is>
      </c>
    </row>
    <row r="127" ht="50" customHeight="1">
      <c r="A127" s="11" t="inlineStr">
        <is>
          <t>S9</t>
        </is>
      </c>
      <c r="B127" s="15" t="inlineStr">
        <is>
          <t>Observability, Operations &amp; Cost</t>
        </is>
      </c>
      <c r="C127" s="12" t="inlineStr">
        <is>
          <t>S9.3</t>
        </is>
      </c>
      <c r="D127" s="13" t="inlineStr">
        <is>
          <t>Agent Action &amp; Tool-Call Auditing</t>
        </is>
      </c>
      <c r="E127" s="44" t="inlineStr">
        <is>
          <t>ABB</t>
        </is>
      </c>
      <c r="F127" s="43" t="inlineStr"/>
      <c r="G127" s="11" t="inlineStr">
        <is>
          <t>application</t>
        </is>
      </c>
      <c r="H127" s="11" t="inlineStr">
        <is>
          <t>behavior service</t>
        </is>
      </c>
      <c r="I127" s="15" t="inlineStr">
        <is>
          <t>operations, evidence</t>
        </is>
      </c>
      <c r="J127" s="11" t="inlineStr">
        <is>
          <t>S10.3</t>
        </is>
      </c>
      <c r="K127" s="14" t="inlineStr">
        <is>
          <t>Emits and stores a structured record of each agent action - tool invoked, arguments, result, actor - queryable after the fact.</t>
        </is>
      </c>
      <c r="L127" s="14" t="inlineStr">
        <is>
          <t>OTel execute_tool spans · OWASP ASI02 / ASI10 · GAO AI Accountability Framework</t>
        </is>
      </c>
      <c r="M127" s="14" t="inlineStr">
        <is>
          <t>6.2.3 (operational-support), 7.8.2 (evidence-provider)</t>
        </is>
      </c>
      <c r="N127" s="16" t="inlineStr">
        <is>
          <t>Yes</t>
        </is>
      </c>
      <c r="O127" s="16" t="inlineStr"/>
    </row>
    <row r="128" ht="50" customHeight="1">
      <c r="A128" s="11" t="inlineStr">
        <is>
          <t>S9</t>
        </is>
      </c>
      <c r="B128" s="15" t="inlineStr">
        <is>
          <t>Observability, Operations &amp; Cost</t>
        </is>
      </c>
      <c r="C128" s="12" t="inlineStr">
        <is>
          <t>S9.4</t>
        </is>
      </c>
      <c r="D128" s="13" t="inlineStr">
        <is>
          <t>Token &amp; Consumption Metering</t>
        </is>
      </c>
      <c r="E128" s="44" t="inlineStr">
        <is>
          <t>ABB</t>
        </is>
      </c>
      <c r="F128" s="43" t="inlineStr"/>
      <c r="G128" s="11" t="inlineStr">
        <is>
          <t>application</t>
        </is>
      </c>
      <c r="H128" s="11" t="inlineStr">
        <is>
          <t>behavior service</t>
        </is>
      </c>
      <c r="I128" s="15" t="inlineStr">
        <is>
          <t>operations, evidence</t>
        </is>
      </c>
      <c r="J128" s="11" t="inlineStr">
        <is>
          <t>-</t>
        </is>
      </c>
      <c r="K128" s="14" t="inlineStr">
        <is>
          <t>Counts tokens, accelerator-seconds and storage per call and tags each measurement with consumer, model and workload.</t>
        </is>
      </c>
      <c r="L128" s="14" t="inlineStr">
        <is>
          <t>OTel gen_ai.usage.input_tokens / output_tokens · AWS Bedrock cost category</t>
        </is>
      </c>
      <c r="M128" s="14" t="inlineStr">
        <is>
          <t>6.5.1 (operational-support)</t>
        </is>
      </c>
      <c r="N128" s="16" t="inlineStr"/>
      <c r="O128" s="16" t="inlineStr"/>
    </row>
    <row r="129" ht="50" customHeight="1">
      <c r="A129" s="11" t="inlineStr">
        <is>
          <t>S9</t>
        </is>
      </c>
      <c r="B129" s="15" t="inlineStr">
        <is>
          <t>Observability, Operations &amp; Cost</t>
        </is>
      </c>
      <c r="C129" s="12" t="inlineStr">
        <is>
          <t>S9.5</t>
        </is>
      </c>
      <c r="D129" s="13" t="inlineStr">
        <is>
          <t>Cost Attribution &amp; Showback</t>
        </is>
      </c>
      <c r="E129" s="44" t="inlineStr">
        <is>
          <t>ABB</t>
        </is>
      </c>
      <c r="F129" s="43" t="inlineStr"/>
      <c r="G129" s="11" t="inlineStr">
        <is>
          <t>application</t>
        </is>
      </c>
      <c r="H129" s="11" t="inlineStr">
        <is>
          <t>behavior service</t>
        </is>
      </c>
      <c r="I129" s="15" t="inlineStr">
        <is>
          <t>operations, evidence</t>
        </is>
      </c>
      <c r="J129" s="11" t="inlineStr">
        <is>
          <t>-</t>
        </is>
      </c>
      <c r="K129" s="14" t="inlineStr">
        <is>
          <t>Attribute AI consumption to an accountable owner and budget.</t>
        </is>
      </c>
      <c r="L129" s="14" t="inlineStr">
        <is>
          <t>FinOps Foundation · Microsoft Foundry Control Plane · AWS Bedrock cost optimization</t>
        </is>
      </c>
      <c r="M129" s="14" t="inlineStr">
        <is>
          <t>6.5.1 (operational-support), 6.5.3 (operational-support)</t>
        </is>
      </c>
      <c r="N129" s="16" t="inlineStr"/>
      <c r="O129" s="16" t="inlineStr"/>
    </row>
    <row r="130" ht="50" customHeight="1">
      <c r="A130" s="11" t="inlineStr">
        <is>
          <t>S9</t>
        </is>
      </c>
      <c r="B130" s="15" t="inlineStr">
        <is>
          <t>Observability, Operations &amp; Cost</t>
        </is>
      </c>
      <c r="C130" s="12" t="inlineStr">
        <is>
          <t>S9.6</t>
        </is>
      </c>
      <c r="D130" s="13" t="inlineStr">
        <is>
          <t>Production Evaluation &amp; Online Scoring</t>
        </is>
      </c>
      <c r="E130" s="42" t="inlineStr">
        <is>
          <t>SVC</t>
        </is>
      </c>
      <c r="F130" s="43" t="inlineStr">
        <is>
          <t>either</t>
        </is>
      </c>
      <c r="G130" s="11" t="inlineStr">
        <is>
          <t>application</t>
        </is>
      </c>
      <c r="H130" s="11" t="inlineStr">
        <is>
          <t>behavior service</t>
        </is>
      </c>
      <c r="I130" s="15" t="inlineStr">
        <is>
          <t>operations, evidence</t>
        </is>
      </c>
      <c r="J130" s="11" t="inlineStr">
        <is>
          <t>-</t>
        </is>
      </c>
      <c r="K130" s="14" t="inlineStr">
        <is>
          <t>Evaluate live output quality continuously, not only pre-release.</t>
        </is>
      </c>
      <c r="L130" s="14" t="inlineStr">
        <is>
          <t>NIST AI RMF (Measure) · Microsoft Foundry evaluations</t>
        </is>
      </c>
      <c r="M130" s="14" t="inlineStr">
        <is>
          <t>6.3.1 (evidence-provider), 4.6.3 (operational-support)</t>
        </is>
      </c>
      <c r="N130" s="16" t="inlineStr"/>
      <c r="O130" s="16" t="inlineStr"/>
    </row>
    <row r="131" ht="50" customHeight="1">
      <c r="A131" s="11" t="inlineStr">
        <is>
          <t>S9</t>
        </is>
      </c>
      <c r="B131" s="15" t="inlineStr">
        <is>
          <t>Observability, Operations &amp; Cost</t>
        </is>
      </c>
      <c r="C131" s="12" t="inlineStr">
        <is>
          <t>S9.7</t>
        </is>
      </c>
      <c r="D131" s="13" t="inlineStr">
        <is>
          <t>Drift Detection</t>
        </is>
      </c>
      <c r="E131" s="42" t="inlineStr">
        <is>
          <t>SVC</t>
        </is>
      </c>
      <c r="F131" s="43" t="inlineStr"/>
      <c r="G131" s="11" t="inlineStr">
        <is>
          <t>application</t>
        </is>
      </c>
      <c r="H131" s="11" t="inlineStr">
        <is>
          <t>behavior service</t>
        </is>
      </c>
      <c r="I131" s="15" t="inlineStr">
        <is>
          <t>operations, evidence</t>
        </is>
      </c>
      <c r="J131" s="11" t="inlineStr">
        <is>
          <t>-</t>
        </is>
      </c>
      <c r="K131" s="14" t="inlineStr">
        <is>
          <t>Detect divergence of inputs or relationships from training conditions.</t>
        </is>
      </c>
      <c r="L131" s="14" t="inlineStr">
        <is>
          <t>IBM Model Monitoring (drift detection) · Databricks Data Quality Monitoring · LF AI &amp; Data</t>
        </is>
      </c>
      <c r="M131" s="14" t="inlineStr">
        <is>
          <t>6.3.2 (evidence-provider)</t>
        </is>
      </c>
      <c r="N131" s="16" t="inlineStr"/>
      <c r="O131" s="16" t="inlineStr"/>
    </row>
    <row r="132" ht="50" customHeight="1">
      <c r="A132" s="11" t="inlineStr">
        <is>
          <t>S9</t>
        </is>
      </c>
      <c r="B132" s="15" t="inlineStr">
        <is>
          <t>Observability, Operations &amp; Cost</t>
        </is>
      </c>
      <c r="C132" s="12" t="inlineStr">
        <is>
          <t>S9.8</t>
        </is>
      </c>
      <c r="D132" s="13" t="inlineStr">
        <is>
          <t>Bias &amp; Fairness Monitoring</t>
        </is>
      </c>
      <c r="E132" s="42" t="inlineStr">
        <is>
          <t>SVC</t>
        </is>
      </c>
      <c r="F132" s="43" t="inlineStr"/>
      <c r="G132" s="11" t="inlineStr">
        <is>
          <t>application</t>
        </is>
      </c>
      <c r="H132" s="11" t="inlineStr">
        <is>
          <t>behavior service</t>
        </is>
      </c>
      <c r="I132" s="15" t="inlineStr">
        <is>
          <t>operations, evidence</t>
        </is>
      </c>
      <c r="J132" s="11" t="inlineStr">
        <is>
          <t>-</t>
        </is>
      </c>
      <c r="K132" s="14" t="inlineStr">
        <is>
          <t>Monitor outcome disparities across affected groups over time.</t>
        </is>
      </c>
      <c r="L132" s="14" t="inlineStr">
        <is>
          <t>IBM Model Monitoring (bias detection) · LF AI &amp; Data (Trusted &amp; Responsible AI: Bias &amp; Fairness) · NIST AI 600-1 (Harmful Bias)</t>
        </is>
      </c>
      <c r="M132" s="14" t="inlineStr">
        <is>
          <t>6.3.3 (evidence-provider), 7.2.1 (evidence-provider)</t>
        </is>
      </c>
      <c r="N132" s="16" t="inlineStr"/>
      <c r="O132" s="16" t="inlineStr">
        <is>
          <t>Elevated</t>
        </is>
      </c>
    </row>
    <row r="133" ht="50" customHeight="1">
      <c r="A133" s="11" t="inlineStr">
        <is>
          <t>S9</t>
        </is>
      </c>
      <c r="B133" s="15" t="inlineStr">
        <is>
          <t>Observability, Operations &amp; Cost</t>
        </is>
      </c>
      <c r="C133" s="12" t="inlineStr">
        <is>
          <t>S9.9</t>
        </is>
      </c>
      <c r="D133" s="13" t="inlineStr">
        <is>
          <t>Feedback Capture</t>
        </is>
      </c>
      <c r="E133" s="44" t="inlineStr">
        <is>
          <t>ABB</t>
        </is>
      </c>
      <c r="F133" s="43" t="inlineStr"/>
      <c r="G133" s="11" t="inlineStr">
        <is>
          <t>application</t>
        </is>
      </c>
      <c r="H133" s="11" t="inlineStr">
        <is>
          <t>behavior service</t>
        </is>
      </c>
      <c r="I133" s="15" t="inlineStr">
        <is>
          <t>operations, evidence</t>
        </is>
      </c>
      <c r="J133" s="11" t="inlineStr">
        <is>
          <t>-</t>
        </is>
      </c>
      <c r="K133" s="14" t="inlineStr">
        <is>
          <t>Captures explicit and implicit user corrections and downstream outcomes, and writes them to a labeled store for reuse.</t>
        </is>
      </c>
      <c r="L133" s="14" t="inlineStr">
        <is>
          <t>IBM Model Monitoring (feedback / improvement) · Amazon Augmented AI / A2I (maintenance mode, Jul 2026)</t>
        </is>
      </c>
      <c r="M133" s="14" t="inlineStr">
        <is>
          <t>6.3.4 (evidence-provider), 2.3.3 (operational-support)</t>
        </is>
      </c>
      <c r="N133" s="16" t="inlineStr"/>
      <c r="O133" s="16" t="inlineStr"/>
    </row>
    <row r="134" ht="50" customHeight="1">
      <c r="A134" s="11" t="inlineStr">
        <is>
          <t>S9</t>
        </is>
      </c>
      <c r="B134" s="15" t="inlineStr">
        <is>
          <t>Observability, Operations &amp; Cost</t>
        </is>
      </c>
      <c r="C134" s="12" t="inlineStr">
        <is>
          <t>S9.10</t>
        </is>
      </c>
      <c r="D134" s="13" t="inlineStr">
        <is>
          <t>Alerting &amp; Service Level Management</t>
        </is>
      </c>
      <c r="E134" s="44" t="inlineStr">
        <is>
          <t>ABB</t>
        </is>
      </c>
      <c r="F134" s="43" t="inlineStr"/>
      <c r="G134" s="11" t="inlineStr">
        <is>
          <t>application</t>
        </is>
      </c>
      <c r="H134" s="11" t="inlineStr">
        <is>
          <t>behavior service</t>
        </is>
      </c>
      <c r="I134" s="15" t="inlineStr">
        <is>
          <t>operations, evidence</t>
        </is>
      </c>
      <c r="J134" s="11" t="inlineStr">
        <is>
          <t>-</t>
        </is>
      </c>
      <c r="K134" s="14" t="inlineStr">
        <is>
          <t>Evaluates telemetry streams against configured thresholds and routes notifications to on-call recipients and dashboards.</t>
        </is>
      </c>
      <c r="L134" s="14" t="inlineStr">
        <is>
          <t>OTel gen_ai server metrics · ITIL · Microsoft Foundry Control Plane</t>
        </is>
      </c>
      <c r="M134" s="14" t="inlineStr">
        <is>
          <t>6.2.4 (operational-support), 6.1.4 (operational-support)</t>
        </is>
      </c>
      <c r="N134" s="16" t="inlineStr"/>
      <c r="O134" s="16" t="inlineStr"/>
    </row>
    <row r="135" ht="50" customHeight="1">
      <c r="A135" s="11" t="inlineStr">
        <is>
          <t>S9</t>
        </is>
      </c>
      <c r="B135" s="15" t="inlineStr">
        <is>
          <t>Observability, Operations &amp; Cost</t>
        </is>
      </c>
      <c r="C135" s="12" t="inlineStr">
        <is>
          <t>S9.11</t>
        </is>
      </c>
      <c r="D135" s="13" t="inlineStr">
        <is>
          <t>Fleet &amp; Agent Inventory Telemetry</t>
        </is>
      </c>
      <c r="E135" s="44" t="inlineStr">
        <is>
          <t>ABB</t>
        </is>
      </c>
      <c r="F135" s="43" t="inlineStr"/>
      <c r="G135" s="11" t="inlineStr">
        <is>
          <t>application</t>
        </is>
      </c>
      <c r="H135" s="11" t="inlineStr">
        <is>
          <t>behavior service</t>
        </is>
      </c>
      <c r="I135" s="15" t="inlineStr">
        <is>
          <t>operations, evidence</t>
        </is>
      </c>
      <c r="J135" s="11" t="inlineStr">
        <is>
          <t>-</t>
        </is>
      </c>
      <c r="K135" s="14" t="inlineStr">
        <is>
          <t>Know what agents and AI systems are actually running, right now.</t>
        </is>
      </c>
      <c r="L135" s="14" t="inlineStr">
        <is>
          <t>Microsoft Foundry Control Plane (fleet management) · Microsoft Agent 365</t>
        </is>
      </c>
      <c r="M135" s="14" t="inlineStr">
        <is>
          <t>7.7.4 (required-enabler), 7.7.5 (evidence-provider)</t>
        </is>
      </c>
      <c r="N135" s="16" t="inlineStr">
        <is>
          <t>Yes</t>
        </is>
      </c>
      <c r="O135" s="16" t="inlineStr"/>
    </row>
    <row r="136" ht="50" customHeight="1">
      <c r="A136" s="11" t="inlineStr">
        <is>
          <t>S9</t>
        </is>
      </c>
      <c r="B136" s="15" t="inlineStr">
        <is>
          <t>Observability, Operations &amp; Cost</t>
        </is>
      </c>
      <c r="C136" s="12" t="inlineStr">
        <is>
          <t>S9.12</t>
        </is>
      </c>
      <c r="D136" s="13" t="inlineStr">
        <is>
          <t>Immutable Audit Trail</t>
        </is>
      </c>
      <c r="E136" s="44" t="inlineStr">
        <is>
          <t>ABB</t>
        </is>
      </c>
      <c r="F136" s="43" t="inlineStr"/>
      <c r="G136" s="11" t="inlineStr">
        <is>
          <t>application</t>
        </is>
      </c>
      <c r="H136" s="11" t="inlineStr">
        <is>
          <t>behavior service</t>
        </is>
      </c>
      <c r="I136" s="15" t="inlineStr">
        <is>
          <t>operations, evidence</t>
        </is>
      </c>
      <c r="J136" s="11" t="inlineStr">
        <is>
          <t>-</t>
        </is>
      </c>
      <c r="K136" s="14" t="inlineStr">
        <is>
          <t>Retain tamper-evident evidence an auditor can rely on.</t>
        </is>
      </c>
      <c r="L136" s="14" t="inlineStr">
        <is>
          <t>GAO AI Accountability Framework · ISO/IEC 42001 · IBM (audit logging)</t>
        </is>
      </c>
      <c r="M136" s="14" t="inlineStr">
        <is>
          <t>7.8.2 (evidence-provider), 7.8.1 (evidence-provider)</t>
        </is>
      </c>
      <c r="N136" s="16" t="inlineStr"/>
      <c r="O136" s="16" t="inlineStr">
        <is>
          <t>Elevated</t>
        </is>
      </c>
    </row>
    <row r="137" ht="50" customHeight="1">
      <c r="A137" s="11" t="inlineStr">
        <is>
          <t>S9</t>
        </is>
      </c>
      <c r="B137" s="15" t="inlineStr">
        <is>
          <t>Observability, Operations &amp; Cost</t>
        </is>
      </c>
      <c r="C137" s="12" t="inlineStr">
        <is>
          <t>S9.13</t>
        </is>
      </c>
      <c r="D137" s="13" t="inlineStr">
        <is>
          <t>Energy &amp; Emissions Metering</t>
        </is>
      </c>
      <c r="E137" s="44" t="inlineStr">
        <is>
          <t>ABB</t>
        </is>
      </c>
      <c r="F137" s="43" t="inlineStr"/>
      <c r="G137" s="11" t="inlineStr">
        <is>
          <t>application</t>
        </is>
      </c>
      <c r="H137" s="11" t="inlineStr">
        <is>
          <t>behavior service</t>
        </is>
      </c>
      <c r="I137" s="15" t="inlineStr">
        <is>
          <t>operations, evidence</t>
        </is>
      </c>
      <c r="J137" s="11" t="inlineStr">
        <is>
          <t>-</t>
        </is>
      </c>
      <c r="K137" s="14" t="inlineStr">
        <is>
          <t>Attributes energy consumption and estimated emissions to workloads, models and consumers alongside cost.</t>
        </is>
      </c>
      <c r="L137" s="14" t="inlineStr">
        <is>
          <t>FinOps Foundation · Green Software Foundation</t>
        </is>
      </c>
      <c r="M137" s="14" t="inlineStr">
        <is>
          <t>7.2.5 (evidence-provider), 6.5.1 (operational-support)</t>
        </is>
      </c>
      <c r="N137" s="16" t="inlineStr"/>
      <c r="O137" s="16" t="inlineStr"/>
    </row>
    <row r="138" ht="50" customHeight="1">
      <c r="A138" s="11" t="inlineStr">
        <is>
          <t>S9</t>
        </is>
      </c>
      <c r="B138" s="15" t="inlineStr">
        <is>
          <t>Observability, Operations &amp; Cost</t>
        </is>
      </c>
      <c r="C138" s="12" t="inlineStr">
        <is>
          <t>S9.14</t>
        </is>
      </c>
      <c r="D138" s="13" t="inlineStr">
        <is>
          <t>Telemetry Collection Pipeline</t>
        </is>
      </c>
      <c r="E138" s="44" t="inlineStr">
        <is>
          <t>ABB</t>
        </is>
      </c>
      <c r="F138" s="43" t="inlineStr"/>
      <c r="G138" s="11" t="inlineStr">
        <is>
          <t>application</t>
        </is>
      </c>
      <c r="H138" s="11" t="inlineStr">
        <is>
          <t>behavior service</t>
        </is>
      </c>
      <c r="I138" s="15" t="inlineStr">
        <is>
          <t>operations, evidence</t>
        </is>
      </c>
      <c r="J138" s="11" t="inlineStr">
        <is>
          <t>-</t>
        </is>
      </c>
      <c r="K138" s="14" t="inlineStr">
        <is>
          <t>Receives, batches, transforms and routes telemetry, applying sampling and redaction policy in transit.</t>
        </is>
      </c>
      <c r="L138" s="14" t="inlineStr">
        <is>
          <t>OpenTelemetry collector practice · Microsoft Foundry Control Plane</t>
        </is>
      </c>
      <c r="M138" s="14" t="inlineStr">
        <is>
          <t>6.2.1 (operational-support)</t>
        </is>
      </c>
      <c r="N138" s="16" t="inlineStr"/>
      <c r="O138" s="16" t="inlineStr"/>
    </row>
    <row r="139" ht="50" customHeight="1">
      <c r="A139" s="11" t="inlineStr">
        <is>
          <t>S9</t>
        </is>
      </c>
      <c r="B139" s="15" t="inlineStr">
        <is>
          <t>Observability, Operations &amp; Cost</t>
        </is>
      </c>
      <c r="C139" s="12" t="inlineStr">
        <is>
          <t>S9.15</t>
        </is>
      </c>
      <c r="D139" s="13" t="inlineStr">
        <is>
          <t>Protected Telemetry &amp; Evidence Store</t>
        </is>
      </c>
      <c r="E139" s="44" t="inlineStr">
        <is>
          <t>ABB</t>
        </is>
      </c>
      <c r="F139" s="43" t="inlineStr"/>
      <c r="G139" s="11" t="inlineStr">
        <is>
          <t>data</t>
        </is>
      </c>
      <c r="H139" s="11" t="inlineStr">
        <is>
          <t>passive structure information</t>
        </is>
      </c>
      <c r="I139" s="15" t="inlineStr">
        <is>
          <t>operations, evidence</t>
        </is>
      </c>
      <c r="J139" s="11" t="inlineStr">
        <is>
          <t>-</t>
        </is>
      </c>
      <c r="K139" s="14" t="inlineStr">
        <is>
          <t>Retains telemetry and assessment evidence under access control, retention policy and tamper-evidence.</t>
        </is>
      </c>
      <c r="L139" s="14" t="inlineStr">
        <is>
          <t>GAO AI Accountability Framework · ISO/IEC 42001</t>
        </is>
      </c>
      <c r="M139" s="14" t="inlineStr">
        <is>
          <t>7.8.2 (evidence-provider), 6.2.2 (operational-support)</t>
        </is>
      </c>
      <c r="N139" s="16" t="inlineStr"/>
      <c r="O139" s="16" t="inlineStr">
        <is>
          <t>Elevated</t>
        </is>
      </c>
    </row>
    <row r="140" ht="50" customHeight="1">
      <c r="A140" s="11" t="inlineStr">
        <is>
          <t>S10</t>
        </is>
      </c>
      <c r="B140" s="15" t="inlineStr">
        <is>
          <t>Standards &amp; Protocol Profiles</t>
        </is>
      </c>
      <c r="C140" s="12" t="inlineStr">
        <is>
          <t>S10.1</t>
        </is>
      </c>
      <c r="D140" s="13" t="inlineStr">
        <is>
          <t>MCP Enterprise Client Profile</t>
        </is>
      </c>
      <c r="E140" s="21" t="inlineStr">
        <is>
          <t>STD</t>
        </is>
      </c>
      <c r="F140" s="43" t="inlineStr"/>
      <c r="G140" s="11" t="inlineStr">
        <is>
          <t>technology</t>
        </is>
      </c>
      <c r="H140" s="11" t="inlineStr">
        <is>
          <t>behavior service</t>
        </is>
      </c>
      <c r="I140" s="15" t="inlineStr">
        <is>
          <t>-</t>
        </is>
      </c>
      <c r="J140" s="11" t="inlineStr">
        <is>
          <t>-</t>
        </is>
      </c>
      <c r="K140" s="14" t="inlineStr">
        <is>
          <t>Pinned profile of the Model Context Protocol: revision, transports, primitives in use and deprecation dates carried.</t>
        </is>
      </c>
      <c r="L140" s="14" t="inlineStr">
        <is>
          <t>MCP specification 2026-07-28</t>
        </is>
      </c>
      <c r="M140" s="14" t="inlineStr">
        <is>
          <t>-</t>
        </is>
      </c>
      <c r="N140" s="16" t="inlineStr"/>
      <c r="O140" s="16" t="inlineStr"/>
    </row>
    <row r="141" ht="50" customHeight="1">
      <c r="A141" s="11" t="inlineStr">
        <is>
          <t>S10</t>
        </is>
      </c>
      <c r="B141" s="15" t="inlineStr">
        <is>
          <t>Standards &amp; Protocol Profiles</t>
        </is>
      </c>
      <c r="C141" s="12" t="inlineStr">
        <is>
          <t>S10.2</t>
        </is>
      </c>
      <c r="D141" s="13" t="inlineStr">
        <is>
          <t>A2A Interoperability Profile</t>
        </is>
      </c>
      <c r="E141" s="21" t="inlineStr">
        <is>
          <t>STD</t>
        </is>
      </c>
      <c r="F141" s="43" t="inlineStr"/>
      <c r="G141" s="11" t="inlineStr">
        <is>
          <t>technology</t>
        </is>
      </c>
      <c r="H141" s="11" t="inlineStr">
        <is>
          <t>behavior service</t>
        </is>
      </c>
      <c r="I141" s="15" t="inlineStr">
        <is>
          <t>-</t>
        </is>
      </c>
      <c r="J141" s="11" t="inlineStr">
        <is>
          <t>-</t>
        </is>
      </c>
      <c r="K141" s="14" t="inlineStr">
        <is>
          <t>Pinned profile of the Agent-to-Agent protocol: Agent Card fields, task states, bindings and signature verification.</t>
        </is>
      </c>
      <c r="L141" s="14" t="inlineStr">
        <is>
          <t>A2A specification 1.0.0</t>
        </is>
      </c>
      <c r="M141" s="14" t="inlineStr">
        <is>
          <t>-</t>
        </is>
      </c>
      <c r="N141" s="16" t="inlineStr"/>
      <c r="O141" s="16" t="inlineStr"/>
    </row>
    <row r="142" ht="50" customHeight="1">
      <c r="A142" s="11" t="inlineStr">
        <is>
          <t>S10</t>
        </is>
      </c>
      <c r="B142" s="15" t="inlineStr">
        <is>
          <t>Standards &amp; Protocol Profiles</t>
        </is>
      </c>
      <c r="C142" s="12" t="inlineStr">
        <is>
          <t>S10.3</t>
        </is>
      </c>
      <c r="D142" s="13" t="inlineStr">
        <is>
          <t>GenAI Telemetry Convention Profile</t>
        </is>
      </c>
      <c r="E142" s="21" t="inlineStr">
        <is>
          <t>STD</t>
        </is>
      </c>
      <c r="F142" s="43" t="inlineStr"/>
      <c r="G142" s="11" t="inlineStr">
        <is>
          <t>technology</t>
        </is>
      </c>
      <c r="H142" s="11" t="inlineStr">
        <is>
          <t>behavior service</t>
        </is>
      </c>
      <c r="I142" s="15" t="inlineStr">
        <is>
          <t>-</t>
        </is>
      </c>
      <c r="J142" s="11" t="inlineStr">
        <is>
          <t>-</t>
        </is>
      </c>
      <c r="K142" s="14" t="inlineStr">
        <is>
          <t>Pinned commit of the GenAI semantic conventions, with per-convention stability recorded.</t>
        </is>
      </c>
      <c r="L142" s="14" t="inlineStr">
        <is>
          <t>OpenTelemetry GenAI semantic conventions - Development status</t>
        </is>
      </c>
      <c r="M142" s="14" t="inlineStr">
        <is>
          <t>-</t>
        </is>
      </c>
      <c r="N142" s="16" t="inlineStr"/>
      <c r="O142" s="16" t="inlineStr"/>
    </row>
    <row r="143" ht="50" customHeight="1">
      <c r="A143" s="11" t="inlineStr">
        <is>
          <t>S10</t>
        </is>
      </c>
      <c r="B143" s="15" t="inlineStr">
        <is>
          <t>Standards &amp; Protocol Profiles</t>
        </is>
      </c>
      <c r="C143" s="12" t="inlineStr">
        <is>
          <t>S10.4</t>
        </is>
      </c>
      <c r="D143" s="13" t="inlineStr">
        <is>
          <t>Content Provenance Profile</t>
        </is>
      </c>
      <c r="E143" s="21" t="inlineStr">
        <is>
          <t>STD</t>
        </is>
      </c>
      <c r="F143" s="43" t="inlineStr"/>
      <c r="G143" s="11" t="inlineStr">
        <is>
          <t>technology</t>
        </is>
      </c>
      <c r="H143" s="11" t="inlineStr">
        <is>
          <t>behavior service</t>
        </is>
      </c>
      <c r="I143" s="15" t="inlineStr">
        <is>
          <t>-</t>
        </is>
      </c>
      <c r="J143" s="11" t="inlineStr">
        <is>
          <t>-</t>
        </is>
      </c>
      <c r="K143" s="14" t="inlineStr">
        <is>
          <t>Pinned C2PA profile covering assertions, digital source types and validation.</t>
        </is>
      </c>
      <c r="L143" s="14" t="inlineStr">
        <is>
          <t>C2PA specification 2.4</t>
        </is>
      </c>
      <c r="M143" s="14" t="inlineStr">
        <is>
          <t>-</t>
        </is>
      </c>
      <c r="N143" s="16" t="inlineStr"/>
      <c r="O143" s="16" t="inlineStr"/>
    </row>
    <row r="144" ht="50" customHeight="1">
      <c r="A144" s="11" t="inlineStr">
        <is>
          <t>S10</t>
        </is>
      </c>
      <c r="B144" s="15" t="inlineStr">
        <is>
          <t>Standards &amp; Protocol Profiles</t>
        </is>
      </c>
      <c r="C144" s="12" t="inlineStr">
        <is>
          <t>S10.5</t>
        </is>
      </c>
      <c r="D144" s="13" t="inlineStr">
        <is>
          <t>Delegated Authorization Profile</t>
        </is>
      </c>
      <c r="E144" s="21" t="inlineStr">
        <is>
          <t>STD</t>
        </is>
      </c>
      <c r="F144" s="43" t="inlineStr"/>
      <c r="G144" s="11" t="inlineStr">
        <is>
          <t>technology</t>
        </is>
      </c>
      <c r="H144" s="11" t="inlineStr">
        <is>
          <t>behavior service</t>
        </is>
      </c>
      <c r="I144" s="15" t="inlineStr">
        <is>
          <t>-</t>
        </is>
      </c>
      <c r="J144" s="11" t="inlineStr">
        <is>
          <t>-</t>
        </is>
      </c>
      <c r="K144" s="14" t="inlineStr">
        <is>
          <t>Pinned OAuth 2.0 / OIDC profile for on-behalf-of exchange, audience restriction and least privilege.</t>
        </is>
      </c>
      <c r="L144" s="14" t="inlineStr">
        <is>
          <t>IETF OAuth 2.0 · MCP specification 2026-07-28</t>
        </is>
      </c>
      <c r="M144" s="14" t="inlineStr">
        <is>
          <t>-</t>
        </is>
      </c>
      <c r="N144" s="16" t="inlineStr"/>
      <c r="O144" s="16" t="inlineStr"/>
    </row>
    <row r="146" ht="52" customHeight="1">
      <c r="A146" s="22" t="inlineStr">
        <is>
          <t>What COULD exist in the AI domain - vendor-neutral, stable, not a statement about this institution. SVC = something a consumer calls. ABB = a piece inside an architecture. PAT = a governed arrangement of blocks. STD = a specification someone else maintains. Entries marked 'either' are genuinely ambiguous: OCR is an ABB when you design a document pipeline and a Service when someone exposes an endpoint. Same concept, two registers - not a conflict. Pick patterns and building blocks from here when you write a row on sheet 2.</t>
        </is>
      </c>
    </row>
  </sheetData>
  <autoFilter ref="A1:O144"/>
  <mergeCells count="1">
    <mergeCell ref="A146:O14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4"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1" customWidth="1" min="14" max="14"/>
    <col width="9" customWidth="1" min="15" max="15"/>
    <col width="46" customWidth="1" min="16" max="16"/>
  </cols>
  <sheetData>
    <row r="1" ht="32" customHeight="1">
      <c r="A1" s="10" t="inlineStr">
        <is>
          <t>Domain</t>
        </is>
      </c>
      <c r="B1" s="10" t="inlineStr">
        <is>
          <t>ID</t>
        </is>
      </c>
      <c r="C1" s="10" t="inlineStr">
        <is>
          <t>Capability</t>
        </is>
      </c>
      <c r="D1" s="10" t="inlineStr">
        <is>
          <t>S1</t>
        </is>
      </c>
      <c r="E1" s="10" t="inlineStr">
        <is>
          <t>S2</t>
        </is>
      </c>
      <c r="F1" s="10" t="inlineStr">
        <is>
          <t>S3</t>
        </is>
      </c>
      <c r="G1" s="10" t="inlineStr">
        <is>
          <t>S4</t>
        </is>
      </c>
      <c r="H1" s="10" t="inlineStr">
        <is>
          <t>S5</t>
        </is>
      </c>
      <c r="I1" s="10" t="inlineStr">
        <is>
          <t>S6</t>
        </is>
      </c>
      <c r="J1" s="10" t="inlineStr">
        <is>
          <t>S7</t>
        </is>
      </c>
      <c r="K1" s="10" t="inlineStr">
        <is>
          <t>S8</t>
        </is>
      </c>
      <c r="L1" s="10" t="inlineStr">
        <is>
          <t>S9</t>
        </is>
      </c>
      <c r="M1" s="10" t="inlineStr">
        <is>
          <t>S10</t>
        </is>
      </c>
      <c r="N1" s="10" t="inlineStr">
        <is>
          <t>Enabler total</t>
        </is>
      </c>
      <c r="O1" s="10" t="inlineStr">
        <is>
          <t>All edges</t>
        </is>
      </c>
      <c r="P1" s="10" t="inlineStr">
        <is>
          <t>Blank reason</t>
        </is>
      </c>
    </row>
    <row r="2" ht="28" customHeight="1">
      <c r="A2" s="11" t="inlineStr">
        <is>
          <t>D1</t>
        </is>
      </c>
      <c r="B2" s="12" t="inlineStr">
        <is>
          <t>1.1</t>
        </is>
      </c>
      <c r="C2" s="13" t="inlineStr">
        <is>
          <t>AI Vision &amp; Strategy Definition</t>
        </is>
      </c>
      <c r="D2" s="19">
        <f>SUMIFS('9. Typed edges'!$I$2:$I$400,'9. Typed edges'!$F$2:$F$400,$B2,'9. Typed edges'!$C$2:$C$400,D$1)</f>
        <v/>
      </c>
      <c r="E2" s="19">
        <f>SUMIFS('9. Typed edges'!$I$2:$I$400,'9. Typed edges'!$F$2:$F$400,$B2,'9. Typed edges'!$C$2:$C$400,E$1)</f>
        <v/>
      </c>
      <c r="F2" s="19">
        <f>SUMIFS('9. Typed edges'!$I$2:$I$400,'9. Typed edges'!$F$2:$F$400,$B2,'9. Typed edges'!$C$2:$C$400,F$1)</f>
        <v/>
      </c>
      <c r="G2" s="19">
        <f>SUMIFS('9. Typed edges'!$I$2:$I$400,'9. Typed edges'!$F$2:$F$400,$B2,'9. Typed edges'!$C$2:$C$400,G$1)</f>
        <v/>
      </c>
      <c r="H2" s="19">
        <f>SUMIFS('9. Typed edges'!$I$2:$I$400,'9. Typed edges'!$F$2:$F$400,$B2,'9. Typed edges'!$C$2:$C$400,H$1)</f>
        <v/>
      </c>
      <c r="I2" s="19">
        <f>SUMIFS('9. Typed edges'!$I$2:$I$400,'9. Typed edges'!$F$2:$F$400,$B2,'9. Typed edges'!$C$2:$C$400,I$1)</f>
        <v/>
      </c>
      <c r="J2" s="19">
        <f>SUMIFS('9. Typed edges'!$I$2:$I$400,'9. Typed edges'!$F$2:$F$400,$B2,'9. Typed edges'!$C$2:$C$400,J$1)</f>
        <v/>
      </c>
      <c r="K2" s="19">
        <f>SUMIFS('9. Typed edges'!$I$2:$I$400,'9. Typed edges'!$F$2:$F$400,$B2,'9. Typed edges'!$C$2:$C$400,K$1)</f>
        <v/>
      </c>
      <c r="L2" s="19">
        <f>SUMIFS('9. Typed edges'!$I$2:$I$400,'9. Typed edges'!$F$2:$F$400,$B2,'9. Typed edges'!$C$2:$C$400,L$1)</f>
        <v/>
      </c>
      <c r="M2" s="19">
        <f>SUMIFS('9. Typed edges'!$I$2:$I$400,'9. Typed edges'!$F$2:$F$400,$B2,'9. Typed edges'!$C$2:$C$400,M$1)</f>
        <v/>
      </c>
      <c r="N2" s="45">
        <f>SUM(D2:M2)</f>
        <v/>
      </c>
      <c r="O2" s="19">
        <f>SUMIFS('9. Typed edges'!$H$2:$H$400,'9. Typed edges'!$F$2:$F$400,$B2)</f>
        <v/>
      </c>
      <c r="P2" s="14">
        <f>IF(N2&gt;0,"",IF(O2&gt;0,"Control and evidence support only - the ability itself is organizational","Organizational capability - no technology realizes it"))</f>
        <v/>
      </c>
    </row>
    <row r="3" ht="28" customHeight="1">
      <c r="A3" s="11" t="inlineStr">
        <is>
          <t>D1</t>
        </is>
      </c>
      <c r="B3" s="12" t="inlineStr">
        <is>
          <t>1.2</t>
        </is>
      </c>
      <c r="C3" s="13" t="inlineStr">
        <is>
          <t>AI Portfolio &amp; Investment Management</t>
        </is>
      </c>
      <c r="D3" s="19">
        <f>SUMIFS('9. Typed edges'!$I$2:$I$400,'9. Typed edges'!$F$2:$F$400,$B3,'9. Typed edges'!$C$2:$C$400,D$1)</f>
        <v/>
      </c>
      <c r="E3" s="19">
        <f>SUMIFS('9. Typed edges'!$I$2:$I$400,'9. Typed edges'!$F$2:$F$400,$B3,'9. Typed edges'!$C$2:$C$400,E$1)</f>
        <v/>
      </c>
      <c r="F3" s="19">
        <f>SUMIFS('9. Typed edges'!$I$2:$I$400,'9. Typed edges'!$F$2:$F$400,$B3,'9. Typed edges'!$C$2:$C$400,F$1)</f>
        <v/>
      </c>
      <c r="G3" s="19">
        <f>SUMIFS('9. Typed edges'!$I$2:$I$400,'9. Typed edges'!$F$2:$F$400,$B3,'9. Typed edges'!$C$2:$C$400,G$1)</f>
        <v/>
      </c>
      <c r="H3" s="19">
        <f>SUMIFS('9. Typed edges'!$I$2:$I$400,'9. Typed edges'!$F$2:$F$400,$B3,'9. Typed edges'!$C$2:$C$400,H$1)</f>
        <v/>
      </c>
      <c r="I3" s="19">
        <f>SUMIFS('9. Typed edges'!$I$2:$I$400,'9. Typed edges'!$F$2:$F$400,$B3,'9. Typed edges'!$C$2:$C$400,I$1)</f>
        <v/>
      </c>
      <c r="J3" s="19">
        <f>SUMIFS('9. Typed edges'!$I$2:$I$400,'9. Typed edges'!$F$2:$F$400,$B3,'9. Typed edges'!$C$2:$C$400,J$1)</f>
        <v/>
      </c>
      <c r="K3" s="19">
        <f>SUMIFS('9. Typed edges'!$I$2:$I$400,'9. Typed edges'!$F$2:$F$400,$B3,'9. Typed edges'!$C$2:$C$400,K$1)</f>
        <v/>
      </c>
      <c r="L3" s="19">
        <f>SUMIFS('9. Typed edges'!$I$2:$I$400,'9. Typed edges'!$F$2:$F$400,$B3,'9. Typed edges'!$C$2:$C$400,L$1)</f>
        <v/>
      </c>
      <c r="M3" s="19">
        <f>SUMIFS('9. Typed edges'!$I$2:$I$400,'9. Typed edges'!$F$2:$F$400,$B3,'9. Typed edges'!$C$2:$C$400,M$1)</f>
        <v/>
      </c>
      <c r="N3" s="45">
        <f>SUM(D3:M3)</f>
        <v/>
      </c>
      <c r="O3" s="19">
        <f>SUMIFS('9. Typed edges'!$H$2:$H$400,'9. Typed edges'!$F$2:$F$400,$B3)</f>
        <v/>
      </c>
      <c r="P3" s="14">
        <f>IF(N3&gt;0,"",IF(O3&gt;0,"Control and evidence support only - the ability itself is organizational","Realized by existing enterprise services - Enterprise portfolio and investment management"))</f>
        <v/>
      </c>
    </row>
    <row r="4" ht="28" customHeight="1">
      <c r="A4" s="11" t="inlineStr">
        <is>
          <t>D1</t>
        </is>
      </c>
      <c r="B4" s="12" t="inlineStr">
        <is>
          <t>1.3</t>
        </is>
      </c>
      <c r="C4" s="13" t="inlineStr">
        <is>
          <t>Value Realization &amp; Performance Reporting</t>
        </is>
      </c>
      <c r="D4" s="19">
        <f>SUMIFS('9. Typed edges'!$I$2:$I$400,'9. Typed edges'!$F$2:$F$400,$B4,'9. Typed edges'!$C$2:$C$400,D$1)</f>
        <v/>
      </c>
      <c r="E4" s="19">
        <f>SUMIFS('9. Typed edges'!$I$2:$I$400,'9. Typed edges'!$F$2:$F$400,$B4,'9. Typed edges'!$C$2:$C$400,E$1)</f>
        <v/>
      </c>
      <c r="F4" s="19">
        <f>SUMIFS('9. Typed edges'!$I$2:$I$400,'9. Typed edges'!$F$2:$F$400,$B4,'9. Typed edges'!$C$2:$C$400,F$1)</f>
        <v/>
      </c>
      <c r="G4" s="19">
        <f>SUMIFS('9. Typed edges'!$I$2:$I$400,'9. Typed edges'!$F$2:$F$400,$B4,'9. Typed edges'!$C$2:$C$400,G$1)</f>
        <v/>
      </c>
      <c r="H4" s="19">
        <f>SUMIFS('9. Typed edges'!$I$2:$I$400,'9. Typed edges'!$F$2:$F$400,$B4,'9. Typed edges'!$C$2:$C$400,H$1)</f>
        <v/>
      </c>
      <c r="I4" s="19">
        <f>SUMIFS('9. Typed edges'!$I$2:$I$400,'9. Typed edges'!$F$2:$F$400,$B4,'9. Typed edges'!$C$2:$C$400,I$1)</f>
        <v/>
      </c>
      <c r="J4" s="19">
        <f>SUMIFS('9. Typed edges'!$I$2:$I$400,'9. Typed edges'!$F$2:$F$400,$B4,'9. Typed edges'!$C$2:$C$400,J$1)</f>
        <v/>
      </c>
      <c r="K4" s="19">
        <f>SUMIFS('9. Typed edges'!$I$2:$I$400,'9. Typed edges'!$F$2:$F$400,$B4,'9. Typed edges'!$C$2:$C$400,K$1)</f>
        <v/>
      </c>
      <c r="L4" s="19">
        <f>SUMIFS('9. Typed edges'!$I$2:$I$400,'9. Typed edges'!$F$2:$F$400,$B4,'9. Typed edges'!$C$2:$C$400,L$1)</f>
        <v/>
      </c>
      <c r="M4" s="19">
        <f>SUMIFS('9. Typed edges'!$I$2:$I$400,'9. Typed edges'!$F$2:$F$400,$B4,'9. Typed edges'!$C$2:$C$400,M$1)</f>
        <v/>
      </c>
      <c r="N4" s="45">
        <f>SUM(D4:M4)</f>
        <v/>
      </c>
      <c r="O4" s="19">
        <f>SUMIFS('9. Typed edges'!$H$2:$H$400,'9. Typed edges'!$F$2:$F$400,$B4)</f>
        <v/>
      </c>
      <c r="P4" s="14">
        <f>IF(N4&gt;0,"",IF(O4&gt;0,"Control and evidence support only - the ability itself is organizational","Realized by existing enterprise services - Benefits realization and performance reporting tooling"))</f>
        <v/>
      </c>
    </row>
    <row r="5" ht="28" customHeight="1">
      <c r="A5" s="11" t="inlineStr">
        <is>
          <t>D1</t>
        </is>
      </c>
      <c r="B5" s="12" t="inlineStr">
        <is>
          <t>1.4</t>
        </is>
      </c>
      <c r="C5" s="13" t="inlineStr">
        <is>
          <t>AI Sourcing &amp; Partner Strategy</t>
        </is>
      </c>
      <c r="D5" s="19">
        <f>SUMIFS('9. Typed edges'!$I$2:$I$400,'9. Typed edges'!$F$2:$F$400,$B5,'9. Typed edges'!$C$2:$C$400,D$1)</f>
        <v/>
      </c>
      <c r="E5" s="19">
        <f>SUMIFS('9. Typed edges'!$I$2:$I$400,'9. Typed edges'!$F$2:$F$400,$B5,'9. Typed edges'!$C$2:$C$400,E$1)</f>
        <v/>
      </c>
      <c r="F5" s="19">
        <f>SUMIFS('9. Typed edges'!$I$2:$I$400,'9. Typed edges'!$F$2:$F$400,$B5,'9. Typed edges'!$C$2:$C$400,F$1)</f>
        <v/>
      </c>
      <c r="G5" s="19">
        <f>SUMIFS('9. Typed edges'!$I$2:$I$400,'9. Typed edges'!$F$2:$F$400,$B5,'9. Typed edges'!$C$2:$C$400,G$1)</f>
        <v/>
      </c>
      <c r="H5" s="19">
        <f>SUMIFS('9. Typed edges'!$I$2:$I$400,'9. Typed edges'!$F$2:$F$400,$B5,'9. Typed edges'!$C$2:$C$400,H$1)</f>
        <v/>
      </c>
      <c r="I5" s="19">
        <f>SUMIFS('9. Typed edges'!$I$2:$I$400,'9. Typed edges'!$F$2:$F$400,$B5,'9. Typed edges'!$C$2:$C$400,I$1)</f>
        <v/>
      </c>
      <c r="J5" s="19">
        <f>SUMIFS('9. Typed edges'!$I$2:$I$400,'9. Typed edges'!$F$2:$F$400,$B5,'9. Typed edges'!$C$2:$C$400,J$1)</f>
        <v/>
      </c>
      <c r="K5" s="19">
        <f>SUMIFS('9. Typed edges'!$I$2:$I$400,'9. Typed edges'!$F$2:$F$400,$B5,'9. Typed edges'!$C$2:$C$400,K$1)</f>
        <v/>
      </c>
      <c r="L5" s="19">
        <f>SUMIFS('9. Typed edges'!$I$2:$I$400,'9. Typed edges'!$F$2:$F$400,$B5,'9. Typed edges'!$C$2:$C$400,L$1)</f>
        <v/>
      </c>
      <c r="M5" s="19">
        <f>SUMIFS('9. Typed edges'!$I$2:$I$400,'9. Typed edges'!$F$2:$F$400,$B5,'9. Typed edges'!$C$2:$C$400,M$1)</f>
        <v/>
      </c>
      <c r="N5" s="45">
        <f>SUM(D5:M5)</f>
        <v/>
      </c>
      <c r="O5" s="19">
        <f>SUMIFS('9. Typed edges'!$H$2:$H$400,'9. Typed edges'!$F$2:$F$400,$B5)</f>
        <v/>
      </c>
      <c r="P5" s="14">
        <f>IF(N5&gt;0,"",IF(O5&gt;0,"Control and evidence support only - the ability itself is organizational","Realized by existing enterprise services - Procurement and vendor management systems"))</f>
        <v/>
      </c>
    </row>
    <row r="6" ht="28" customHeight="1">
      <c r="A6" s="11" t="inlineStr">
        <is>
          <t>D1</t>
        </is>
      </c>
      <c r="B6" s="12" t="inlineStr">
        <is>
          <t>1.5</t>
        </is>
      </c>
      <c r="C6" s="13" t="inlineStr">
        <is>
          <t>AI Ecosystem &amp; Alliance Management</t>
        </is>
      </c>
      <c r="D6" s="19">
        <f>SUMIFS('9. Typed edges'!$I$2:$I$400,'9. Typed edges'!$F$2:$F$400,$B6,'9. Typed edges'!$C$2:$C$400,D$1)</f>
        <v/>
      </c>
      <c r="E6" s="19">
        <f>SUMIFS('9. Typed edges'!$I$2:$I$400,'9. Typed edges'!$F$2:$F$400,$B6,'9. Typed edges'!$C$2:$C$400,E$1)</f>
        <v/>
      </c>
      <c r="F6" s="19">
        <f>SUMIFS('9. Typed edges'!$I$2:$I$400,'9. Typed edges'!$F$2:$F$400,$B6,'9. Typed edges'!$C$2:$C$400,F$1)</f>
        <v/>
      </c>
      <c r="G6" s="19">
        <f>SUMIFS('9. Typed edges'!$I$2:$I$400,'9. Typed edges'!$F$2:$F$400,$B6,'9. Typed edges'!$C$2:$C$400,G$1)</f>
        <v/>
      </c>
      <c r="H6" s="19">
        <f>SUMIFS('9. Typed edges'!$I$2:$I$400,'9. Typed edges'!$F$2:$F$400,$B6,'9. Typed edges'!$C$2:$C$400,H$1)</f>
        <v/>
      </c>
      <c r="I6" s="19">
        <f>SUMIFS('9. Typed edges'!$I$2:$I$400,'9. Typed edges'!$F$2:$F$400,$B6,'9. Typed edges'!$C$2:$C$400,I$1)</f>
        <v/>
      </c>
      <c r="J6" s="19">
        <f>SUMIFS('9. Typed edges'!$I$2:$I$400,'9. Typed edges'!$F$2:$F$400,$B6,'9. Typed edges'!$C$2:$C$400,J$1)</f>
        <v/>
      </c>
      <c r="K6" s="19">
        <f>SUMIFS('9. Typed edges'!$I$2:$I$400,'9. Typed edges'!$F$2:$F$400,$B6,'9. Typed edges'!$C$2:$C$400,K$1)</f>
        <v/>
      </c>
      <c r="L6" s="19">
        <f>SUMIFS('9. Typed edges'!$I$2:$I$400,'9. Typed edges'!$F$2:$F$400,$B6,'9. Typed edges'!$C$2:$C$400,L$1)</f>
        <v/>
      </c>
      <c r="M6" s="19">
        <f>SUMIFS('9. Typed edges'!$I$2:$I$400,'9. Typed edges'!$F$2:$F$400,$B6,'9. Typed edges'!$C$2:$C$400,M$1)</f>
        <v/>
      </c>
      <c r="N6" s="45">
        <f>SUM(D6:M6)</f>
        <v/>
      </c>
      <c r="O6" s="19">
        <f>SUMIFS('9. Typed edges'!$H$2:$H$400,'9. Typed edges'!$F$2:$F$400,$B6)</f>
        <v/>
      </c>
      <c r="P6" s="14">
        <f>IF(N6&gt;0,"",IF(O6&gt;0,"Control and evidence support only - the ability itself is organizational","UNEXPLAINED - review"))</f>
        <v/>
      </c>
    </row>
    <row r="7" ht="28" customHeight="1">
      <c r="A7" s="11" t="inlineStr">
        <is>
          <t>D2</t>
        </is>
      </c>
      <c r="B7" s="12" t="inlineStr">
        <is>
          <t>2.1</t>
        </is>
      </c>
      <c r="C7" s="13" t="inlineStr">
        <is>
          <t>Use Case Discovery &amp; Intake</t>
        </is>
      </c>
      <c r="D7" s="19">
        <f>SUMIFS('9. Typed edges'!$I$2:$I$400,'9. Typed edges'!$F$2:$F$400,$B7,'9. Typed edges'!$C$2:$C$400,D$1)</f>
        <v/>
      </c>
      <c r="E7" s="19">
        <f>SUMIFS('9. Typed edges'!$I$2:$I$400,'9. Typed edges'!$F$2:$F$400,$B7,'9. Typed edges'!$C$2:$C$400,E$1)</f>
        <v/>
      </c>
      <c r="F7" s="19">
        <f>SUMIFS('9. Typed edges'!$I$2:$I$400,'9. Typed edges'!$F$2:$F$400,$B7,'9. Typed edges'!$C$2:$C$400,F$1)</f>
        <v/>
      </c>
      <c r="G7" s="19">
        <f>SUMIFS('9. Typed edges'!$I$2:$I$400,'9. Typed edges'!$F$2:$F$400,$B7,'9. Typed edges'!$C$2:$C$400,G$1)</f>
        <v/>
      </c>
      <c r="H7" s="19">
        <f>SUMIFS('9. Typed edges'!$I$2:$I$400,'9. Typed edges'!$F$2:$F$400,$B7,'9. Typed edges'!$C$2:$C$400,H$1)</f>
        <v/>
      </c>
      <c r="I7" s="19">
        <f>SUMIFS('9. Typed edges'!$I$2:$I$400,'9. Typed edges'!$F$2:$F$400,$B7,'9. Typed edges'!$C$2:$C$400,I$1)</f>
        <v/>
      </c>
      <c r="J7" s="19">
        <f>SUMIFS('9. Typed edges'!$I$2:$I$400,'9. Typed edges'!$F$2:$F$400,$B7,'9. Typed edges'!$C$2:$C$400,J$1)</f>
        <v/>
      </c>
      <c r="K7" s="19">
        <f>SUMIFS('9. Typed edges'!$I$2:$I$400,'9. Typed edges'!$F$2:$F$400,$B7,'9. Typed edges'!$C$2:$C$400,K$1)</f>
        <v/>
      </c>
      <c r="L7" s="19">
        <f>SUMIFS('9. Typed edges'!$I$2:$I$400,'9. Typed edges'!$F$2:$F$400,$B7,'9. Typed edges'!$C$2:$C$400,L$1)</f>
        <v/>
      </c>
      <c r="M7" s="19">
        <f>SUMIFS('9. Typed edges'!$I$2:$I$400,'9. Typed edges'!$F$2:$F$400,$B7,'9. Typed edges'!$C$2:$C$400,M$1)</f>
        <v/>
      </c>
      <c r="N7" s="45">
        <f>SUM(D7:M7)</f>
        <v/>
      </c>
      <c r="O7" s="19">
        <f>SUMIFS('9. Typed edges'!$H$2:$H$400,'9. Typed edges'!$F$2:$F$400,$B7)</f>
        <v/>
      </c>
      <c r="P7" s="14">
        <f>IF(N7&gt;0,"",IF(O7&gt;0,"Control and evidence support only - the ability itself is organizational","Realized by existing enterprise services - Demand management / ITSM intake"))</f>
        <v/>
      </c>
    </row>
    <row r="8" ht="28" customHeight="1">
      <c r="A8" s="11" t="inlineStr">
        <is>
          <t>D2</t>
        </is>
      </c>
      <c r="B8" s="12" t="inlineStr">
        <is>
          <t>2.2</t>
        </is>
      </c>
      <c r="C8" s="13" t="inlineStr">
        <is>
          <t>AI Use-Case Feasibility &amp; Qualification</t>
        </is>
      </c>
      <c r="D8" s="19">
        <f>SUMIFS('9. Typed edges'!$I$2:$I$400,'9. Typed edges'!$F$2:$F$400,$B8,'9. Typed edges'!$C$2:$C$400,D$1)</f>
        <v/>
      </c>
      <c r="E8" s="19">
        <f>SUMIFS('9. Typed edges'!$I$2:$I$400,'9. Typed edges'!$F$2:$F$400,$B8,'9. Typed edges'!$C$2:$C$400,E$1)</f>
        <v/>
      </c>
      <c r="F8" s="19">
        <f>SUMIFS('9. Typed edges'!$I$2:$I$400,'9. Typed edges'!$F$2:$F$400,$B8,'9. Typed edges'!$C$2:$C$400,F$1)</f>
        <v/>
      </c>
      <c r="G8" s="19">
        <f>SUMIFS('9. Typed edges'!$I$2:$I$400,'9. Typed edges'!$F$2:$F$400,$B8,'9. Typed edges'!$C$2:$C$400,G$1)</f>
        <v/>
      </c>
      <c r="H8" s="19">
        <f>SUMIFS('9. Typed edges'!$I$2:$I$400,'9. Typed edges'!$F$2:$F$400,$B8,'9. Typed edges'!$C$2:$C$400,H$1)</f>
        <v/>
      </c>
      <c r="I8" s="19">
        <f>SUMIFS('9. Typed edges'!$I$2:$I$400,'9. Typed edges'!$F$2:$F$400,$B8,'9. Typed edges'!$C$2:$C$400,I$1)</f>
        <v/>
      </c>
      <c r="J8" s="19">
        <f>SUMIFS('9. Typed edges'!$I$2:$I$400,'9. Typed edges'!$F$2:$F$400,$B8,'9. Typed edges'!$C$2:$C$400,J$1)</f>
        <v/>
      </c>
      <c r="K8" s="19">
        <f>SUMIFS('9. Typed edges'!$I$2:$I$400,'9. Typed edges'!$F$2:$F$400,$B8,'9. Typed edges'!$C$2:$C$400,K$1)</f>
        <v/>
      </c>
      <c r="L8" s="19">
        <f>SUMIFS('9. Typed edges'!$I$2:$I$400,'9. Typed edges'!$F$2:$F$400,$B8,'9. Typed edges'!$C$2:$C$400,L$1)</f>
        <v/>
      </c>
      <c r="M8" s="19">
        <f>SUMIFS('9. Typed edges'!$I$2:$I$400,'9. Typed edges'!$F$2:$F$400,$B8,'9. Typed edges'!$C$2:$C$400,M$1)</f>
        <v/>
      </c>
      <c r="N8" s="45">
        <f>SUM(D8:M8)</f>
        <v/>
      </c>
      <c r="O8" s="19">
        <f>SUMIFS('9. Typed edges'!$H$2:$H$400,'9. Typed edges'!$F$2:$F$400,$B8)</f>
        <v/>
      </c>
      <c r="P8" s="14">
        <f>IF(N8&gt;0,"",IF(O8&gt;0,"Control and evidence support only - the ability itself is organizational","Organizational capability - no technology realizes it"))</f>
        <v/>
      </c>
    </row>
    <row r="9" ht="28" customHeight="1">
      <c r="A9" s="11" t="inlineStr">
        <is>
          <t>D2</t>
        </is>
      </c>
      <c r="B9" s="12" t="inlineStr">
        <is>
          <t>2.3</t>
        </is>
      </c>
      <c r="C9" s="13" t="inlineStr">
        <is>
          <t>AI Product Management</t>
        </is>
      </c>
      <c r="D9" s="19">
        <f>SUMIFS('9. Typed edges'!$I$2:$I$400,'9. Typed edges'!$F$2:$F$400,$B9,'9. Typed edges'!$C$2:$C$400,D$1)</f>
        <v/>
      </c>
      <c r="E9" s="19">
        <f>SUMIFS('9. Typed edges'!$I$2:$I$400,'9. Typed edges'!$F$2:$F$400,$B9,'9. Typed edges'!$C$2:$C$400,E$1)</f>
        <v/>
      </c>
      <c r="F9" s="19">
        <f>SUMIFS('9. Typed edges'!$I$2:$I$400,'9. Typed edges'!$F$2:$F$400,$B9,'9. Typed edges'!$C$2:$C$400,F$1)</f>
        <v/>
      </c>
      <c r="G9" s="19">
        <f>SUMIFS('9. Typed edges'!$I$2:$I$400,'9. Typed edges'!$F$2:$F$400,$B9,'9. Typed edges'!$C$2:$C$400,G$1)</f>
        <v/>
      </c>
      <c r="H9" s="19">
        <f>SUMIFS('9. Typed edges'!$I$2:$I$400,'9. Typed edges'!$F$2:$F$400,$B9,'9. Typed edges'!$C$2:$C$400,H$1)</f>
        <v/>
      </c>
      <c r="I9" s="19">
        <f>SUMIFS('9. Typed edges'!$I$2:$I$400,'9. Typed edges'!$F$2:$F$400,$B9,'9. Typed edges'!$C$2:$C$400,I$1)</f>
        <v/>
      </c>
      <c r="J9" s="19">
        <f>SUMIFS('9. Typed edges'!$I$2:$I$400,'9. Typed edges'!$F$2:$F$400,$B9,'9. Typed edges'!$C$2:$C$400,J$1)</f>
        <v/>
      </c>
      <c r="K9" s="19">
        <f>SUMIFS('9. Typed edges'!$I$2:$I$400,'9. Typed edges'!$F$2:$F$400,$B9,'9. Typed edges'!$C$2:$C$400,K$1)</f>
        <v/>
      </c>
      <c r="L9" s="19">
        <f>SUMIFS('9. Typed edges'!$I$2:$I$400,'9. Typed edges'!$F$2:$F$400,$B9,'9. Typed edges'!$C$2:$C$400,L$1)</f>
        <v/>
      </c>
      <c r="M9" s="19">
        <f>SUMIFS('9. Typed edges'!$I$2:$I$400,'9. Typed edges'!$F$2:$F$400,$B9,'9. Typed edges'!$C$2:$C$400,M$1)</f>
        <v/>
      </c>
      <c r="N9" s="45">
        <f>SUM(D9:M9)</f>
        <v/>
      </c>
      <c r="O9" s="19">
        <f>SUMIFS('9. Typed edges'!$H$2:$H$400,'9. Typed edges'!$F$2:$F$400,$B9)</f>
        <v/>
      </c>
      <c r="P9" s="14">
        <f>IF(N9&gt;0,"",IF(O9&gt;0,"Control and evidence support only - the ability itself is organizational","UNEXPLAINED - review"))</f>
        <v/>
      </c>
    </row>
    <row r="10" ht="28" customHeight="1">
      <c r="A10" s="11" t="inlineStr">
        <is>
          <t>D2</t>
        </is>
      </c>
      <c r="B10" s="12" t="inlineStr">
        <is>
          <t>2.4</t>
        </is>
      </c>
      <c r="C10" s="13" t="inlineStr">
        <is>
          <t>Business Process &amp; Service Redesign</t>
        </is>
      </c>
      <c r="D10" s="19">
        <f>SUMIFS('9. Typed edges'!$I$2:$I$400,'9. Typed edges'!$F$2:$F$400,$B10,'9. Typed edges'!$C$2:$C$400,D$1)</f>
        <v/>
      </c>
      <c r="E10" s="19">
        <f>SUMIFS('9. Typed edges'!$I$2:$I$400,'9. Typed edges'!$F$2:$F$400,$B10,'9. Typed edges'!$C$2:$C$400,E$1)</f>
        <v/>
      </c>
      <c r="F10" s="19">
        <f>SUMIFS('9. Typed edges'!$I$2:$I$400,'9. Typed edges'!$F$2:$F$400,$B10,'9. Typed edges'!$C$2:$C$400,F$1)</f>
        <v/>
      </c>
      <c r="G10" s="19">
        <f>SUMIFS('9. Typed edges'!$I$2:$I$400,'9. Typed edges'!$F$2:$F$400,$B10,'9. Typed edges'!$C$2:$C$400,G$1)</f>
        <v/>
      </c>
      <c r="H10" s="19">
        <f>SUMIFS('9. Typed edges'!$I$2:$I$400,'9. Typed edges'!$F$2:$F$400,$B10,'9. Typed edges'!$C$2:$C$400,H$1)</f>
        <v/>
      </c>
      <c r="I10" s="19">
        <f>SUMIFS('9. Typed edges'!$I$2:$I$400,'9. Typed edges'!$F$2:$F$400,$B10,'9. Typed edges'!$C$2:$C$400,I$1)</f>
        <v/>
      </c>
      <c r="J10" s="19">
        <f>SUMIFS('9. Typed edges'!$I$2:$I$400,'9. Typed edges'!$F$2:$F$400,$B10,'9. Typed edges'!$C$2:$C$400,J$1)</f>
        <v/>
      </c>
      <c r="K10" s="19">
        <f>SUMIFS('9. Typed edges'!$I$2:$I$400,'9. Typed edges'!$F$2:$F$400,$B10,'9. Typed edges'!$C$2:$C$400,K$1)</f>
        <v/>
      </c>
      <c r="L10" s="19">
        <f>SUMIFS('9. Typed edges'!$I$2:$I$400,'9. Typed edges'!$F$2:$F$400,$B10,'9. Typed edges'!$C$2:$C$400,L$1)</f>
        <v/>
      </c>
      <c r="M10" s="19">
        <f>SUMIFS('9. Typed edges'!$I$2:$I$400,'9. Typed edges'!$F$2:$F$400,$B10,'9. Typed edges'!$C$2:$C$400,M$1)</f>
        <v/>
      </c>
      <c r="N10" s="45">
        <f>SUM(D10:M10)</f>
        <v/>
      </c>
      <c r="O10" s="19">
        <f>SUMIFS('9. Typed edges'!$H$2:$H$400,'9. Typed edges'!$F$2:$F$400,$B10)</f>
        <v/>
      </c>
      <c r="P10" s="14">
        <f>IF(N10&gt;0,"",IF(O10&gt;0,"Control and evidence support only - the ability itself is organizational","UNEXPLAINED - review"))</f>
        <v/>
      </c>
    </row>
    <row r="11" ht="28" customHeight="1">
      <c r="A11" s="11" t="inlineStr">
        <is>
          <t>D2</t>
        </is>
      </c>
      <c r="B11" s="12" t="inlineStr">
        <is>
          <t>2.5</t>
        </is>
      </c>
      <c r="C11" s="13" t="inlineStr">
        <is>
          <t>Human-AI Interaction &amp; Oversight Design</t>
        </is>
      </c>
      <c r="D11" s="19">
        <f>SUMIFS('9. Typed edges'!$I$2:$I$400,'9. Typed edges'!$F$2:$F$400,$B11,'9. Typed edges'!$C$2:$C$400,D$1)</f>
        <v/>
      </c>
      <c r="E11" s="19">
        <f>SUMIFS('9. Typed edges'!$I$2:$I$400,'9. Typed edges'!$F$2:$F$400,$B11,'9. Typed edges'!$C$2:$C$400,E$1)</f>
        <v/>
      </c>
      <c r="F11" s="19">
        <f>SUMIFS('9. Typed edges'!$I$2:$I$400,'9. Typed edges'!$F$2:$F$400,$B11,'9. Typed edges'!$C$2:$C$400,F$1)</f>
        <v/>
      </c>
      <c r="G11" s="19">
        <f>SUMIFS('9. Typed edges'!$I$2:$I$400,'9. Typed edges'!$F$2:$F$400,$B11,'9. Typed edges'!$C$2:$C$400,G$1)</f>
        <v/>
      </c>
      <c r="H11" s="19">
        <f>SUMIFS('9. Typed edges'!$I$2:$I$400,'9. Typed edges'!$F$2:$F$400,$B11,'9. Typed edges'!$C$2:$C$400,H$1)</f>
        <v/>
      </c>
      <c r="I11" s="19">
        <f>SUMIFS('9. Typed edges'!$I$2:$I$400,'9. Typed edges'!$F$2:$F$400,$B11,'9. Typed edges'!$C$2:$C$400,I$1)</f>
        <v/>
      </c>
      <c r="J11" s="19">
        <f>SUMIFS('9. Typed edges'!$I$2:$I$400,'9. Typed edges'!$F$2:$F$400,$B11,'9. Typed edges'!$C$2:$C$400,J$1)</f>
        <v/>
      </c>
      <c r="K11" s="19">
        <f>SUMIFS('9. Typed edges'!$I$2:$I$400,'9. Typed edges'!$F$2:$F$400,$B11,'9. Typed edges'!$C$2:$C$400,K$1)</f>
        <v/>
      </c>
      <c r="L11" s="19">
        <f>SUMIFS('9. Typed edges'!$I$2:$I$400,'9. Typed edges'!$F$2:$F$400,$B11,'9. Typed edges'!$C$2:$C$400,L$1)</f>
        <v/>
      </c>
      <c r="M11" s="19">
        <f>SUMIFS('9. Typed edges'!$I$2:$I$400,'9. Typed edges'!$F$2:$F$400,$B11,'9. Typed edges'!$C$2:$C$400,M$1)</f>
        <v/>
      </c>
      <c r="N11" s="45">
        <f>SUM(D11:M11)</f>
        <v/>
      </c>
      <c r="O11" s="19">
        <f>SUMIFS('9. Typed edges'!$H$2:$H$400,'9. Typed edges'!$F$2:$F$400,$B11)</f>
        <v/>
      </c>
      <c r="P11" s="14">
        <f>IF(N11&gt;0,"",IF(O11&gt;0,"Control and evidence support only - the ability itself is organizational","UNEXPLAINED - review"))</f>
        <v/>
      </c>
    </row>
    <row r="12" ht="28" customHeight="1">
      <c r="A12" s="11" t="inlineStr">
        <is>
          <t>D2</t>
        </is>
      </c>
      <c r="B12" s="12" t="inlineStr">
        <is>
          <t>2.6</t>
        </is>
      </c>
      <c r="C12" s="13" t="inlineStr">
        <is>
          <t>AI Innovation &amp; Incubation</t>
        </is>
      </c>
      <c r="D12" s="19">
        <f>SUMIFS('9. Typed edges'!$I$2:$I$400,'9. Typed edges'!$F$2:$F$400,$B12,'9. Typed edges'!$C$2:$C$400,D$1)</f>
        <v/>
      </c>
      <c r="E12" s="19">
        <f>SUMIFS('9. Typed edges'!$I$2:$I$400,'9. Typed edges'!$F$2:$F$400,$B12,'9. Typed edges'!$C$2:$C$400,E$1)</f>
        <v/>
      </c>
      <c r="F12" s="19">
        <f>SUMIFS('9. Typed edges'!$I$2:$I$400,'9. Typed edges'!$F$2:$F$400,$B12,'9. Typed edges'!$C$2:$C$400,F$1)</f>
        <v/>
      </c>
      <c r="G12" s="19">
        <f>SUMIFS('9. Typed edges'!$I$2:$I$400,'9. Typed edges'!$F$2:$F$400,$B12,'9. Typed edges'!$C$2:$C$400,G$1)</f>
        <v/>
      </c>
      <c r="H12" s="19">
        <f>SUMIFS('9. Typed edges'!$I$2:$I$400,'9. Typed edges'!$F$2:$F$400,$B12,'9. Typed edges'!$C$2:$C$400,H$1)</f>
        <v/>
      </c>
      <c r="I12" s="19">
        <f>SUMIFS('9. Typed edges'!$I$2:$I$400,'9. Typed edges'!$F$2:$F$400,$B12,'9. Typed edges'!$C$2:$C$400,I$1)</f>
        <v/>
      </c>
      <c r="J12" s="19">
        <f>SUMIFS('9. Typed edges'!$I$2:$I$400,'9. Typed edges'!$F$2:$F$400,$B12,'9. Typed edges'!$C$2:$C$400,J$1)</f>
        <v/>
      </c>
      <c r="K12" s="19">
        <f>SUMIFS('9. Typed edges'!$I$2:$I$400,'9. Typed edges'!$F$2:$F$400,$B12,'9. Typed edges'!$C$2:$C$400,K$1)</f>
        <v/>
      </c>
      <c r="L12" s="19">
        <f>SUMIFS('9. Typed edges'!$I$2:$I$400,'9. Typed edges'!$F$2:$F$400,$B12,'9. Typed edges'!$C$2:$C$400,L$1)</f>
        <v/>
      </c>
      <c r="M12" s="19">
        <f>SUMIFS('9. Typed edges'!$I$2:$I$400,'9. Typed edges'!$F$2:$F$400,$B12,'9. Typed edges'!$C$2:$C$400,M$1)</f>
        <v/>
      </c>
      <c r="N12" s="45">
        <f>SUM(D12:M12)</f>
        <v/>
      </c>
      <c r="O12" s="19">
        <f>SUMIFS('9. Typed edges'!$H$2:$H$400,'9. Typed edges'!$F$2:$F$400,$B12)</f>
        <v/>
      </c>
      <c r="P12" s="14">
        <f>IF(N12&gt;0,"",IF(O12&gt;0,"Control and evidence support only - the ability itself is organizational","UNEXPLAINED - review"))</f>
        <v/>
      </c>
    </row>
    <row r="13" ht="28" customHeight="1">
      <c r="A13" s="11" t="inlineStr">
        <is>
          <t>D3</t>
        </is>
      </c>
      <c r="B13" s="12" t="inlineStr">
        <is>
          <t>3.1</t>
        </is>
      </c>
      <c r="C13" s="13" t="inlineStr">
        <is>
          <t>Data Governance &amp; Stewardship for AI</t>
        </is>
      </c>
      <c r="D13" s="19">
        <f>SUMIFS('9. Typed edges'!$I$2:$I$400,'9. Typed edges'!$F$2:$F$400,$B13,'9. Typed edges'!$C$2:$C$400,D$1)</f>
        <v/>
      </c>
      <c r="E13" s="19">
        <f>SUMIFS('9. Typed edges'!$I$2:$I$400,'9. Typed edges'!$F$2:$F$400,$B13,'9. Typed edges'!$C$2:$C$400,E$1)</f>
        <v/>
      </c>
      <c r="F13" s="19">
        <f>SUMIFS('9. Typed edges'!$I$2:$I$400,'9. Typed edges'!$F$2:$F$400,$B13,'9. Typed edges'!$C$2:$C$400,F$1)</f>
        <v/>
      </c>
      <c r="G13" s="19">
        <f>SUMIFS('9. Typed edges'!$I$2:$I$400,'9. Typed edges'!$F$2:$F$400,$B13,'9. Typed edges'!$C$2:$C$400,G$1)</f>
        <v/>
      </c>
      <c r="H13" s="19">
        <f>SUMIFS('9. Typed edges'!$I$2:$I$400,'9. Typed edges'!$F$2:$F$400,$B13,'9. Typed edges'!$C$2:$C$400,H$1)</f>
        <v/>
      </c>
      <c r="I13" s="19">
        <f>SUMIFS('9. Typed edges'!$I$2:$I$400,'9. Typed edges'!$F$2:$F$400,$B13,'9. Typed edges'!$C$2:$C$400,I$1)</f>
        <v/>
      </c>
      <c r="J13" s="19">
        <f>SUMIFS('9. Typed edges'!$I$2:$I$400,'9. Typed edges'!$F$2:$F$400,$B13,'9. Typed edges'!$C$2:$C$400,J$1)</f>
        <v/>
      </c>
      <c r="K13" s="19">
        <f>SUMIFS('9. Typed edges'!$I$2:$I$400,'9. Typed edges'!$F$2:$F$400,$B13,'9. Typed edges'!$C$2:$C$400,K$1)</f>
        <v/>
      </c>
      <c r="L13" s="19">
        <f>SUMIFS('9. Typed edges'!$I$2:$I$400,'9. Typed edges'!$F$2:$F$400,$B13,'9. Typed edges'!$C$2:$C$400,L$1)</f>
        <v/>
      </c>
      <c r="M13" s="19">
        <f>SUMIFS('9. Typed edges'!$I$2:$I$400,'9. Typed edges'!$F$2:$F$400,$B13,'9. Typed edges'!$C$2:$C$400,M$1)</f>
        <v/>
      </c>
      <c r="N13" s="45">
        <f>SUM(D13:M13)</f>
        <v/>
      </c>
      <c r="O13" s="19">
        <f>SUMIFS('9. Typed edges'!$H$2:$H$400,'9. Typed edges'!$F$2:$F$400,$B13)</f>
        <v/>
      </c>
      <c r="P13" s="14">
        <f>IF(N13&gt;0,"",IF(O13&gt;0,"Control and evidence support only - the ability itself is organizational","UNEXPLAINED - review"))</f>
        <v/>
      </c>
    </row>
    <row r="14" ht="28" customHeight="1">
      <c r="A14" s="11" t="inlineStr">
        <is>
          <t>D3</t>
        </is>
      </c>
      <c r="B14" s="12" t="inlineStr">
        <is>
          <t>3.2</t>
        </is>
      </c>
      <c r="C14" s="13" t="inlineStr">
        <is>
          <t>Data Sourcing, Licensing &amp; Provenance</t>
        </is>
      </c>
      <c r="D14" s="19">
        <f>SUMIFS('9. Typed edges'!$I$2:$I$400,'9. Typed edges'!$F$2:$F$400,$B14,'9. Typed edges'!$C$2:$C$400,D$1)</f>
        <v/>
      </c>
      <c r="E14" s="19">
        <f>SUMIFS('9. Typed edges'!$I$2:$I$400,'9. Typed edges'!$F$2:$F$400,$B14,'9. Typed edges'!$C$2:$C$400,E$1)</f>
        <v/>
      </c>
      <c r="F14" s="19">
        <f>SUMIFS('9. Typed edges'!$I$2:$I$400,'9. Typed edges'!$F$2:$F$400,$B14,'9. Typed edges'!$C$2:$C$400,F$1)</f>
        <v/>
      </c>
      <c r="G14" s="19">
        <f>SUMIFS('9. Typed edges'!$I$2:$I$400,'9. Typed edges'!$F$2:$F$400,$B14,'9. Typed edges'!$C$2:$C$400,G$1)</f>
        <v/>
      </c>
      <c r="H14" s="19">
        <f>SUMIFS('9. Typed edges'!$I$2:$I$400,'9. Typed edges'!$F$2:$F$400,$B14,'9. Typed edges'!$C$2:$C$400,H$1)</f>
        <v/>
      </c>
      <c r="I14" s="19">
        <f>SUMIFS('9. Typed edges'!$I$2:$I$400,'9. Typed edges'!$F$2:$F$400,$B14,'9. Typed edges'!$C$2:$C$400,I$1)</f>
        <v/>
      </c>
      <c r="J14" s="19">
        <f>SUMIFS('9. Typed edges'!$I$2:$I$400,'9. Typed edges'!$F$2:$F$400,$B14,'9. Typed edges'!$C$2:$C$400,J$1)</f>
        <v/>
      </c>
      <c r="K14" s="19">
        <f>SUMIFS('9. Typed edges'!$I$2:$I$400,'9. Typed edges'!$F$2:$F$400,$B14,'9. Typed edges'!$C$2:$C$400,K$1)</f>
        <v/>
      </c>
      <c r="L14" s="19">
        <f>SUMIFS('9. Typed edges'!$I$2:$I$400,'9. Typed edges'!$F$2:$F$400,$B14,'9. Typed edges'!$C$2:$C$400,L$1)</f>
        <v/>
      </c>
      <c r="M14" s="19">
        <f>SUMIFS('9. Typed edges'!$I$2:$I$400,'9. Typed edges'!$F$2:$F$400,$B14,'9. Typed edges'!$C$2:$C$400,M$1)</f>
        <v/>
      </c>
      <c r="N14" s="45">
        <f>SUM(D14:M14)</f>
        <v/>
      </c>
      <c r="O14" s="19">
        <f>SUMIFS('9. Typed edges'!$H$2:$H$400,'9. Typed edges'!$F$2:$F$400,$B14)</f>
        <v/>
      </c>
      <c r="P14" s="14">
        <f>IF(N14&gt;0,"",IF(O14&gt;0,"Control and evidence support only - the ability itself is organizational","UNEXPLAINED - review"))</f>
        <v/>
      </c>
    </row>
    <row r="15" ht="28" customHeight="1">
      <c r="A15" s="11" t="inlineStr">
        <is>
          <t>D3</t>
        </is>
      </c>
      <c r="B15" s="12" t="inlineStr">
        <is>
          <t>3.3</t>
        </is>
      </c>
      <c r="C15" s="13" t="inlineStr">
        <is>
          <t>Data Quality &amp; Preparation for AI</t>
        </is>
      </c>
      <c r="D15" s="19">
        <f>SUMIFS('9. Typed edges'!$I$2:$I$400,'9. Typed edges'!$F$2:$F$400,$B15,'9. Typed edges'!$C$2:$C$400,D$1)</f>
        <v/>
      </c>
      <c r="E15" s="19">
        <f>SUMIFS('9. Typed edges'!$I$2:$I$400,'9. Typed edges'!$F$2:$F$400,$B15,'9. Typed edges'!$C$2:$C$400,E$1)</f>
        <v/>
      </c>
      <c r="F15" s="19">
        <f>SUMIFS('9. Typed edges'!$I$2:$I$400,'9. Typed edges'!$F$2:$F$400,$B15,'9. Typed edges'!$C$2:$C$400,F$1)</f>
        <v/>
      </c>
      <c r="G15" s="19">
        <f>SUMIFS('9. Typed edges'!$I$2:$I$400,'9. Typed edges'!$F$2:$F$400,$B15,'9. Typed edges'!$C$2:$C$400,G$1)</f>
        <v/>
      </c>
      <c r="H15" s="19">
        <f>SUMIFS('9. Typed edges'!$I$2:$I$400,'9. Typed edges'!$F$2:$F$400,$B15,'9. Typed edges'!$C$2:$C$400,H$1)</f>
        <v/>
      </c>
      <c r="I15" s="19">
        <f>SUMIFS('9. Typed edges'!$I$2:$I$400,'9. Typed edges'!$F$2:$F$400,$B15,'9. Typed edges'!$C$2:$C$400,I$1)</f>
        <v/>
      </c>
      <c r="J15" s="19">
        <f>SUMIFS('9. Typed edges'!$I$2:$I$400,'9. Typed edges'!$F$2:$F$400,$B15,'9. Typed edges'!$C$2:$C$400,J$1)</f>
        <v/>
      </c>
      <c r="K15" s="19">
        <f>SUMIFS('9. Typed edges'!$I$2:$I$400,'9. Typed edges'!$F$2:$F$400,$B15,'9. Typed edges'!$C$2:$C$400,K$1)</f>
        <v/>
      </c>
      <c r="L15" s="19">
        <f>SUMIFS('9. Typed edges'!$I$2:$I$400,'9. Typed edges'!$F$2:$F$400,$B15,'9. Typed edges'!$C$2:$C$400,L$1)</f>
        <v/>
      </c>
      <c r="M15" s="19">
        <f>SUMIFS('9. Typed edges'!$I$2:$I$400,'9. Typed edges'!$F$2:$F$400,$B15,'9. Typed edges'!$C$2:$C$400,M$1)</f>
        <v/>
      </c>
      <c r="N15" s="45">
        <f>SUM(D15:M15)</f>
        <v/>
      </c>
      <c r="O15" s="19">
        <f>SUMIFS('9. Typed edges'!$H$2:$H$400,'9. Typed edges'!$F$2:$F$400,$B15)</f>
        <v/>
      </c>
      <c r="P15" s="14">
        <f>IF(N15&gt;0,"",IF(O15&gt;0,"Control and evidence support only - the ability itself is organizational","UNEXPLAINED - review"))</f>
        <v/>
      </c>
    </row>
    <row r="16" ht="28" customHeight="1">
      <c r="A16" s="11" t="inlineStr">
        <is>
          <t>D3</t>
        </is>
      </c>
      <c r="B16" s="12" t="inlineStr">
        <is>
          <t>3.4</t>
        </is>
      </c>
      <c r="C16" s="13" t="inlineStr">
        <is>
          <t>Metadata, Lineage &amp; Cataloging for AI</t>
        </is>
      </c>
      <c r="D16" s="19">
        <f>SUMIFS('9. Typed edges'!$I$2:$I$400,'9. Typed edges'!$F$2:$F$400,$B16,'9. Typed edges'!$C$2:$C$400,D$1)</f>
        <v/>
      </c>
      <c r="E16" s="19">
        <f>SUMIFS('9. Typed edges'!$I$2:$I$400,'9. Typed edges'!$F$2:$F$400,$B16,'9. Typed edges'!$C$2:$C$400,E$1)</f>
        <v/>
      </c>
      <c r="F16" s="19">
        <f>SUMIFS('9. Typed edges'!$I$2:$I$400,'9. Typed edges'!$F$2:$F$400,$B16,'9. Typed edges'!$C$2:$C$400,F$1)</f>
        <v/>
      </c>
      <c r="G16" s="19">
        <f>SUMIFS('9. Typed edges'!$I$2:$I$400,'9. Typed edges'!$F$2:$F$400,$B16,'9. Typed edges'!$C$2:$C$400,G$1)</f>
        <v/>
      </c>
      <c r="H16" s="19">
        <f>SUMIFS('9. Typed edges'!$I$2:$I$400,'9. Typed edges'!$F$2:$F$400,$B16,'9. Typed edges'!$C$2:$C$400,H$1)</f>
        <v/>
      </c>
      <c r="I16" s="19">
        <f>SUMIFS('9. Typed edges'!$I$2:$I$400,'9. Typed edges'!$F$2:$F$400,$B16,'9. Typed edges'!$C$2:$C$400,I$1)</f>
        <v/>
      </c>
      <c r="J16" s="19">
        <f>SUMIFS('9. Typed edges'!$I$2:$I$400,'9. Typed edges'!$F$2:$F$400,$B16,'9. Typed edges'!$C$2:$C$400,J$1)</f>
        <v/>
      </c>
      <c r="K16" s="19">
        <f>SUMIFS('9. Typed edges'!$I$2:$I$400,'9. Typed edges'!$F$2:$F$400,$B16,'9. Typed edges'!$C$2:$C$400,K$1)</f>
        <v/>
      </c>
      <c r="L16" s="19">
        <f>SUMIFS('9. Typed edges'!$I$2:$I$400,'9. Typed edges'!$F$2:$F$400,$B16,'9. Typed edges'!$C$2:$C$400,L$1)</f>
        <v/>
      </c>
      <c r="M16" s="19">
        <f>SUMIFS('9. Typed edges'!$I$2:$I$400,'9. Typed edges'!$F$2:$F$400,$B16,'9. Typed edges'!$C$2:$C$400,M$1)</f>
        <v/>
      </c>
      <c r="N16" s="45">
        <f>SUM(D16:M16)</f>
        <v/>
      </c>
      <c r="O16" s="19">
        <f>SUMIFS('9. Typed edges'!$H$2:$H$400,'9. Typed edges'!$F$2:$F$400,$B16)</f>
        <v/>
      </c>
      <c r="P16" s="14">
        <f>IF(N16&gt;0,"",IF(O16&gt;0,"Control and evidence support only - the ability itself is organizational","UNEXPLAINED - review"))</f>
        <v/>
      </c>
    </row>
    <row r="17" ht="28" customHeight="1">
      <c r="A17" s="11" t="inlineStr">
        <is>
          <t>D3</t>
        </is>
      </c>
      <c r="B17" s="12" t="inlineStr">
        <is>
          <t>3.5</t>
        </is>
      </c>
      <c r="C17" s="13" t="inlineStr">
        <is>
          <t>Knowledge Corpus &amp; Content Management</t>
        </is>
      </c>
      <c r="D17" s="19">
        <f>SUMIFS('9. Typed edges'!$I$2:$I$400,'9. Typed edges'!$F$2:$F$400,$B17,'9. Typed edges'!$C$2:$C$400,D$1)</f>
        <v/>
      </c>
      <c r="E17" s="19">
        <f>SUMIFS('9. Typed edges'!$I$2:$I$400,'9. Typed edges'!$F$2:$F$400,$B17,'9. Typed edges'!$C$2:$C$400,E$1)</f>
        <v/>
      </c>
      <c r="F17" s="19">
        <f>SUMIFS('9. Typed edges'!$I$2:$I$400,'9. Typed edges'!$F$2:$F$400,$B17,'9. Typed edges'!$C$2:$C$400,F$1)</f>
        <v/>
      </c>
      <c r="G17" s="19">
        <f>SUMIFS('9. Typed edges'!$I$2:$I$400,'9. Typed edges'!$F$2:$F$400,$B17,'9. Typed edges'!$C$2:$C$400,G$1)</f>
        <v/>
      </c>
      <c r="H17" s="19">
        <f>SUMIFS('9. Typed edges'!$I$2:$I$400,'9. Typed edges'!$F$2:$F$400,$B17,'9. Typed edges'!$C$2:$C$400,H$1)</f>
        <v/>
      </c>
      <c r="I17" s="19">
        <f>SUMIFS('9. Typed edges'!$I$2:$I$400,'9. Typed edges'!$F$2:$F$400,$B17,'9. Typed edges'!$C$2:$C$400,I$1)</f>
        <v/>
      </c>
      <c r="J17" s="19">
        <f>SUMIFS('9. Typed edges'!$I$2:$I$400,'9. Typed edges'!$F$2:$F$400,$B17,'9. Typed edges'!$C$2:$C$400,J$1)</f>
        <v/>
      </c>
      <c r="K17" s="19">
        <f>SUMIFS('9. Typed edges'!$I$2:$I$400,'9. Typed edges'!$F$2:$F$400,$B17,'9. Typed edges'!$C$2:$C$400,K$1)</f>
        <v/>
      </c>
      <c r="L17" s="19">
        <f>SUMIFS('9. Typed edges'!$I$2:$I$400,'9. Typed edges'!$F$2:$F$400,$B17,'9. Typed edges'!$C$2:$C$400,L$1)</f>
        <v/>
      </c>
      <c r="M17" s="19">
        <f>SUMIFS('9. Typed edges'!$I$2:$I$400,'9. Typed edges'!$F$2:$F$400,$B17,'9. Typed edges'!$C$2:$C$400,M$1)</f>
        <v/>
      </c>
      <c r="N17" s="45">
        <f>SUM(D17:M17)</f>
        <v/>
      </c>
      <c r="O17" s="19">
        <f>SUMIFS('9. Typed edges'!$H$2:$H$400,'9. Typed edges'!$F$2:$F$400,$B17)</f>
        <v/>
      </c>
      <c r="P17" s="14">
        <f>IF(N17&gt;0,"",IF(O17&gt;0,"Control and evidence support only - the ability itself is organizational","UNEXPLAINED - review"))</f>
        <v/>
      </c>
    </row>
    <row r="18" ht="28" customHeight="1">
      <c r="A18" s="11" t="inlineStr">
        <is>
          <t>D3</t>
        </is>
      </c>
      <c r="B18" s="12" t="inlineStr">
        <is>
          <t>3.6</t>
        </is>
      </c>
      <c r="C18" s="13" t="inlineStr">
        <is>
          <t>Knowledge Access &amp; Retrieval</t>
        </is>
      </c>
      <c r="D18" s="19">
        <f>SUMIFS('9. Typed edges'!$I$2:$I$400,'9. Typed edges'!$F$2:$F$400,$B18,'9. Typed edges'!$C$2:$C$400,D$1)</f>
        <v/>
      </c>
      <c r="E18" s="19">
        <f>SUMIFS('9. Typed edges'!$I$2:$I$400,'9. Typed edges'!$F$2:$F$400,$B18,'9. Typed edges'!$C$2:$C$400,E$1)</f>
        <v/>
      </c>
      <c r="F18" s="19">
        <f>SUMIFS('9. Typed edges'!$I$2:$I$400,'9. Typed edges'!$F$2:$F$400,$B18,'9. Typed edges'!$C$2:$C$400,F$1)</f>
        <v/>
      </c>
      <c r="G18" s="19">
        <f>SUMIFS('9. Typed edges'!$I$2:$I$400,'9. Typed edges'!$F$2:$F$400,$B18,'9. Typed edges'!$C$2:$C$400,G$1)</f>
        <v/>
      </c>
      <c r="H18" s="19">
        <f>SUMIFS('9. Typed edges'!$I$2:$I$400,'9. Typed edges'!$F$2:$F$400,$B18,'9. Typed edges'!$C$2:$C$400,H$1)</f>
        <v/>
      </c>
      <c r="I18" s="19">
        <f>SUMIFS('9. Typed edges'!$I$2:$I$400,'9. Typed edges'!$F$2:$F$400,$B18,'9. Typed edges'!$C$2:$C$400,I$1)</f>
        <v/>
      </c>
      <c r="J18" s="19">
        <f>SUMIFS('9. Typed edges'!$I$2:$I$400,'9. Typed edges'!$F$2:$F$400,$B18,'9. Typed edges'!$C$2:$C$400,J$1)</f>
        <v/>
      </c>
      <c r="K18" s="19">
        <f>SUMIFS('9. Typed edges'!$I$2:$I$400,'9. Typed edges'!$F$2:$F$400,$B18,'9. Typed edges'!$C$2:$C$400,K$1)</f>
        <v/>
      </c>
      <c r="L18" s="19">
        <f>SUMIFS('9. Typed edges'!$I$2:$I$400,'9. Typed edges'!$F$2:$F$400,$B18,'9. Typed edges'!$C$2:$C$400,L$1)</f>
        <v/>
      </c>
      <c r="M18" s="19">
        <f>SUMIFS('9. Typed edges'!$I$2:$I$400,'9. Typed edges'!$F$2:$F$400,$B18,'9. Typed edges'!$C$2:$C$400,M$1)</f>
        <v/>
      </c>
      <c r="N18" s="45">
        <f>SUM(D18:M18)</f>
        <v/>
      </c>
      <c r="O18" s="19">
        <f>SUMIFS('9. Typed edges'!$H$2:$H$400,'9. Typed edges'!$F$2:$F$400,$B18)</f>
        <v/>
      </c>
      <c r="P18" s="14">
        <f>IF(N18&gt;0,"",IF(O18&gt;0,"Control and evidence support only - the ability itself is organizational","UNEXPLAINED - review"))</f>
        <v/>
      </c>
    </row>
    <row r="19" ht="28" customHeight="1">
      <c r="A19" s="11" t="inlineStr">
        <is>
          <t>D3</t>
        </is>
      </c>
      <c r="B19" s="12" t="inlineStr">
        <is>
          <t>3.7</t>
        </is>
      </c>
      <c r="C19" s="13" t="inlineStr">
        <is>
          <t>Derived Representation Management</t>
        </is>
      </c>
      <c r="D19" s="19">
        <f>SUMIFS('9. Typed edges'!$I$2:$I$400,'9. Typed edges'!$F$2:$F$400,$B19,'9. Typed edges'!$C$2:$C$400,D$1)</f>
        <v/>
      </c>
      <c r="E19" s="19">
        <f>SUMIFS('9. Typed edges'!$I$2:$I$400,'9. Typed edges'!$F$2:$F$400,$B19,'9. Typed edges'!$C$2:$C$400,E$1)</f>
        <v/>
      </c>
      <c r="F19" s="19">
        <f>SUMIFS('9. Typed edges'!$I$2:$I$400,'9. Typed edges'!$F$2:$F$400,$B19,'9. Typed edges'!$C$2:$C$400,F$1)</f>
        <v/>
      </c>
      <c r="G19" s="19">
        <f>SUMIFS('9. Typed edges'!$I$2:$I$400,'9. Typed edges'!$F$2:$F$400,$B19,'9. Typed edges'!$C$2:$C$400,G$1)</f>
        <v/>
      </c>
      <c r="H19" s="19">
        <f>SUMIFS('9. Typed edges'!$I$2:$I$400,'9. Typed edges'!$F$2:$F$400,$B19,'9. Typed edges'!$C$2:$C$400,H$1)</f>
        <v/>
      </c>
      <c r="I19" s="19">
        <f>SUMIFS('9. Typed edges'!$I$2:$I$400,'9. Typed edges'!$F$2:$F$400,$B19,'9. Typed edges'!$C$2:$C$400,I$1)</f>
        <v/>
      </c>
      <c r="J19" s="19">
        <f>SUMIFS('9. Typed edges'!$I$2:$I$400,'9. Typed edges'!$F$2:$F$400,$B19,'9. Typed edges'!$C$2:$C$400,J$1)</f>
        <v/>
      </c>
      <c r="K19" s="19">
        <f>SUMIFS('9. Typed edges'!$I$2:$I$400,'9. Typed edges'!$F$2:$F$400,$B19,'9. Typed edges'!$C$2:$C$400,K$1)</f>
        <v/>
      </c>
      <c r="L19" s="19">
        <f>SUMIFS('9. Typed edges'!$I$2:$I$400,'9. Typed edges'!$F$2:$F$400,$B19,'9. Typed edges'!$C$2:$C$400,L$1)</f>
        <v/>
      </c>
      <c r="M19" s="19">
        <f>SUMIFS('9. Typed edges'!$I$2:$I$400,'9. Typed edges'!$F$2:$F$400,$B19,'9. Typed edges'!$C$2:$C$400,M$1)</f>
        <v/>
      </c>
      <c r="N19" s="45">
        <f>SUM(D19:M19)</f>
        <v/>
      </c>
      <c r="O19" s="19">
        <f>SUMIFS('9. Typed edges'!$H$2:$H$400,'9. Typed edges'!$F$2:$F$400,$B19)</f>
        <v/>
      </c>
      <c r="P19" s="14">
        <f>IF(N19&gt;0,"",IF(O19&gt;0,"Control and evidence support only - the ability itself is organizational","UNEXPLAINED - review"))</f>
        <v/>
      </c>
    </row>
    <row r="20" ht="28" customHeight="1">
      <c r="A20" s="11" t="inlineStr">
        <is>
          <t>D4</t>
        </is>
      </c>
      <c r="B20" s="12" t="inlineStr">
        <is>
          <t>4.1</t>
        </is>
      </c>
      <c r="C20" s="13" t="inlineStr">
        <is>
          <t>AI Architecture Management &amp; Solution Governance</t>
        </is>
      </c>
      <c r="D20" s="19">
        <f>SUMIFS('9. Typed edges'!$I$2:$I$400,'9. Typed edges'!$F$2:$F$400,$B20,'9. Typed edges'!$C$2:$C$400,D$1)</f>
        <v/>
      </c>
      <c r="E20" s="19">
        <f>SUMIFS('9. Typed edges'!$I$2:$I$400,'9. Typed edges'!$F$2:$F$400,$B20,'9. Typed edges'!$C$2:$C$400,E$1)</f>
        <v/>
      </c>
      <c r="F20" s="19">
        <f>SUMIFS('9. Typed edges'!$I$2:$I$400,'9. Typed edges'!$F$2:$F$400,$B20,'9. Typed edges'!$C$2:$C$400,F$1)</f>
        <v/>
      </c>
      <c r="G20" s="19">
        <f>SUMIFS('9. Typed edges'!$I$2:$I$400,'9. Typed edges'!$F$2:$F$400,$B20,'9. Typed edges'!$C$2:$C$400,G$1)</f>
        <v/>
      </c>
      <c r="H20" s="19">
        <f>SUMIFS('9. Typed edges'!$I$2:$I$400,'9. Typed edges'!$F$2:$F$400,$B20,'9. Typed edges'!$C$2:$C$400,H$1)</f>
        <v/>
      </c>
      <c r="I20" s="19">
        <f>SUMIFS('9. Typed edges'!$I$2:$I$400,'9. Typed edges'!$F$2:$F$400,$B20,'9. Typed edges'!$C$2:$C$400,I$1)</f>
        <v/>
      </c>
      <c r="J20" s="19">
        <f>SUMIFS('9. Typed edges'!$I$2:$I$400,'9. Typed edges'!$F$2:$F$400,$B20,'9. Typed edges'!$C$2:$C$400,J$1)</f>
        <v/>
      </c>
      <c r="K20" s="19">
        <f>SUMIFS('9. Typed edges'!$I$2:$I$400,'9. Typed edges'!$F$2:$F$400,$B20,'9. Typed edges'!$C$2:$C$400,K$1)</f>
        <v/>
      </c>
      <c r="L20" s="19">
        <f>SUMIFS('9. Typed edges'!$I$2:$I$400,'9. Typed edges'!$F$2:$F$400,$B20,'9. Typed edges'!$C$2:$C$400,L$1)</f>
        <v/>
      </c>
      <c r="M20" s="19">
        <f>SUMIFS('9. Typed edges'!$I$2:$I$400,'9. Typed edges'!$F$2:$F$400,$B20,'9. Typed edges'!$C$2:$C$400,M$1)</f>
        <v/>
      </c>
      <c r="N20" s="45">
        <f>SUM(D20:M20)</f>
        <v/>
      </c>
      <c r="O20" s="19">
        <f>SUMIFS('9. Typed edges'!$H$2:$H$400,'9. Typed edges'!$F$2:$F$400,$B20)</f>
        <v/>
      </c>
      <c r="P20" s="14">
        <f>IF(N20&gt;0,"",IF(O20&gt;0,"Control and evidence support only - the ability itself is organizational","UNEXPLAINED - review"))</f>
        <v/>
      </c>
    </row>
    <row r="21" ht="28" customHeight="1">
      <c r="A21" s="11" t="inlineStr">
        <is>
          <t>D4</t>
        </is>
      </c>
      <c r="B21" s="12" t="inlineStr">
        <is>
          <t>4.2</t>
        </is>
      </c>
      <c r="C21" s="13" t="inlineStr">
        <is>
          <t>Model Selection, Customization &amp; Tuning</t>
        </is>
      </c>
      <c r="D21" s="19">
        <f>SUMIFS('9. Typed edges'!$I$2:$I$400,'9. Typed edges'!$F$2:$F$400,$B21,'9. Typed edges'!$C$2:$C$400,D$1)</f>
        <v/>
      </c>
      <c r="E21" s="19">
        <f>SUMIFS('9. Typed edges'!$I$2:$I$400,'9. Typed edges'!$F$2:$F$400,$B21,'9. Typed edges'!$C$2:$C$400,E$1)</f>
        <v/>
      </c>
      <c r="F21" s="19">
        <f>SUMIFS('9. Typed edges'!$I$2:$I$400,'9. Typed edges'!$F$2:$F$400,$B21,'9. Typed edges'!$C$2:$C$400,F$1)</f>
        <v/>
      </c>
      <c r="G21" s="19">
        <f>SUMIFS('9. Typed edges'!$I$2:$I$400,'9. Typed edges'!$F$2:$F$400,$B21,'9. Typed edges'!$C$2:$C$400,G$1)</f>
        <v/>
      </c>
      <c r="H21" s="19">
        <f>SUMIFS('9. Typed edges'!$I$2:$I$400,'9. Typed edges'!$F$2:$F$400,$B21,'9. Typed edges'!$C$2:$C$400,H$1)</f>
        <v/>
      </c>
      <c r="I21" s="19">
        <f>SUMIFS('9. Typed edges'!$I$2:$I$400,'9. Typed edges'!$F$2:$F$400,$B21,'9. Typed edges'!$C$2:$C$400,I$1)</f>
        <v/>
      </c>
      <c r="J21" s="19">
        <f>SUMIFS('9. Typed edges'!$I$2:$I$400,'9. Typed edges'!$F$2:$F$400,$B21,'9. Typed edges'!$C$2:$C$400,J$1)</f>
        <v/>
      </c>
      <c r="K21" s="19">
        <f>SUMIFS('9. Typed edges'!$I$2:$I$400,'9. Typed edges'!$F$2:$F$400,$B21,'9. Typed edges'!$C$2:$C$400,K$1)</f>
        <v/>
      </c>
      <c r="L21" s="19">
        <f>SUMIFS('9. Typed edges'!$I$2:$I$400,'9. Typed edges'!$F$2:$F$400,$B21,'9. Typed edges'!$C$2:$C$400,L$1)</f>
        <v/>
      </c>
      <c r="M21" s="19">
        <f>SUMIFS('9. Typed edges'!$I$2:$I$400,'9. Typed edges'!$F$2:$F$400,$B21,'9. Typed edges'!$C$2:$C$400,M$1)</f>
        <v/>
      </c>
      <c r="N21" s="45">
        <f>SUM(D21:M21)</f>
        <v/>
      </c>
      <c r="O21" s="19">
        <f>SUMIFS('9. Typed edges'!$H$2:$H$400,'9. Typed edges'!$F$2:$F$400,$B21)</f>
        <v/>
      </c>
      <c r="P21" s="14">
        <f>IF(N21&gt;0,"",IF(O21&gt;0,"Control and evidence support only - the ability itself is organizational","UNEXPLAINED - review"))</f>
        <v/>
      </c>
    </row>
    <row r="22" ht="28" customHeight="1">
      <c r="A22" s="11" t="inlineStr">
        <is>
          <t>D4</t>
        </is>
      </c>
      <c r="B22" s="12" t="inlineStr">
        <is>
          <t>4.3</t>
        </is>
      </c>
      <c r="C22" s="13" t="inlineStr">
        <is>
          <t>Prompt &amp; Context Engineering</t>
        </is>
      </c>
      <c r="D22" s="19">
        <f>SUMIFS('9. Typed edges'!$I$2:$I$400,'9. Typed edges'!$F$2:$F$400,$B22,'9. Typed edges'!$C$2:$C$400,D$1)</f>
        <v/>
      </c>
      <c r="E22" s="19">
        <f>SUMIFS('9. Typed edges'!$I$2:$I$400,'9. Typed edges'!$F$2:$F$400,$B22,'9. Typed edges'!$C$2:$C$400,E$1)</f>
        <v/>
      </c>
      <c r="F22" s="19">
        <f>SUMIFS('9. Typed edges'!$I$2:$I$400,'9. Typed edges'!$F$2:$F$400,$B22,'9. Typed edges'!$C$2:$C$400,F$1)</f>
        <v/>
      </c>
      <c r="G22" s="19">
        <f>SUMIFS('9. Typed edges'!$I$2:$I$400,'9. Typed edges'!$F$2:$F$400,$B22,'9. Typed edges'!$C$2:$C$400,G$1)</f>
        <v/>
      </c>
      <c r="H22" s="19">
        <f>SUMIFS('9. Typed edges'!$I$2:$I$400,'9. Typed edges'!$F$2:$F$400,$B22,'9. Typed edges'!$C$2:$C$400,H$1)</f>
        <v/>
      </c>
      <c r="I22" s="19">
        <f>SUMIFS('9. Typed edges'!$I$2:$I$400,'9. Typed edges'!$F$2:$F$400,$B22,'9. Typed edges'!$C$2:$C$400,I$1)</f>
        <v/>
      </c>
      <c r="J22" s="19">
        <f>SUMIFS('9. Typed edges'!$I$2:$I$400,'9. Typed edges'!$F$2:$F$400,$B22,'9. Typed edges'!$C$2:$C$400,J$1)</f>
        <v/>
      </c>
      <c r="K22" s="19">
        <f>SUMIFS('9. Typed edges'!$I$2:$I$400,'9. Typed edges'!$F$2:$F$400,$B22,'9. Typed edges'!$C$2:$C$400,K$1)</f>
        <v/>
      </c>
      <c r="L22" s="19">
        <f>SUMIFS('9. Typed edges'!$I$2:$I$400,'9. Typed edges'!$F$2:$F$400,$B22,'9. Typed edges'!$C$2:$C$400,L$1)</f>
        <v/>
      </c>
      <c r="M22" s="19">
        <f>SUMIFS('9. Typed edges'!$I$2:$I$400,'9. Typed edges'!$F$2:$F$400,$B22,'9. Typed edges'!$C$2:$C$400,M$1)</f>
        <v/>
      </c>
      <c r="N22" s="45">
        <f>SUM(D22:M22)</f>
        <v/>
      </c>
      <c r="O22" s="19">
        <f>SUMIFS('9. Typed edges'!$H$2:$H$400,'9. Typed edges'!$F$2:$F$400,$B22)</f>
        <v/>
      </c>
      <c r="P22" s="14">
        <f>IF(N22&gt;0,"",IF(O22&gt;0,"Control and evidence support only - the ability itself is organizational","UNEXPLAINED - review"))</f>
        <v/>
      </c>
    </row>
    <row r="23" ht="28" customHeight="1">
      <c r="A23" s="11" t="inlineStr">
        <is>
          <t>D4</t>
        </is>
      </c>
      <c r="B23" s="12" t="inlineStr">
        <is>
          <t>4.4</t>
        </is>
      </c>
      <c r="C23" s="13" t="inlineStr">
        <is>
          <t>Agent &amp; Workflow Orchestration Design</t>
        </is>
      </c>
      <c r="D23" s="19">
        <f>SUMIFS('9. Typed edges'!$I$2:$I$400,'9. Typed edges'!$F$2:$F$400,$B23,'9. Typed edges'!$C$2:$C$400,D$1)</f>
        <v/>
      </c>
      <c r="E23" s="19">
        <f>SUMIFS('9. Typed edges'!$I$2:$I$400,'9. Typed edges'!$F$2:$F$400,$B23,'9. Typed edges'!$C$2:$C$400,E$1)</f>
        <v/>
      </c>
      <c r="F23" s="19">
        <f>SUMIFS('9. Typed edges'!$I$2:$I$400,'9. Typed edges'!$F$2:$F$400,$B23,'9. Typed edges'!$C$2:$C$400,F$1)</f>
        <v/>
      </c>
      <c r="G23" s="19">
        <f>SUMIFS('9. Typed edges'!$I$2:$I$400,'9. Typed edges'!$F$2:$F$400,$B23,'9. Typed edges'!$C$2:$C$400,G$1)</f>
        <v/>
      </c>
      <c r="H23" s="19">
        <f>SUMIFS('9. Typed edges'!$I$2:$I$400,'9. Typed edges'!$F$2:$F$400,$B23,'9. Typed edges'!$C$2:$C$400,H$1)</f>
        <v/>
      </c>
      <c r="I23" s="19">
        <f>SUMIFS('9. Typed edges'!$I$2:$I$400,'9. Typed edges'!$F$2:$F$400,$B23,'9. Typed edges'!$C$2:$C$400,I$1)</f>
        <v/>
      </c>
      <c r="J23" s="19">
        <f>SUMIFS('9. Typed edges'!$I$2:$I$400,'9. Typed edges'!$F$2:$F$400,$B23,'9. Typed edges'!$C$2:$C$400,J$1)</f>
        <v/>
      </c>
      <c r="K23" s="19">
        <f>SUMIFS('9. Typed edges'!$I$2:$I$400,'9. Typed edges'!$F$2:$F$400,$B23,'9. Typed edges'!$C$2:$C$400,K$1)</f>
        <v/>
      </c>
      <c r="L23" s="19">
        <f>SUMIFS('9. Typed edges'!$I$2:$I$400,'9. Typed edges'!$F$2:$F$400,$B23,'9. Typed edges'!$C$2:$C$400,L$1)</f>
        <v/>
      </c>
      <c r="M23" s="19">
        <f>SUMIFS('9. Typed edges'!$I$2:$I$400,'9. Typed edges'!$F$2:$F$400,$B23,'9. Typed edges'!$C$2:$C$400,M$1)</f>
        <v/>
      </c>
      <c r="N23" s="45">
        <f>SUM(D23:M23)</f>
        <v/>
      </c>
      <c r="O23" s="19">
        <f>SUMIFS('9. Typed edges'!$H$2:$H$400,'9. Typed edges'!$F$2:$F$400,$B23)</f>
        <v/>
      </c>
      <c r="P23" s="14">
        <f>IF(N23&gt;0,"",IF(O23&gt;0,"Control and evidence support only - the ability itself is organizational","UNEXPLAINED - review"))</f>
        <v/>
      </c>
    </row>
    <row r="24" ht="28" customHeight="1">
      <c r="A24" s="11" t="inlineStr">
        <is>
          <t>D4</t>
        </is>
      </c>
      <c r="B24" s="12" t="inlineStr">
        <is>
          <t>4.5</t>
        </is>
      </c>
      <c r="C24" s="13" t="inlineStr">
        <is>
          <t>Integration &amp; Tool Enablement</t>
        </is>
      </c>
      <c r="D24" s="19">
        <f>SUMIFS('9. Typed edges'!$I$2:$I$400,'9. Typed edges'!$F$2:$F$400,$B24,'9. Typed edges'!$C$2:$C$400,D$1)</f>
        <v/>
      </c>
      <c r="E24" s="19">
        <f>SUMIFS('9. Typed edges'!$I$2:$I$400,'9. Typed edges'!$F$2:$F$400,$B24,'9. Typed edges'!$C$2:$C$400,E$1)</f>
        <v/>
      </c>
      <c r="F24" s="19">
        <f>SUMIFS('9. Typed edges'!$I$2:$I$400,'9. Typed edges'!$F$2:$F$400,$B24,'9. Typed edges'!$C$2:$C$400,F$1)</f>
        <v/>
      </c>
      <c r="G24" s="19">
        <f>SUMIFS('9. Typed edges'!$I$2:$I$400,'9. Typed edges'!$F$2:$F$400,$B24,'9. Typed edges'!$C$2:$C$400,G$1)</f>
        <v/>
      </c>
      <c r="H24" s="19">
        <f>SUMIFS('9. Typed edges'!$I$2:$I$400,'9. Typed edges'!$F$2:$F$400,$B24,'9. Typed edges'!$C$2:$C$400,H$1)</f>
        <v/>
      </c>
      <c r="I24" s="19">
        <f>SUMIFS('9. Typed edges'!$I$2:$I$400,'9. Typed edges'!$F$2:$F$400,$B24,'9. Typed edges'!$C$2:$C$400,I$1)</f>
        <v/>
      </c>
      <c r="J24" s="19">
        <f>SUMIFS('9. Typed edges'!$I$2:$I$400,'9. Typed edges'!$F$2:$F$400,$B24,'9. Typed edges'!$C$2:$C$400,J$1)</f>
        <v/>
      </c>
      <c r="K24" s="19">
        <f>SUMIFS('9. Typed edges'!$I$2:$I$400,'9. Typed edges'!$F$2:$F$400,$B24,'9. Typed edges'!$C$2:$C$400,K$1)</f>
        <v/>
      </c>
      <c r="L24" s="19">
        <f>SUMIFS('9. Typed edges'!$I$2:$I$400,'9. Typed edges'!$F$2:$F$400,$B24,'9. Typed edges'!$C$2:$C$400,L$1)</f>
        <v/>
      </c>
      <c r="M24" s="19">
        <f>SUMIFS('9. Typed edges'!$I$2:$I$400,'9. Typed edges'!$F$2:$F$400,$B24,'9. Typed edges'!$C$2:$C$400,M$1)</f>
        <v/>
      </c>
      <c r="N24" s="45">
        <f>SUM(D24:M24)</f>
        <v/>
      </c>
      <c r="O24" s="19">
        <f>SUMIFS('9. Typed edges'!$H$2:$H$400,'9. Typed edges'!$F$2:$F$400,$B24)</f>
        <v/>
      </c>
      <c r="P24" s="14">
        <f>IF(N24&gt;0,"",IF(O24&gt;0,"Control and evidence support only - the ability itself is organizational","UNEXPLAINED - review"))</f>
        <v/>
      </c>
    </row>
    <row r="25" ht="28" customHeight="1">
      <c r="A25" s="11" t="inlineStr">
        <is>
          <t>D4</t>
        </is>
      </c>
      <c r="B25" s="12" t="inlineStr">
        <is>
          <t>4.6</t>
        </is>
      </c>
      <c r="C25" s="13" t="inlineStr">
        <is>
          <t>AI Evaluation &amp; Testing</t>
        </is>
      </c>
      <c r="D25" s="19">
        <f>SUMIFS('9. Typed edges'!$I$2:$I$400,'9. Typed edges'!$F$2:$F$400,$B25,'9. Typed edges'!$C$2:$C$400,D$1)</f>
        <v/>
      </c>
      <c r="E25" s="19">
        <f>SUMIFS('9. Typed edges'!$I$2:$I$400,'9. Typed edges'!$F$2:$F$400,$B25,'9. Typed edges'!$C$2:$C$400,E$1)</f>
        <v/>
      </c>
      <c r="F25" s="19">
        <f>SUMIFS('9. Typed edges'!$I$2:$I$400,'9. Typed edges'!$F$2:$F$400,$B25,'9. Typed edges'!$C$2:$C$400,F$1)</f>
        <v/>
      </c>
      <c r="G25" s="19">
        <f>SUMIFS('9. Typed edges'!$I$2:$I$400,'9. Typed edges'!$F$2:$F$400,$B25,'9. Typed edges'!$C$2:$C$400,G$1)</f>
        <v/>
      </c>
      <c r="H25" s="19">
        <f>SUMIFS('9. Typed edges'!$I$2:$I$400,'9. Typed edges'!$F$2:$F$400,$B25,'9. Typed edges'!$C$2:$C$400,H$1)</f>
        <v/>
      </c>
      <c r="I25" s="19">
        <f>SUMIFS('9. Typed edges'!$I$2:$I$400,'9. Typed edges'!$F$2:$F$400,$B25,'9. Typed edges'!$C$2:$C$400,I$1)</f>
        <v/>
      </c>
      <c r="J25" s="19">
        <f>SUMIFS('9. Typed edges'!$I$2:$I$400,'9. Typed edges'!$F$2:$F$400,$B25,'9. Typed edges'!$C$2:$C$400,J$1)</f>
        <v/>
      </c>
      <c r="K25" s="19">
        <f>SUMIFS('9. Typed edges'!$I$2:$I$400,'9. Typed edges'!$F$2:$F$400,$B25,'9. Typed edges'!$C$2:$C$400,K$1)</f>
        <v/>
      </c>
      <c r="L25" s="19">
        <f>SUMIFS('9. Typed edges'!$I$2:$I$400,'9. Typed edges'!$F$2:$F$400,$B25,'9. Typed edges'!$C$2:$C$400,L$1)</f>
        <v/>
      </c>
      <c r="M25" s="19">
        <f>SUMIFS('9. Typed edges'!$I$2:$I$400,'9. Typed edges'!$F$2:$F$400,$B25,'9. Typed edges'!$C$2:$C$400,M$1)</f>
        <v/>
      </c>
      <c r="N25" s="45">
        <f>SUM(D25:M25)</f>
        <v/>
      </c>
      <c r="O25" s="19">
        <f>SUMIFS('9. Typed edges'!$H$2:$H$400,'9. Typed edges'!$F$2:$F$400,$B25)</f>
        <v/>
      </c>
      <c r="P25" s="14">
        <f>IF(N25&gt;0,"",IF(O25&gt;0,"Control and evidence support only - the ability itself is organizational","UNEXPLAINED - review"))</f>
        <v/>
      </c>
    </row>
    <row r="26" ht="28" customHeight="1">
      <c r="A26" s="11" t="inlineStr">
        <is>
          <t>D4</t>
        </is>
      </c>
      <c r="B26" s="12" t="inlineStr">
        <is>
          <t>4.7</t>
        </is>
      </c>
      <c r="C26" s="13" t="inlineStr">
        <is>
          <t>AI Release &amp; Change Management</t>
        </is>
      </c>
      <c r="D26" s="19">
        <f>SUMIFS('9. Typed edges'!$I$2:$I$400,'9. Typed edges'!$F$2:$F$400,$B26,'9. Typed edges'!$C$2:$C$400,D$1)</f>
        <v/>
      </c>
      <c r="E26" s="19">
        <f>SUMIFS('9. Typed edges'!$I$2:$I$400,'9. Typed edges'!$F$2:$F$400,$B26,'9. Typed edges'!$C$2:$C$400,E$1)</f>
        <v/>
      </c>
      <c r="F26" s="19">
        <f>SUMIFS('9. Typed edges'!$I$2:$I$400,'9. Typed edges'!$F$2:$F$400,$B26,'9. Typed edges'!$C$2:$C$400,F$1)</f>
        <v/>
      </c>
      <c r="G26" s="19">
        <f>SUMIFS('9. Typed edges'!$I$2:$I$400,'9. Typed edges'!$F$2:$F$400,$B26,'9. Typed edges'!$C$2:$C$400,G$1)</f>
        <v/>
      </c>
      <c r="H26" s="19">
        <f>SUMIFS('9. Typed edges'!$I$2:$I$400,'9. Typed edges'!$F$2:$F$400,$B26,'9. Typed edges'!$C$2:$C$400,H$1)</f>
        <v/>
      </c>
      <c r="I26" s="19">
        <f>SUMIFS('9. Typed edges'!$I$2:$I$400,'9. Typed edges'!$F$2:$F$400,$B26,'9. Typed edges'!$C$2:$C$400,I$1)</f>
        <v/>
      </c>
      <c r="J26" s="19">
        <f>SUMIFS('9. Typed edges'!$I$2:$I$400,'9. Typed edges'!$F$2:$F$400,$B26,'9. Typed edges'!$C$2:$C$400,J$1)</f>
        <v/>
      </c>
      <c r="K26" s="19">
        <f>SUMIFS('9. Typed edges'!$I$2:$I$400,'9. Typed edges'!$F$2:$F$400,$B26,'9. Typed edges'!$C$2:$C$400,K$1)</f>
        <v/>
      </c>
      <c r="L26" s="19">
        <f>SUMIFS('9. Typed edges'!$I$2:$I$400,'9. Typed edges'!$F$2:$F$400,$B26,'9. Typed edges'!$C$2:$C$400,L$1)</f>
        <v/>
      </c>
      <c r="M26" s="19">
        <f>SUMIFS('9. Typed edges'!$I$2:$I$400,'9. Typed edges'!$F$2:$F$400,$B26,'9. Typed edges'!$C$2:$C$400,M$1)</f>
        <v/>
      </c>
      <c r="N26" s="45">
        <f>SUM(D26:M26)</f>
        <v/>
      </c>
      <c r="O26" s="19">
        <f>SUMIFS('9. Typed edges'!$H$2:$H$400,'9. Typed edges'!$F$2:$F$400,$B26)</f>
        <v/>
      </c>
      <c r="P26" s="14">
        <f>IF(N26&gt;0,"",IF(O26&gt;0,"Control and evidence support only - the ability itself is organizational","Realized by existing enterprise services - CI/CD pipeline and change management tooling"))</f>
        <v/>
      </c>
    </row>
    <row r="27" ht="28" customHeight="1">
      <c r="A27" s="11" t="inlineStr">
        <is>
          <t>D5</t>
        </is>
      </c>
      <c r="B27" s="12" t="inlineStr">
        <is>
          <t>5.1</t>
        </is>
      </c>
      <c r="C27" s="13" t="inlineStr">
        <is>
          <t>AI Platform Service Provisioning</t>
        </is>
      </c>
      <c r="D27" s="19">
        <f>SUMIFS('9. Typed edges'!$I$2:$I$400,'9. Typed edges'!$F$2:$F$400,$B27,'9. Typed edges'!$C$2:$C$400,D$1)</f>
        <v/>
      </c>
      <c r="E27" s="19">
        <f>SUMIFS('9. Typed edges'!$I$2:$I$400,'9. Typed edges'!$F$2:$F$400,$B27,'9. Typed edges'!$C$2:$C$400,E$1)</f>
        <v/>
      </c>
      <c r="F27" s="19">
        <f>SUMIFS('9. Typed edges'!$I$2:$I$400,'9. Typed edges'!$F$2:$F$400,$B27,'9. Typed edges'!$C$2:$C$400,F$1)</f>
        <v/>
      </c>
      <c r="G27" s="19">
        <f>SUMIFS('9. Typed edges'!$I$2:$I$400,'9. Typed edges'!$F$2:$F$400,$B27,'9. Typed edges'!$C$2:$C$400,G$1)</f>
        <v/>
      </c>
      <c r="H27" s="19">
        <f>SUMIFS('9. Typed edges'!$I$2:$I$400,'9. Typed edges'!$F$2:$F$400,$B27,'9. Typed edges'!$C$2:$C$400,H$1)</f>
        <v/>
      </c>
      <c r="I27" s="19">
        <f>SUMIFS('9. Typed edges'!$I$2:$I$400,'9. Typed edges'!$F$2:$F$400,$B27,'9. Typed edges'!$C$2:$C$400,I$1)</f>
        <v/>
      </c>
      <c r="J27" s="19">
        <f>SUMIFS('9. Typed edges'!$I$2:$I$400,'9. Typed edges'!$F$2:$F$400,$B27,'9. Typed edges'!$C$2:$C$400,J$1)</f>
        <v/>
      </c>
      <c r="K27" s="19">
        <f>SUMIFS('9. Typed edges'!$I$2:$I$400,'9. Typed edges'!$F$2:$F$400,$B27,'9. Typed edges'!$C$2:$C$400,K$1)</f>
        <v/>
      </c>
      <c r="L27" s="19">
        <f>SUMIFS('9. Typed edges'!$I$2:$I$400,'9. Typed edges'!$F$2:$F$400,$B27,'9. Typed edges'!$C$2:$C$400,L$1)</f>
        <v/>
      </c>
      <c r="M27" s="19">
        <f>SUMIFS('9. Typed edges'!$I$2:$I$400,'9. Typed edges'!$F$2:$F$400,$B27,'9. Typed edges'!$C$2:$C$400,M$1)</f>
        <v/>
      </c>
      <c r="N27" s="45">
        <f>SUM(D27:M27)</f>
        <v/>
      </c>
      <c r="O27" s="19">
        <f>SUMIFS('9. Typed edges'!$H$2:$H$400,'9. Typed edges'!$F$2:$F$400,$B27)</f>
        <v/>
      </c>
      <c r="P27" s="14">
        <f>IF(N27&gt;0,"",IF(O27&gt;0,"Control and evidence support only - the ability itself is organizational","UNEXPLAINED - review"))</f>
        <v/>
      </c>
    </row>
    <row r="28" ht="28" customHeight="1">
      <c r="A28" s="11" t="inlineStr">
        <is>
          <t>D5</t>
        </is>
      </c>
      <c r="B28" s="12" t="inlineStr">
        <is>
          <t>5.2</t>
        </is>
      </c>
      <c r="C28" s="13" t="inlineStr">
        <is>
          <t>Model Access &amp; Traffic Management</t>
        </is>
      </c>
      <c r="D28" s="19">
        <f>SUMIFS('9. Typed edges'!$I$2:$I$400,'9. Typed edges'!$F$2:$F$400,$B28,'9. Typed edges'!$C$2:$C$400,D$1)</f>
        <v/>
      </c>
      <c r="E28" s="19">
        <f>SUMIFS('9. Typed edges'!$I$2:$I$400,'9. Typed edges'!$F$2:$F$400,$B28,'9. Typed edges'!$C$2:$C$400,E$1)</f>
        <v/>
      </c>
      <c r="F28" s="19">
        <f>SUMIFS('9. Typed edges'!$I$2:$I$400,'9. Typed edges'!$F$2:$F$400,$B28,'9. Typed edges'!$C$2:$C$400,F$1)</f>
        <v/>
      </c>
      <c r="G28" s="19">
        <f>SUMIFS('9. Typed edges'!$I$2:$I$400,'9. Typed edges'!$F$2:$F$400,$B28,'9. Typed edges'!$C$2:$C$400,G$1)</f>
        <v/>
      </c>
      <c r="H28" s="19">
        <f>SUMIFS('9. Typed edges'!$I$2:$I$400,'9. Typed edges'!$F$2:$F$400,$B28,'9. Typed edges'!$C$2:$C$400,H$1)</f>
        <v/>
      </c>
      <c r="I28" s="19">
        <f>SUMIFS('9. Typed edges'!$I$2:$I$400,'9. Typed edges'!$F$2:$F$400,$B28,'9. Typed edges'!$C$2:$C$400,I$1)</f>
        <v/>
      </c>
      <c r="J28" s="19">
        <f>SUMIFS('9. Typed edges'!$I$2:$I$400,'9. Typed edges'!$F$2:$F$400,$B28,'9. Typed edges'!$C$2:$C$400,J$1)</f>
        <v/>
      </c>
      <c r="K28" s="19">
        <f>SUMIFS('9. Typed edges'!$I$2:$I$400,'9. Typed edges'!$F$2:$F$400,$B28,'9. Typed edges'!$C$2:$C$400,K$1)</f>
        <v/>
      </c>
      <c r="L28" s="19">
        <f>SUMIFS('9. Typed edges'!$I$2:$I$400,'9. Typed edges'!$F$2:$F$400,$B28,'9. Typed edges'!$C$2:$C$400,L$1)</f>
        <v/>
      </c>
      <c r="M28" s="19">
        <f>SUMIFS('9. Typed edges'!$I$2:$I$400,'9. Typed edges'!$F$2:$F$400,$B28,'9. Typed edges'!$C$2:$C$400,M$1)</f>
        <v/>
      </c>
      <c r="N28" s="45">
        <f>SUM(D28:M28)</f>
        <v/>
      </c>
      <c r="O28" s="19">
        <f>SUMIFS('9. Typed edges'!$H$2:$H$400,'9. Typed edges'!$F$2:$F$400,$B28)</f>
        <v/>
      </c>
      <c r="P28" s="14">
        <f>IF(N28&gt;0,"",IF(O28&gt;0,"Control and evidence support only - the ability itself is organizational","UNEXPLAINED - review"))</f>
        <v/>
      </c>
    </row>
    <row r="29" ht="28" customHeight="1">
      <c r="A29" s="11" t="inlineStr">
        <is>
          <t>D5</t>
        </is>
      </c>
      <c r="B29" s="12" t="inlineStr">
        <is>
          <t>5.3</t>
        </is>
      </c>
      <c r="C29" s="13" t="inlineStr">
        <is>
          <t>AI Environment &amp; Workspace Management</t>
        </is>
      </c>
      <c r="D29" s="19">
        <f>SUMIFS('9. Typed edges'!$I$2:$I$400,'9. Typed edges'!$F$2:$F$400,$B29,'9. Typed edges'!$C$2:$C$400,D$1)</f>
        <v/>
      </c>
      <c r="E29" s="19">
        <f>SUMIFS('9. Typed edges'!$I$2:$I$400,'9. Typed edges'!$F$2:$F$400,$B29,'9. Typed edges'!$C$2:$C$400,E$1)</f>
        <v/>
      </c>
      <c r="F29" s="19">
        <f>SUMIFS('9. Typed edges'!$I$2:$I$400,'9. Typed edges'!$F$2:$F$400,$B29,'9. Typed edges'!$C$2:$C$400,F$1)</f>
        <v/>
      </c>
      <c r="G29" s="19">
        <f>SUMIFS('9. Typed edges'!$I$2:$I$400,'9. Typed edges'!$F$2:$F$400,$B29,'9. Typed edges'!$C$2:$C$400,G$1)</f>
        <v/>
      </c>
      <c r="H29" s="19">
        <f>SUMIFS('9. Typed edges'!$I$2:$I$400,'9. Typed edges'!$F$2:$F$400,$B29,'9. Typed edges'!$C$2:$C$400,H$1)</f>
        <v/>
      </c>
      <c r="I29" s="19">
        <f>SUMIFS('9. Typed edges'!$I$2:$I$400,'9. Typed edges'!$F$2:$F$400,$B29,'9. Typed edges'!$C$2:$C$400,I$1)</f>
        <v/>
      </c>
      <c r="J29" s="19">
        <f>SUMIFS('9. Typed edges'!$I$2:$I$400,'9. Typed edges'!$F$2:$F$400,$B29,'9. Typed edges'!$C$2:$C$400,J$1)</f>
        <v/>
      </c>
      <c r="K29" s="19">
        <f>SUMIFS('9. Typed edges'!$I$2:$I$400,'9. Typed edges'!$F$2:$F$400,$B29,'9. Typed edges'!$C$2:$C$400,K$1)</f>
        <v/>
      </c>
      <c r="L29" s="19">
        <f>SUMIFS('9. Typed edges'!$I$2:$I$400,'9. Typed edges'!$F$2:$F$400,$B29,'9. Typed edges'!$C$2:$C$400,L$1)</f>
        <v/>
      </c>
      <c r="M29" s="19">
        <f>SUMIFS('9. Typed edges'!$I$2:$I$400,'9. Typed edges'!$F$2:$F$400,$B29,'9. Typed edges'!$C$2:$C$400,M$1)</f>
        <v/>
      </c>
      <c r="N29" s="45">
        <f>SUM(D29:M29)</f>
        <v/>
      </c>
      <c r="O29" s="19">
        <f>SUMIFS('9. Typed edges'!$H$2:$H$400,'9. Typed edges'!$F$2:$F$400,$B29)</f>
        <v/>
      </c>
      <c r="P29" s="14">
        <f>IF(N29&gt;0,"",IF(O29&gt;0,"Control and evidence support only - the ability itself is organizational","UNEXPLAINED - review"))</f>
        <v/>
      </c>
    </row>
    <row r="30" ht="28" customHeight="1">
      <c r="A30" s="11" t="inlineStr">
        <is>
          <t>D5</t>
        </is>
      </c>
      <c r="B30" s="12" t="inlineStr">
        <is>
          <t>5.4</t>
        </is>
      </c>
      <c r="C30" s="13" t="inlineStr">
        <is>
          <t>AI Compute &amp; Capacity Management</t>
        </is>
      </c>
      <c r="D30" s="19">
        <f>SUMIFS('9. Typed edges'!$I$2:$I$400,'9. Typed edges'!$F$2:$F$400,$B30,'9. Typed edges'!$C$2:$C$400,D$1)</f>
        <v/>
      </c>
      <c r="E30" s="19">
        <f>SUMIFS('9. Typed edges'!$I$2:$I$400,'9. Typed edges'!$F$2:$F$400,$B30,'9. Typed edges'!$C$2:$C$400,E$1)</f>
        <v/>
      </c>
      <c r="F30" s="19">
        <f>SUMIFS('9. Typed edges'!$I$2:$I$400,'9. Typed edges'!$F$2:$F$400,$B30,'9. Typed edges'!$C$2:$C$400,F$1)</f>
        <v/>
      </c>
      <c r="G30" s="19">
        <f>SUMIFS('9. Typed edges'!$I$2:$I$400,'9. Typed edges'!$F$2:$F$400,$B30,'9. Typed edges'!$C$2:$C$400,G$1)</f>
        <v/>
      </c>
      <c r="H30" s="19">
        <f>SUMIFS('9. Typed edges'!$I$2:$I$400,'9. Typed edges'!$F$2:$F$400,$B30,'9. Typed edges'!$C$2:$C$400,H$1)</f>
        <v/>
      </c>
      <c r="I30" s="19">
        <f>SUMIFS('9. Typed edges'!$I$2:$I$400,'9. Typed edges'!$F$2:$F$400,$B30,'9. Typed edges'!$C$2:$C$400,I$1)</f>
        <v/>
      </c>
      <c r="J30" s="19">
        <f>SUMIFS('9. Typed edges'!$I$2:$I$400,'9. Typed edges'!$F$2:$F$400,$B30,'9. Typed edges'!$C$2:$C$400,J$1)</f>
        <v/>
      </c>
      <c r="K30" s="19">
        <f>SUMIFS('9. Typed edges'!$I$2:$I$400,'9. Typed edges'!$F$2:$F$400,$B30,'9. Typed edges'!$C$2:$C$400,K$1)</f>
        <v/>
      </c>
      <c r="L30" s="19">
        <f>SUMIFS('9. Typed edges'!$I$2:$I$400,'9. Typed edges'!$F$2:$F$400,$B30,'9. Typed edges'!$C$2:$C$400,L$1)</f>
        <v/>
      </c>
      <c r="M30" s="19">
        <f>SUMIFS('9. Typed edges'!$I$2:$I$400,'9. Typed edges'!$F$2:$F$400,$B30,'9. Typed edges'!$C$2:$C$400,M$1)</f>
        <v/>
      </c>
      <c r="N30" s="45">
        <f>SUM(D30:M30)</f>
        <v/>
      </c>
      <c r="O30" s="19">
        <f>SUMIFS('9. Typed edges'!$H$2:$H$400,'9. Typed edges'!$F$2:$F$400,$B30)</f>
        <v/>
      </c>
      <c r="P30" s="14">
        <f>IF(N30&gt;0,"",IF(O30&gt;0,"Control and evidence support only - the ability itself is organizational","UNEXPLAINED - review"))</f>
        <v/>
      </c>
    </row>
    <row r="31" ht="28" customHeight="1">
      <c r="A31" s="11" t="inlineStr">
        <is>
          <t>D5</t>
        </is>
      </c>
      <c r="B31" s="12" t="inlineStr">
        <is>
          <t>5.5</t>
        </is>
      </c>
      <c r="C31" s="13" t="inlineStr">
        <is>
          <t>Tool &amp; Connector Catalog Management</t>
        </is>
      </c>
      <c r="D31" s="19">
        <f>SUMIFS('9. Typed edges'!$I$2:$I$400,'9. Typed edges'!$F$2:$F$400,$B31,'9. Typed edges'!$C$2:$C$400,D$1)</f>
        <v/>
      </c>
      <c r="E31" s="19">
        <f>SUMIFS('9. Typed edges'!$I$2:$I$400,'9. Typed edges'!$F$2:$F$400,$B31,'9. Typed edges'!$C$2:$C$400,E$1)</f>
        <v/>
      </c>
      <c r="F31" s="19">
        <f>SUMIFS('9. Typed edges'!$I$2:$I$400,'9. Typed edges'!$F$2:$F$400,$B31,'9. Typed edges'!$C$2:$C$400,F$1)</f>
        <v/>
      </c>
      <c r="G31" s="19">
        <f>SUMIFS('9. Typed edges'!$I$2:$I$400,'9. Typed edges'!$F$2:$F$400,$B31,'9. Typed edges'!$C$2:$C$400,G$1)</f>
        <v/>
      </c>
      <c r="H31" s="19">
        <f>SUMIFS('9. Typed edges'!$I$2:$I$400,'9. Typed edges'!$F$2:$F$400,$B31,'9. Typed edges'!$C$2:$C$400,H$1)</f>
        <v/>
      </c>
      <c r="I31" s="19">
        <f>SUMIFS('9. Typed edges'!$I$2:$I$400,'9. Typed edges'!$F$2:$F$400,$B31,'9. Typed edges'!$C$2:$C$400,I$1)</f>
        <v/>
      </c>
      <c r="J31" s="19">
        <f>SUMIFS('9. Typed edges'!$I$2:$I$400,'9. Typed edges'!$F$2:$F$400,$B31,'9. Typed edges'!$C$2:$C$400,J$1)</f>
        <v/>
      </c>
      <c r="K31" s="19">
        <f>SUMIFS('9. Typed edges'!$I$2:$I$400,'9. Typed edges'!$F$2:$F$400,$B31,'9. Typed edges'!$C$2:$C$400,K$1)</f>
        <v/>
      </c>
      <c r="L31" s="19">
        <f>SUMIFS('9. Typed edges'!$I$2:$I$400,'9. Typed edges'!$F$2:$F$400,$B31,'9. Typed edges'!$C$2:$C$400,L$1)</f>
        <v/>
      </c>
      <c r="M31" s="19">
        <f>SUMIFS('9. Typed edges'!$I$2:$I$400,'9. Typed edges'!$F$2:$F$400,$B31,'9. Typed edges'!$C$2:$C$400,M$1)</f>
        <v/>
      </c>
      <c r="N31" s="45">
        <f>SUM(D31:M31)</f>
        <v/>
      </c>
      <c r="O31" s="19">
        <f>SUMIFS('9. Typed edges'!$H$2:$H$400,'9. Typed edges'!$F$2:$F$400,$B31)</f>
        <v/>
      </c>
      <c r="P31" s="14">
        <f>IF(N31&gt;0,"",IF(O31&gt;0,"Control and evidence support only - the ability itself is organizational","UNEXPLAINED - review"))</f>
        <v/>
      </c>
    </row>
    <row r="32" ht="28" customHeight="1">
      <c r="A32" s="11" t="inlineStr">
        <is>
          <t>D5</t>
        </is>
      </c>
      <c r="B32" s="12" t="inlineStr">
        <is>
          <t>5.6</t>
        </is>
      </c>
      <c r="C32" s="13" t="inlineStr">
        <is>
          <t>AI Developer Experience &amp; Reuse Assets</t>
        </is>
      </c>
      <c r="D32" s="19">
        <f>SUMIFS('9. Typed edges'!$I$2:$I$400,'9. Typed edges'!$F$2:$F$400,$B32,'9. Typed edges'!$C$2:$C$400,D$1)</f>
        <v/>
      </c>
      <c r="E32" s="19">
        <f>SUMIFS('9. Typed edges'!$I$2:$I$400,'9. Typed edges'!$F$2:$F$400,$B32,'9. Typed edges'!$C$2:$C$400,E$1)</f>
        <v/>
      </c>
      <c r="F32" s="19">
        <f>SUMIFS('9. Typed edges'!$I$2:$I$400,'9. Typed edges'!$F$2:$F$400,$B32,'9. Typed edges'!$C$2:$C$400,F$1)</f>
        <v/>
      </c>
      <c r="G32" s="19">
        <f>SUMIFS('9. Typed edges'!$I$2:$I$400,'9. Typed edges'!$F$2:$F$400,$B32,'9. Typed edges'!$C$2:$C$400,G$1)</f>
        <v/>
      </c>
      <c r="H32" s="19">
        <f>SUMIFS('9. Typed edges'!$I$2:$I$400,'9. Typed edges'!$F$2:$F$400,$B32,'9. Typed edges'!$C$2:$C$400,H$1)</f>
        <v/>
      </c>
      <c r="I32" s="19">
        <f>SUMIFS('9. Typed edges'!$I$2:$I$400,'9. Typed edges'!$F$2:$F$400,$B32,'9. Typed edges'!$C$2:$C$400,I$1)</f>
        <v/>
      </c>
      <c r="J32" s="19">
        <f>SUMIFS('9. Typed edges'!$I$2:$I$400,'9. Typed edges'!$F$2:$F$400,$B32,'9. Typed edges'!$C$2:$C$400,J$1)</f>
        <v/>
      </c>
      <c r="K32" s="19">
        <f>SUMIFS('9. Typed edges'!$I$2:$I$400,'9. Typed edges'!$F$2:$F$400,$B32,'9. Typed edges'!$C$2:$C$400,K$1)</f>
        <v/>
      </c>
      <c r="L32" s="19">
        <f>SUMIFS('9. Typed edges'!$I$2:$I$400,'9. Typed edges'!$F$2:$F$400,$B32,'9. Typed edges'!$C$2:$C$400,L$1)</f>
        <v/>
      </c>
      <c r="M32" s="19">
        <f>SUMIFS('9. Typed edges'!$I$2:$I$400,'9. Typed edges'!$F$2:$F$400,$B32,'9. Typed edges'!$C$2:$C$400,M$1)</f>
        <v/>
      </c>
      <c r="N32" s="45">
        <f>SUM(D32:M32)</f>
        <v/>
      </c>
      <c r="O32" s="19">
        <f>SUMIFS('9. Typed edges'!$H$2:$H$400,'9. Typed edges'!$F$2:$F$400,$B32)</f>
        <v/>
      </c>
      <c r="P32" s="14">
        <f>IF(N32&gt;0,"",IF(O32&gt;0,"Control and evidence support only - the ability itself is organizational","UNEXPLAINED - review"))</f>
        <v/>
      </c>
    </row>
    <row r="33" ht="28" customHeight="1">
      <c r="A33" s="11" t="inlineStr">
        <is>
          <t>D6</t>
        </is>
      </c>
      <c r="B33" s="12" t="inlineStr">
        <is>
          <t>6.1</t>
        </is>
      </c>
      <c r="C33" s="13" t="inlineStr">
        <is>
          <t>AI Deployment &amp; Serving Operations</t>
        </is>
      </c>
      <c r="D33" s="19">
        <f>SUMIFS('9. Typed edges'!$I$2:$I$400,'9. Typed edges'!$F$2:$F$400,$B33,'9. Typed edges'!$C$2:$C$400,D$1)</f>
        <v/>
      </c>
      <c r="E33" s="19">
        <f>SUMIFS('9. Typed edges'!$I$2:$I$400,'9. Typed edges'!$F$2:$F$400,$B33,'9. Typed edges'!$C$2:$C$400,E$1)</f>
        <v/>
      </c>
      <c r="F33" s="19">
        <f>SUMIFS('9. Typed edges'!$I$2:$I$400,'9. Typed edges'!$F$2:$F$400,$B33,'9. Typed edges'!$C$2:$C$400,F$1)</f>
        <v/>
      </c>
      <c r="G33" s="19">
        <f>SUMIFS('9. Typed edges'!$I$2:$I$400,'9. Typed edges'!$F$2:$F$400,$B33,'9. Typed edges'!$C$2:$C$400,G$1)</f>
        <v/>
      </c>
      <c r="H33" s="19">
        <f>SUMIFS('9. Typed edges'!$I$2:$I$400,'9. Typed edges'!$F$2:$F$400,$B33,'9. Typed edges'!$C$2:$C$400,H$1)</f>
        <v/>
      </c>
      <c r="I33" s="19">
        <f>SUMIFS('9. Typed edges'!$I$2:$I$400,'9. Typed edges'!$F$2:$F$400,$B33,'9. Typed edges'!$C$2:$C$400,I$1)</f>
        <v/>
      </c>
      <c r="J33" s="19">
        <f>SUMIFS('9. Typed edges'!$I$2:$I$400,'9. Typed edges'!$F$2:$F$400,$B33,'9. Typed edges'!$C$2:$C$400,J$1)</f>
        <v/>
      </c>
      <c r="K33" s="19">
        <f>SUMIFS('9. Typed edges'!$I$2:$I$400,'9. Typed edges'!$F$2:$F$400,$B33,'9. Typed edges'!$C$2:$C$400,K$1)</f>
        <v/>
      </c>
      <c r="L33" s="19">
        <f>SUMIFS('9. Typed edges'!$I$2:$I$400,'9. Typed edges'!$F$2:$F$400,$B33,'9. Typed edges'!$C$2:$C$400,L$1)</f>
        <v/>
      </c>
      <c r="M33" s="19">
        <f>SUMIFS('9. Typed edges'!$I$2:$I$400,'9. Typed edges'!$F$2:$F$400,$B33,'9. Typed edges'!$C$2:$C$400,M$1)</f>
        <v/>
      </c>
      <c r="N33" s="45">
        <f>SUM(D33:M33)</f>
        <v/>
      </c>
      <c r="O33" s="19">
        <f>SUMIFS('9. Typed edges'!$H$2:$H$400,'9. Typed edges'!$F$2:$F$400,$B33)</f>
        <v/>
      </c>
      <c r="P33" s="14">
        <f>IF(N33&gt;0,"",IF(O33&gt;0,"Control and evidence support only - the ability itself is organizational","UNEXPLAINED - review"))</f>
        <v/>
      </c>
    </row>
    <row r="34" ht="28" customHeight="1">
      <c r="A34" s="11" t="inlineStr">
        <is>
          <t>D6</t>
        </is>
      </c>
      <c r="B34" s="12" t="inlineStr">
        <is>
          <t>6.2</t>
        </is>
      </c>
      <c r="C34" s="13" t="inlineStr">
        <is>
          <t>AI Monitoring &amp; Observability</t>
        </is>
      </c>
      <c r="D34" s="19">
        <f>SUMIFS('9. Typed edges'!$I$2:$I$400,'9. Typed edges'!$F$2:$F$400,$B34,'9. Typed edges'!$C$2:$C$400,D$1)</f>
        <v/>
      </c>
      <c r="E34" s="19">
        <f>SUMIFS('9. Typed edges'!$I$2:$I$400,'9. Typed edges'!$F$2:$F$400,$B34,'9. Typed edges'!$C$2:$C$400,E$1)</f>
        <v/>
      </c>
      <c r="F34" s="19">
        <f>SUMIFS('9. Typed edges'!$I$2:$I$400,'9. Typed edges'!$F$2:$F$400,$B34,'9. Typed edges'!$C$2:$C$400,F$1)</f>
        <v/>
      </c>
      <c r="G34" s="19">
        <f>SUMIFS('9. Typed edges'!$I$2:$I$400,'9. Typed edges'!$F$2:$F$400,$B34,'9. Typed edges'!$C$2:$C$400,G$1)</f>
        <v/>
      </c>
      <c r="H34" s="19">
        <f>SUMIFS('9. Typed edges'!$I$2:$I$400,'9. Typed edges'!$F$2:$F$400,$B34,'9. Typed edges'!$C$2:$C$400,H$1)</f>
        <v/>
      </c>
      <c r="I34" s="19">
        <f>SUMIFS('9. Typed edges'!$I$2:$I$400,'9. Typed edges'!$F$2:$F$400,$B34,'9. Typed edges'!$C$2:$C$400,I$1)</f>
        <v/>
      </c>
      <c r="J34" s="19">
        <f>SUMIFS('9. Typed edges'!$I$2:$I$400,'9. Typed edges'!$F$2:$F$400,$B34,'9. Typed edges'!$C$2:$C$400,J$1)</f>
        <v/>
      </c>
      <c r="K34" s="19">
        <f>SUMIFS('9. Typed edges'!$I$2:$I$400,'9. Typed edges'!$F$2:$F$400,$B34,'9. Typed edges'!$C$2:$C$400,K$1)</f>
        <v/>
      </c>
      <c r="L34" s="19">
        <f>SUMIFS('9. Typed edges'!$I$2:$I$400,'9. Typed edges'!$F$2:$F$400,$B34,'9. Typed edges'!$C$2:$C$400,L$1)</f>
        <v/>
      </c>
      <c r="M34" s="19">
        <f>SUMIFS('9. Typed edges'!$I$2:$I$400,'9. Typed edges'!$F$2:$F$400,$B34,'9. Typed edges'!$C$2:$C$400,M$1)</f>
        <v/>
      </c>
      <c r="N34" s="45">
        <f>SUM(D34:M34)</f>
        <v/>
      </c>
      <c r="O34" s="19">
        <f>SUMIFS('9. Typed edges'!$H$2:$H$400,'9. Typed edges'!$F$2:$F$400,$B34)</f>
        <v/>
      </c>
      <c r="P34" s="14">
        <f>IF(N34&gt;0,"",IF(O34&gt;0,"Control and evidence support only - the ability itself is organizational","UNEXPLAINED - review"))</f>
        <v/>
      </c>
    </row>
    <row r="35" ht="28" customHeight="1">
      <c r="A35" s="11" t="inlineStr">
        <is>
          <t>D6</t>
        </is>
      </c>
      <c r="B35" s="12" t="inlineStr">
        <is>
          <t>6.3</t>
        </is>
      </c>
      <c r="C35" s="13" t="inlineStr">
        <is>
          <t>Continuous Evaluation, Drift &amp; Quality Management</t>
        </is>
      </c>
      <c r="D35" s="19">
        <f>SUMIFS('9. Typed edges'!$I$2:$I$400,'9. Typed edges'!$F$2:$F$400,$B35,'9. Typed edges'!$C$2:$C$400,D$1)</f>
        <v/>
      </c>
      <c r="E35" s="19">
        <f>SUMIFS('9. Typed edges'!$I$2:$I$400,'9. Typed edges'!$F$2:$F$400,$B35,'9. Typed edges'!$C$2:$C$400,E$1)</f>
        <v/>
      </c>
      <c r="F35" s="19">
        <f>SUMIFS('9. Typed edges'!$I$2:$I$400,'9. Typed edges'!$F$2:$F$400,$B35,'9. Typed edges'!$C$2:$C$400,F$1)</f>
        <v/>
      </c>
      <c r="G35" s="19">
        <f>SUMIFS('9. Typed edges'!$I$2:$I$400,'9. Typed edges'!$F$2:$F$400,$B35,'9. Typed edges'!$C$2:$C$400,G$1)</f>
        <v/>
      </c>
      <c r="H35" s="19">
        <f>SUMIFS('9. Typed edges'!$I$2:$I$400,'9. Typed edges'!$F$2:$F$400,$B35,'9. Typed edges'!$C$2:$C$400,H$1)</f>
        <v/>
      </c>
      <c r="I35" s="19">
        <f>SUMIFS('9. Typed edges'!$I$2:$I$400,'9. Typed edges'!$F$2:$F$400,$B35,'9. Typed edges'!$C$2:$C$400,I$1)</f>
        <v/>
      </c>
      <c r="J35" s="19">
        <f>SUMIFS('9. Typed edges'!$I$2:$I$400,'9. Typed edges'!$F$2:$F$400,$B35,'9. Typed edges'!$C$2:$C$400,J$1)</f>
        <v/>
      </c>
      <c r="K35" s="19">
        <f>SUMIFS('9. Typed edges'!$I$2:$I$400,'9. Typed edges'!$F$2:$F$400,$B35,'9. Typed edges'!$C$2:$C$400,K$1)</f>
        <v/>
      </c>
      <c r="L35" s="19">
        <f>SUMIFS('9. Typed edges'!$I$2:$I$400,'9. Typed edges'!$F$2:$F$400,$B35,'9. Typed edges'!$C$2:$C$400,L$1)</f>
        <v/>
      </c>
      <c r="M35" s="19">
        <f>SUMIFS('9. Typed edges'!$I$2:$I$400,'9. Typed edges'!$F$2:$F$400,$B35,'9. Typed edges'!$C$2:$C$400,M$1)</f>
        <v/>
      </c>
      <c r="N35" s="45">
        <f>SUM(D35:M35)</f>
        <v/>
      </c>
      <c r="O35" s="19">
        <f>SUMIFS('9. Typed edges'!$H$2:$H$400,'9. Typed edges'!$F$2:$F$400,$B35)</f>
        <v/>
      </c>
      <c r="P35" s="14">
        <f>IF(N35&gt;0,"",IF(O35&gt;0,"Control and evidence support only - the ability itself is organizational","UNEXPLAINED - review"))</f>
        <v/>
      </c>
    </row>
    <row r="36" ht="28" customHeight="1">
      <c r="A36" s="11" t="inlineStr">
        <is>
          <t>D6</t>
        </is>
      </c>
      <c r="B36" s="12" t="inlineStr">
        <is>
          <t>6.4</t>
        </is>
      </c>
      <c r="C36" s="13" t="inlineStr">
        <is>
          <t>AI Incident &amp; Problem Management</t>
        </is>
      </c>
      <c r="D36" s="19">
        <f>SUMIFS('9. Typed edges'!$I$2:$I$400,'9. Typed edges'!$F$2:$F$400,$B36,'9. Typed edges'!$C$2:$C$400,D$1)</f>
        <v/>
      </c>
      <c r="E36" s="19">
        <f>SUMIFS('9. Typed edges'!$I$2:$I$400,'9. Typed edges'!$F$2:$F$400,$B36,'9. Typed edges'!$C$2:$C$400,E$1)</f>
        <v/>
      </c>
      <c r="F36" s="19">
        <f>SUMIFS('9. Typed edges'!$I$2:$I$400,'9. Typed edges'!$F$2:$F$400,$B36,'9. Typed edges'!$C$2:$C$400,F$1)</f>
        <v/>
      </c>
      <c r="G36" s="19">
        <f>SUMIFS('9. Typed edges'!$I$2:$I$400,'9. Typed edges'!$F$2:$F$400,$B36,'9. Typed edges'!$C$2:$C$400,G$1)</f>
        <v/>
      </c>
      <c r="H36" s="19">
        <f>SUMIFS('9. Typed edges'!$I$2:$I$400,'9. Typed edges'!$F$2:$F$400,$B36,'9. Typed edges'!$C$2:$C$400,H$1)</f>
        <v/>
      </c>
      <c r="I36" s="19">
        <f>SUMIFS('9. Typed edges'!$I$2:$I$400,'9. Typed edges'!$F$2:$F$400,$B36,'9. Typed edges'!$C$2:$C$400,I$1)</f>
        <v/>
      </c>
      <c r="J36" s="19">
        <f>SUMIFS('9. Typed edges'!$I$2:$I$400,'9. Typed edges'!$F$2:$F$400,$B36,'9. Typed edges'!$C$2:$C$400,J$1)</f>
        <v/>
      </c>
      <c r="K36" s="19">
        <f>SUMIFS('9. Typed edges'!$I$2:$I$400,'9. Typed edges'!$F$2:$F$400,$B36,'9. Typed edges'!$C$2:$C$400,K$1)</f>
        <v/>
      </c>
      <c r="L36" s="19">
        <f>SUMIFS('9. Typed edges'!$I$2:$I$400,'9. Typed edges'!$F$2:$F$400,$B36,'9. Typed edges'!$C$2:$C$400,L$1)</f>
        <v/>
      </c>
      <c r="M36" s="19">
        <f>SUMIFS('9. Typed edges'!$I$2:$I$400,'9. Typed edges'!$F$2:$F$400,$B36,'9. Typed edges'!$C$2:$C$400,M$1)</f>
        <v/>
      </c>
      <c r="N36" s="45">
        <f>SUM(D36:M36)</f>
        <v/>
      </c>
      <c r="O36" s="19">
        <f>SUMIFS('9. Typed edges'!$H$2:$H$400,'9. Typed edges'!$F$2:$F$400,$B36)</f>
        <v/>
      </c>
      <c r="P36" s="14">
        <f>IF(N36&gt;0,"",IF(O36&gt;0,"Control and evidence support only - the ability itself is organizational","UNEXPLAINED - review"))</f>
        <v/>
      </c>
    </row>
    <row r="37" ht="28" customHeight="1">
      <c r="A37" s="11" t="inlineStr">
        <is>
          <t>D6</t>
        </is>
      </c>
      <c r="B37" s="12" t="inlineStr">
        <is>
          <t>6.5</t>
        </is>
      </c>
      <c r="C37" s="13" t="inlineStr">
        <is>
          <t>AI Cost Management</t>
        </is>
      </c>
      <c r="D37" s="19">
        <f>SUMIFS('9. Typed edges'!$I$2:$I$400,'9. Typed edges'!$F$2:$F$400,$B37,'9. Typed edges'!$C$2:$C$400,D$1)</f>
        <v/>
      </c>
      <c r="E37" s="19">
        <f>SUMIFS('9. Typed edges'!$I$2:$I$400,'9. Typed edges'!$F$2:$F$400,$B37,'9. Typed edges'!$C$2:$C$400,E$1)</f>
        <v/>
      </c>
      <c r="F37" s="19">
        <f>SUMIFS('9. Typed edges'!$I$2:$I$400,'9. Typed edges'!$F$2:$F$400,$B37,'9. Typed edges'!$C$2:$C$400,F$1)</f>
        <v/>
      </c>
      <c r="G37" s="19">
        <f>SUMIFS('9. Typed edges'!$I$2:$I$400,'9. Typed edges'!$F$2:$F$400,$B37,'9. Typed edges'!$C$2:$C$400,G$1)</f>
        <v/>
      </c>
      <c r="H37" s="19">
        <f>SUMIFS('9. Typed edges'!$I$2:$I$400,'9. Typed edges'!$F$2:$F$400,$B37,'9. Typed edges'!$C$2:$C$400,H$1)</f>
        <v/>
      </c>
      <c r="I37" s="19">
        <f>SUMIFS('9. Typed edges'!$I$2:$I$400,'9. Typed edges'!$F$2:$F$400,$B37,'9. Typed edges'!$C$2:$C$400,I$1)</f>
        <v/>
      </c>
      <c r="J37" s="19">
        <f>SUMIFS('9. Typed edges'!$I$2:$I$400,'9. Typed edges'!$F$2:$F$400,$B37,'9. Typed edges'!$C$2:$C$400,J$1)</f>
        <v/>
      </c>
      <c r="K37" s="19">
        <f>SUMIFS('9. Typed edges'!$I$2:$I$400,'9. Typed edges'!$F$2:$F$400,$B37,'9. Typed edges'!$C$2:$C$400,K$1)</f>
        <v/>
      </c>
      <c r="L37" s="19">
        <f>SUMIFS('9. Typed edges'!$I$2:$I$400,'9. Typed edges'!$F$2:$F$400,$B37,'9. Typed edges'!$C$2:$C$400,L$1)</f>
        <v/>
      </c>
      <c r="M37" s="19">
        <f>SUMIFS('9. Typed edges'!$I$2:$I$400,'9. Typed edges'!$F$2:$F$400,$B37,'9. Typed edges'!$C$2:$C$400,M$1)</f>
        <v/>
      </c>
      <c r="N37" s="45">
        <f>SUM(D37:M37)</f>
        <v/>
      </c>
      <c r="O37" s="19">
        <f>SUMIFS('9. Typed edges'!$H$2:$H$400,'9. Typed edges'!$F$2:$F$400,$B37)</f>
        <v/>
      </c>
      <c r="P37" s="14">
        <f>IF(N37&gt;0,"",IF(O37&gt;0,"Control and evidence support only - the ability itself is organizational","UNEXPLAINED - review"))</f>
        <v/>
      </c>
    </row>
    <row r="38" ht="28" customHeight="1">
      <c r="A38" s="11" t="inlineStr">
        <is>
          <t>D6</t>
        </is>
      </c>
      <c r="B38" s="12" t="inlineStr">
        <is>
          <t>6.6</t>
        </is>
      </c>
      <c r="C38" s="13" t="inlineStr">
        <is>
          <t>AI Asset Retirement &amp; Evidence Preservation</t>
        </is>
      </c>
      <c r="D38" s="19">
        <f>SUMIFS('9. Typed edges'!$I$2:$I$400,'9. Typed edges'!$F$2:$F$400,$B38,'9. Typed edges'!$C$2:$C$400,D$1)</f>
        <v/>
      </c>
      <c r="E38" s="19">
        <f>SUMIFS('9. Typed edges'!$I$2:$I$400,'9. Typed edges'!$F$2:$F$400,$B38,'9. Typed edges'!$C$2:$C$400,E$1)</f>
        <v/>
      </c>
      <c r="F38" s="19">
        <f>SUMIFS('9. Typed edges'!$I$2:$I$400,'9. Typed edges'!$F$2:$F$400,$B38,'9. Typed edges'!$C$2:$C$400,F$1)</f>
        <v/>
      </c>
      <c r="G38" s="19">
        <f>SUMIFS('9. Typed edges'!$I$2:$I$400,'9. Typed edges'!$F$2:$F$400,$B38,'9. Typed edges'!$C$2:$C$400,G$1)</f>
        <v/>
      </c>
      <c r="H38" s="19">
        <f>SUMIFS('9. Typed edges'!$I$2:$I$400,'9. Typed edges'!$F$2:$F$400,$B38,'9. Typed edges'!$C$2:$C$400,H$1)</f>
        <v/>
      </c>
      <c r="I38" s="19">
        <f>SUMIFS('9. Typed edges'!$I$2:$I$400,'9. Typed edges'!$F$2:$F$400,$B38,'9. Typed edges'!$C$2:$C$400,I$1)</f>
        <v/>
      </c>
      <c r="J38" s="19">
        <f>SUMIFS('9. Typed edges'!$I$2:$I$400,'9. Typed edges'!$F$2:$F$400,$B38,'9. Typed edges'!$C$2:$C$400,J$1)</f>
        <v/>
      </c>
      <c r="K38" s="19">
        <f>SUMIFS('9. Typed edges'!$I$2:$I$400,'9. Typed edges'!$F$2:$F$400,$B38,'9. Typed edges'!$C$2:$C$400,K$1)</f>
        <v/>
      </c>
      <c r="L38" s="19">
        <f>SUMIFS('9. Typed edges'!$I$2:$I$400,'9. Typed edges'!$F$2:$F$400,$B38,'9. Typed edges'!$C$2:$C$400,L$1)</f>
        <v/>
      </c>
      <c r="M38" s="19">
        <f>SUMIFS('9. Typed edges'!$I$2:$I$400,'9. Typed edges'!$F$2:$F$400,$B38,'9. Typed edges'!$C$2:$C$400,M$1)</f>
        <v/>
      </c>
      <c r="N38" s="45">
        <f>SUM(D38:M38)</f>
        <v/>
      </c>
      <c r="O38" s="19">
        <f>SUMIFS('9. Typed edges'!$H$2:$H$400,'9. Typed edges'!$F$2:$F$400,$B38)</f>
        <v/>
      </c>
      <c r="P38" s="14">
        <f>IF(N38&gt;0,"",IF(O38&gt;0,"Control and evidence support only - the ability itself is organizational","Realized by existing enterprise services - CMDB and IT asset management"))</f>
        <v/>
      </c>
    </row>
    <row r="39" ht="28" customHeight="1">
      <c r="A39" s="11" t="inlineStr">
        <is>
          <t>D7</t>
        </is>
      </c>
      <c r="B39" s="12" t="inlineStr">
        <is>
          <t>7.1</t>
        </is>
      </c>
      <c r="C39" s="13" t="inlineStr">
        <is>
          <t>AI Policy, Standards &amp; Management System</t>
        </is>
      </c>
      <c r="D39" s="19">
        <f>SUMIFS('9. Typed edges'!$I$2:$I$400,'9. Typed edges'!$F$2:$F$400,$B39,'9. Typed edges'!$C$2:$C$400,D$1)</f>
        <v/>
      </c>
      <c r="E39" s="19">
        <f>SUMIFS('9. Typed edges'!$I$2:$I$400,'9. Typed edges'!$F$2:$F$400,$B39,'9. Typed edges'!$C$2:$C$400,E$1)</f>
        <v/>
      </c>
      <c r="F39" s="19">
        <f>SUMIFS('9. Typed edges'!$I$2:$I$400,'9. Typed edges'!$F$2:$F$400,$B39,'9. Typed edges'!$C$2:$C$400,F$1)</f>
        <v/>
      </c>
      <c r="G39" s="19">
        <f>SUMIFS('9. Typed edges'!$I$2:$I$400,'9. Typed edges'!$F$2:$F$400,$B39,'9. Typed edges'!$C$2:$C$400,G$1)</f>
        <v/>
      </c>
      <c r="H39" s="19">
        <f>SUMIFS('9. Typed edges'!$I$2:$I$400,'9. Typed edges'!$F$2:$F$400,$B39,'9. Typed edges'!$C$2:$C$400,H$1)</f>
        <v/>
      </c>
      <c r="I39" s="19">
        <f>SUMIFS('9. Typed edges'!$I$2:$I$400,'9. Typed edges'!$F$2:$F$400,$B39,'9. Typed edges'!$C$2:$C$400,I$1)</f>
        <v/>
      </c>
      <c r="J39" s="19">
        <f>SUMIFS('9. Typed edges'!$I$2:$I$400,'9. Typed edges'!$F$2:$F$400,$B39,'9. Typed edges'!$C$2:$C$400,J$1)</f>
        <v/>
      </c>
      <c r="K39" s="19">
        <f>SUMIFS('9. Typed edges'!$I$2:$I$400,'9. Typed edges'!$F$2:$F$400,$B39,'9. Typed edges'!$C$2:$C$400,K$1)</f>
        <v/>
      </c>
      <c r="L39" s="19">
        <f>SUMIFS('9. Typed edges'!$I$2:$I$400,'9. Typed edges'!$F$2:$F$400,$B39,'9. Typed edges'!$C$2:$C$400,L$1)</f>
        <v/>
      </c>
      <c r="M39" s="19">
        <f>SUMIFS('9. Typed edges'!$I$2:$I$400,'9. Typed edges'!$F$2:$F$400,$B39,'9. Typed edges'!$C$2:$C$400,M$1)</f>
        <v/>
      </c>
      <c r="N39" s="45">
        <f>SUM(D39:M39)</f>
        <v/>
      </c>
      <c r="O39" s="19">
        <f>SUMIFS('9. Typed edges'!$H$2:$H$400,'9. Typed edges'!$F$2:$F$400,$B39)</f>
        <v/>
      </c>
      <c r="P39" s="14">
        <f>IF(N39&gt;0,"",IF(O39&gt;0,"Control and evidence support only - the ability itself is organizational","UNEXPLAINED - review"))</f>
        <v/>
      </c>
    </row>
    <row r="40" ht="28" customHeight="1">
      <c r="A40" s="11" t="inlineStr">
        <is>
          <t>D7</t>
        </is>
      </c>
      <c r="B40" s="12" t="inlineStr">
        <is>
          <t>7.2</t>
        </is>
      </c>
      <c r="C40" s="13" t="inlineStr">
        <is>
          <t>Responsible &amp; Trustworthy AI Practice</t>
        </is>
      </c>
      <c r="D40" s="19">
        <f>SUMIFS('9. Typed edges'!$I$2:$I$400,'9. Typed edges'!$F$2:$F$400,$B40,'9. Typed edges'!$C$2:$C$400,D$1)</f>
        <v/>
      </c>
      <c r="E40" s="19">
        <f>SUMIFS('9. Typed edges'!$I$2:$I$400,'9. Typed edges'!$F$2:$F$400,$B40,'9. Typed edges'!$C$2:$C$400,E$1)</f>
        <v/>
      </c>
      <c r="F40" s="19">
        <f>SUMIFS('9. Typed edges'!$I$2:$I$400,'9. Typed edges'!$F$2:$F$400,$B40,'9. Typed edges'!$C$2:$C$400,F$1)</f>
        <v/>
      </c>
      <c r="G40" s="19">
        <f>SUMIFS('9. Typed edges'!$I$2:$I$400,'9. Typed edges'!$F$2:$F$400,$B40,'9. Typed edges'!$C$2:$C$400,G$1)</f>
        <v/>
      </c>
      <c r="H40" s="19">
        <f>SUMIFS('9. Typed edges'!$I$2:$I$400,'9. Typed edges'!$F$2:$F$400,$B40,'9. Typed edges'!$C$2:$C$400,H$1)</f>
        <v/>
      </c>
      <c r="I40" s="19">
        <f>SUMIFS('9. Typed edges'!$I$2:$I$400,'9. Typed edges'!$F$2:$F$400,$B40,'9. Typed edges'!$C$2:$C$400,I$1)</f>
        <v/>
      </c>
      <c r="J40" s="19">
        <f>SUMIFS('9. Typed edges'!$I$2:$I$400,'9. Typed edges'!$F$2:$F$400,$B40,'9. Typed edges'!$C$2:$C$400,J$1)</f>
        <v/>
      </c>
      <c r="K40" s="19">
        <f>SUMIFS('9. Typed edges'!$I$2:$I$400,'9. Typed edges'!$F$2:$F$400,$B40,'9. Typed edges'!$C$2:$C$400,K$1)</f>
        <v/>
      </c>
      <c r="L40" s="19">
        <f>SUMIFS('9. Typed edges'!$I$2:$I$400,'9. Typed edges'!$F$2:$F$400,$B40,'9. Typed edges'!$C$2:$C$400,L$1)</f>
        <v/>
      </c>
      <c r="M40" s="19">
        <f>SUMIFS('9. Typed edges'!$I$2:$I$400,'9. Typed edges'!$F$2:$F$400,$B40,'9. Typed edges'!$C$2:$C$400,M$1)</f>
        <v/>
      </c>
      <c r="N40" s="45">
        <f>SUM(D40:M40)</f>
        <v/>
      </c>
      <c r="O40" s="19">
        <f>SUMIFS('9. Typed edges'!$H$2:$H$400,'9. Typed edges'!$F$2:$F$400,$B40)</f>
        <v/>
      </c>
      <c r="P40" s="14">
        <f>IF(N40&gt;0,"",IF(O40&gt;0,"Control and evidence support only - the ability itself is organizational","UNEXPLAINED - review"))</f>
        <v/>
      </c>
    </row>
    <row r="41" ht="28" customHeight="1">
      <c r="A41" s="11" t="inlineStr">
        <is>
          <t>D7</t>
        </is>
      </c>
      <c r="B41" s="12" t="inlineStr">
        <is>
          <t>7.3</t>
        </is>
      </c>
      <c r="C41" s="13" t="inlineStr">
        <is>
          <t>AI Risk Management</t>
        </is>
      </c>
      <c r="D41" s="19">
        <f>SUMIFS('9. Typed edges'!$I$2:$I$400,'9. Typed edges'!$F$2:$F$400,$B41,'9. Typed edges'!$C$2:$C$400,D$1)</f>
        <v/>
      </c>
      <c r="E41" s="19">
        <f>SUMIFS('9. Typed edges'!$I$2:$I$400,'9. Typed edges'!$F$2:$F$400,$B41,'9. Typed edges'!$C$2:$C$400,E$1)</f>
        <v/>
      </c>
      <c r="F41" s="19">
        <f>SUMIFS('9. Typed edges'!$I$2:$I$400,'9. Typed edges'!$F$2:$F$400,$B41,'9. Typed edges'!$C$2:$C$400,F$1)</f>
        <v/>
      </c>
      <c r="G41" s="19">
        <f>SUMIFS('9. Typed edges'!$I$2:$I$400,'9. Typed edges'!$F$2:$F$400,$B41,'9. Typed edges'!$C$2:$C$400,G$1)</f>
        <v/>
      </c>
      <c r="H41" s="19">
        <f>SUMIFS('9. Typed edges'!$I$2:$I$400,'9. Typed edges'!$F$2:$F$400,$B41,'9. Typed edges'!$C$2:$C$400,H$1)</f>
        <v/>
      </c>
      <c r="I41" s="19">
        <f>SUMIFS('9. Typed edges'!$I$2:$I$400,'9. Typed edges'!$F$2:$F$400,$B41,'9. Typed edges'!$C$2:$C$400,I$1)</f>
        <v/>
      </c>
      <c r="J41" s="19">
        <f>SUMIFS('9. Typed edges'!$I$2:$I$400,'9. Typed edges'!$F$2:$F$400,$B41,'9. Typed edges'!$C$2:$C$400,J$1)</f>
        <v/>
      </c>
      <c r="K41" s="19">
        <f>SUMIFS('9. Typed edges'!$I$2:$I$400,'9. Typed edges'!$F$2:$F$400,$B41,'9. Typed edges'!$C$2:$C$400,K$1)</f>
        <v/>
      </c>
      <c r="L41" s="19">
        <f>SUMIFS('9. Typed edges'!$I$2:$I$400,'9. Typed edges'!$F$2:$F$400,$B41,'9. Typed edges'!$C$2:$C$400,L$1)</f>
        <v/>
      </c>
      <c r="M41" s="19">
        <f>SUMIFS('9. Typed edges'!$I$2:$I$400,'9. Typed edges'!$F$2:$F$400,$B41,'9. Typed edges'!$C$2:$C$400,M$1)</f>
        <v/>
      </c>
      <c r="N41" s="45">
        <f>SUM(D41:M41)</f>
        <v/>
      </c>
      <c r="O41" s="19">
        <f>SUMIFS('9. Typed edges'!$H$2:$H$400,'9. Typed edges'!$F$2:$F$400,$B41)</f>
        <v/>
      </c>
      <c r="P41" s="14">
        <f>IF(N41&gt;0,"",IF(O41&gt;0,"Control and evidence support only - the ability itself is organizational","Realized by existing enterprise services - Enterprise GRC platform"))</f>
        <v/>
      </c>
    </row>
    <row r="42" ht="28" customHeight="1">
      <c r="A42" s="11" t="inlineStr">
        <is>
          <t>D7</t>
        </is>
      </c>
      <c r="B42" s="12" t="inlineStr">
        <is>
          <t>7.4</t>
        </is>
      </c>
      <c r="C42" s="13" t="inlineStr">
        <is>
          <t>AI Security &amp; Resilience</t>
        </is>
      </c>
      <c r="D42" s="19">
        <f>SUMIFS('9. Typed edges'!$I$2:$I$400,'9. Typed edges'!$F$2:$F$400,$B42,'9. Typed edges'!$C$2:$C$400,D$1)</f>
        <v/>
      </c>
      <c r="E42" s="19">
        <f>SUMIFS('9. Typed edges'!$I$2:$I$400,'9. Typed edges'!$F$2:$F$400,$B42,'9. Typed edges'!$C$2:$C$400,E$1)</f>
        <v/>
      </c>
      <c r="F42" s="19">
        <f>SUMIFS('9. Typed edges'!$I$2:$I$400,'9. Typed edges'!$F$2:$F$400,$B42,'9. Typed edges'!$C$2:$C$400,F$1)</f>
        <v/>
      </c>
      <c r="G42" s="19">
        <f>SUMIFS('9. Typed edges'!$I$2:$I$400,'9. Typed edges'!$F$2:$F$400,$B42,'9. Typed edges'!$C$2:$C$400,G$1)</f>
        <v/>
      </c>
      <c r="H42" s="19">
        <f>SUMIFS('9. Typed edges'!$I$2:$I$400,'9. Typed edges'!$F$2:$F$400,$B42,'9. Typed edges'!$C$2:$C$400,H$1)</f>
        <v/>
      </c>
      <c r="I42" s="19">
        <f>SUMIFS('9. Typed edges'!$I$2:$I$400,'9. Typed edges'!$F$2:$F$400,$B42,'9. Typed edges'!$C$2:$C$400,I$1)</f>
        <v/>
      </c>
      <c r="J42" s="19">
        <f>SUMIFS('9. Typed edges'!$I$2:$I$400,'9. Typed edges'!$F$2:$F$400,$B42,'9. Typed edges'!$C$2:$C$400,J$1)</f>
        <v/>
      </c>
      <c r="K42" s="19">
        <f>SUMIFS('9. Typed edges'!$I$2:$I$400,'9. Typed edges'!$F$2:$F$400,$B42,'9. Typed edges'!$C$2:$C$400,K$1)</f>
        <v/>
      </c>
      <c r="L42" s="19">
        <f>SUMIFS('9. Typed edges'!$I$2:$I$400,'9. Typed edges'!$F$2:$F$400,$B42,'9. Typed edges'!$C$2:$C$400,L$1)</f>
        <v/>
      </c>
      <c r="M42" s="19">
        <f>SUMIFS('9. Typed edges'!$I$2:$I$400,'9. Typed edges'!$F$2:$F$400,$B42,'9. Typed edges'!$C$2:$C$400,M$1)</f>
        <v/>
      </c>
      <c r="N42" s="45">
        <f>SUM(D42:M42)</f>
        <v/>
      </c>
      <c r="O42" s="19">
        <f>SUMIFS('9. Typed edges'!$H$2:$H$400,'9. Typed edges'!$F$2:$F$400,$B42)</f>
        <v/>
      </c>
      <c r="P42" s="14">
        <f>IF(N42&gt;0,"",IF(O42&gt;0,"Control and evidence support only - the ability itself is organizational","UNEXPLAINED - review"))</f>
        <v/>
      </c>
    </row>
    <row r="43" ht="28" customHeight="1">
      <c r="A43" s="11" t="inlineStr">
        <is>
          <t>D7</t>
        </is>
      </c>
      <c r="B43" s="12" t="inlineStr">
        <is>
          <t>7.5</t>
        </is>
      </c>
      <c r="C43" s="13" t="inlineStr">
        <is>
          <t>Privacy &amp; Data Protection for AI</t>
        </is>
      </c>
      <c r="D43" s="19">
        <f>SUMIFS('9. Typed edges'!$I$2:$I$400,'9. Typed edges'!$F$2:$F$400,$B43,'9. Typed edges'!$C$2:$C$400,D$1)</f>
        <v/>
      </c>
      <c r="E43" s="19">
        <f>SUMIFS('9. Typed edges'!$I$2:$I$400,'9. Typed edges'!$F$2:$F$400,$B43,'9. Typed edges'!$C$2:$C$400,E$1)</f>
        <v/>
      </c>
      <c r="F43" s="19">
        <f>SUMIFS('9. Typed edges'!$I$2:$I$400,'9. Typed edges'!$F$2:$F$400,$B43,'9. Typed edges'!$C$2:$C$400,F$1)</f>
        <v/>
      </c>
      <c r="G43" s="19">
        <f>SUMIFS('9. Typed edges'!$I$2:$I$400,'9. Typed edges'!$F$2:$F$400,$B43,'9. Typed edges'!$C$2:$C$400,G$1)</f>
        <v/>
      </c>
      <c r="H43" s="19">
        <f>SUMIFS('9. Typed edges'!$I$2:$I$400,'9. Typed edges'!$F$2:$F$400,$B43,'9. Typed edges'!$C$2:$C$400,H$1)</f>
        <v/>
      </c>
      <c r="I43" s="19">
        <f>SUMIFS('9. Typed edges'!$I$2:$I$400,'9. Typed edges'!$F$2:$F$400,$B43,'9. Typed edges'!$C$2:$C$400,I$1)</f>
        <v/>
      </c>
      <c r="J43" s="19">
        <f>SUMIFS('9. Typed edges'!$I$2:$I$400,'9. Typed edges'!$F$2:$F$400,$B43,'9. Typed edges'!$C$2:$C$400,J$1)</f>
        <v/>
      </c>
      <c r="K43" s="19">
        <f>SUMIFS('9. Typed edges'!$I$2:$I$400,'9. Typed edges'!$F$2:$F$400,$B43,'9. Typed edges'!$C$2:$C$400,K$1)</f>
        <v/>
      </c>
      <c r="L43" s="19">
        <f>SUMIFS('9. Typed edges'!$I$2:$I$400,'9. Typed edges'!$F$2:$F$400,$B43,'9. Typed edges'!$C$2:$C$400,L$1)</f>
        <v/>
      </c>
      <c r="M43" s="19">
        <f>SUMIFS('9. Typed edges'!$I$2:$I$400,'9. Typed edges'!$F$2:$F$400,$B43,'9. Typed edges'!$C$2:$C$400,M$1)</f>
        <v/>
      </c>
      <c r="N43" s="45">
        <f>SUM(D43:M43)</f>
        <v/>
      </c>
      <c r="O43" s="19">
        <f>SUMIFS('9. Typed edges'!$H$2:$H$400,'9. Typed edges'!$F$2:$F$400,$B43)</f>
        <v/>
      </c>
      <c r="P43" s="14">
        <f>IF(N43&gt;0,"",IF(O43&gt;0,"Control and evidence support only - the ability itself is organizational","UNEXPLAINED - review"))</f>
        <v/>
      </c>
    </row>
    <row r="44" ht="28" customHeight="1">
      <c r="A44" s="11" t="inlineStr">
        <is>
          <t>D7</t>
        </is>
      </c>
      <c r="B44" s="12" t="inlineStr">
        <is>
          <t>7.6</t>
        </is>
      </c>
      <c r="C44" s="13" t="inlineStr">
        <is>
          <t>Legal, Regulatory &amp; Contractual Compliance for AI</t>
        </is>
      </c>
      <c r="D44" s="19">
        <f>SUMIFS('9. Typed edges'!$I$2:$I$400,'9. Typed edges'!$F$2:$F$400,$B44,'9. Typed edges'!$C$2:$C$400,D$1)</f>
        <v/>
      </c>
      <c r="E44" s="19">
        <f>SUMIFS('9. Typed edges'!$I$2:$I$400,'9. Typed edges'!$F$2:$F$400,$B44,'9. Typed edges'!$C$2:$C$400,E$1)</f>
        <v/>
      </c>
      <c r="F44" s="19">
        <f>SUMIFS('9. Typed edges'!$I$2:$I$400,'9. Typed edges'!$F$2:$F$400,$B44,'9. Typed edges'!$C$2:$C$400,F$1)</f>
        <v/>
      </c>
      <c r="G44" s="19">
        <f>SUMIFS('9. Typed edges'!$I$2:$I$400,'9. Typed edges'!$F$2:$F$400,$B44,'9. Typed edges'!$C$2:$C$400,G$1)</f>
        <v/>
      </c>
      <c r="H44" s="19">
        <f>SUMIFS('9. Typed edges'!$I$2:$I$400,'9. Typed edges'!$F$2:$F$400,$B44,'9. Typed edges'!$C$2:$C$400,H$1)</f>
        <v/>
      </c>
      <c r="I44" s="19">
        <f>SUMIFS('9. Typed edges'!$I$2:$I$400,'9. Typed edges'!$F$2:$F$400,$B44,'9. Typed edges'!$C$2:$C$400,I$1)</f>
        <v/>
      </c>
      <c r="J44" s="19">
        <f>SUMIFS('9. Typed edges'!$I$2:$I$400,'9. Typed edges'!$F$2:$F$400,$B44,'9. Typed edges'!$C$2:$C$400,J$1)</f>
        <v/>
      </c>
      <c r="K44" s="19">
        <f>SUMIFS('9. Typed edges'!$I$2:$I$400,'9. Typed edges'!$F$2:$F$400,$B44,'9. Typed edges'!$C$2:$C$400,K$1)</f>
        <v/>
      </c>
      <c r="L44" s="19">
        <f>SUMIFS('9. Typed edges'!$I$2:$I$400,'9. Typed edges'!$F$2:$F$400,$B44,'9. Typed edges'!$C$2:$C$400,L$1)</f>
        <v/>
      </c>
      <c r="M44" s="19">
        <f>SUMIFS('9. Typed edges'!$I$2:$I$400,'9. Typed edges'!$F$2:$F$400,$B44,'9. Typed edges'!$C$2:$C$400,M$1)</f>
        <v/>
      </c>
      <c r="N44" s="45">
        <f>SUM(D44:M44)</f>
        <v/>
      </c>
      <c r="O44" s="19">
        <f>SUMIFS('9. Typed edges'!$H$2:$H$400,'9. Typed edges'!$F$2:$F$400,$B44)</f>
        <v/>
      </c>
      <c r="P44" s="14">
        <f>IF(N44&gt;0,"",IF(O44&gt;0,"Control and evidence support only - the ability itself is organizational","UNEXPLAINED - review"))</f>
        <v/>
      </c>
    </row>
    <row r="45" ht="28" customHeight="1">
      <c r="A45" s="11" t="inlineStr">
        <is>
          <t>D7</t>
        </is>
      </c>
      <c r="B45" s="12" t="inlineStr">
        <is>
          <t>7.7</t>
        </is>
      </c>
      <c r="C45" s="13" t="inlineStr">
        <is>
          <t>AI System &amp; Agent Inventory Management</t>
        </is>
      </c>
      <c r="D45" s="19">
        <f>SUMIFS('9. Typed edges'!$I$2:$I$400,'9. Typed edges'!$F$2:$F$400,$B45,'9. Typed edges'!$C$2:$C$400,D$1)</f>
        <v/>
      </c>
      <c r="E45" s="19">
        <f>SUMIFS('9. Typed edges'!$I$2:$I$400,'9. Typed edges'!$F$2:$F$400,$B45,'9. Typed edges'!$C$2:$C$400,E$1)</f>
        <v/>
      </c>
      <c r="F45" s="19">
        <f>SUMIFS('9. Typed edges'!$I$2:$I$400,'9. Typed edges'!$F$2:$F$400,$B45,'9. Typed edges'!$C$2:$C$400,F$1)</f>
        <v/>
      </c>
      <c r="G45" s="19">
        <f>SUMIFS('9. Typed edges'!$I$2:$I$400,'9. Typed edges'!$F$2:$F$400,$B45,'9. Typed edges'!$C$2:$C$400,G$1)</f>
        <v/>
      </c>
      <c r="H45" s="19">
        <f>SUMIFS('9. Typed edges'!$I$2:$I$400,'9. Typed edges'!$F$2:$F$400,$B45,'9. Typed edges'!$C$2:$C$400,H$1)</f>
        <v/>
      </c>
      <c r="I45" s="19">
        <f>SUMIFS('9. Typed edges'!$I$2:$I$400,'9. Typed edges'!$F$2:$F$400,$B45,'9. Typed edges'!$C$2:$C$400,I$1)</f>
        <v/>
      </c>
      <c r="J45" s="19">
        <f>SUMIFS('9. Typed edges'!$I$2:$I$400,'9. Typed edges'!$F$2:$F$400,$B45,'9. Typed edges'!$C$2:$C$400,J$1)</f>
        <v/>
      </c>
      <c r="K45" s="19">
        <f>SUMIFS('9. Typed edges'!$I$2:$I$400,'9. Typed edges'!$F$2:$F$400,$B45,'9. Typed edges'!$C$2:$C$400,K$1)</f>
        <v/>
      </c>
      <c r="L45" s="19">
        <f>SUMIFS('9. Typed edges'!$I$2:$I$400,'9. Typed edges'!$F$2:$F$400,$B45,'9. Typed edges'!$C$2:$C$400,L$1)</f>
        <v/>
      </c>
      <c r="M45" s="19">
        <f>SUMIFS('9. Typed edges'!$I$2:$I$400,'9. Typed edges'!$F$2:$F$400,$B45,'9. Typed edges'!$C$2:$C$400,M$1)</f>
        <v/>
      </c>
      <c r="N45" s="45">
        <f>SUM(D45:M45)</f>
        <v/>
      </c>
      <c r="O45" s="19">
        <f>SUMIFS('9. Typed edges'!$H$2:$H$400,'9. Typed edges'!$F$2:$F$400,$B45)</f>
        <v/>
      </c>
      <c r="P45" s="14">
        <f>IF(N45&gt;0,"",IF(O45&gt;0,"Control and evidence support only - the ability itself is organizational","UNEXPLAINED - review"))</f>
        <v/>
      </c>
    </row>
    <row r="46" ht="28" customHeight="1">
      <c r="A46" s="11" t="inlineStr">
        <is>
          <t>D7</t>
        </is>
      </c>
      <c r="B46" s="12" t="inlineStr">
        <is>
          <t>7.8</t>
        </is>
      </c>
      <c r="C46" s="13" t="inlineStr">
        <is>
          <t>AI Assurance &amp; Evidence Management</t>
        </is>
      </c>
      <c r="D46" s="19">
        <f>SUMIFS('9. Typed edges'!$I$2:$I$400,'9. Typed edges'!$F$2:$F$400,$B46,'9. Typed edges'!$C$2:$C$400,D$1)</f>
        <v/>
      </c>
      <c r="E46" s="19">
        <f>SUMIFS('9. Typed edges'!$I$2:$I$400,'9. Typed edges'!$F$2:$F$400,$B46,'9. Typed edges'!$C$2:$C$400,E$1)</f>
        <v/>
      </c>
      <c r="F46" s="19">
        <f>SUMIFS('9. Typed edges'!$I$2:$I$400,'9. Typed edges'!$F$2:$F$400,$B46,'9. Typed edges'!$C$2:$C$400,F$1)</f>
        <v/>
      </c>
      <c r="G46" s="19">
        <f>SUMIFS('9. Typed edges'!$I$2:$I$400,'9. Typed edges'!$F$2:$F$400,$B46,'9. Typed edges'!$C$2:$C$400,G$1)</f>
        <v/>
      </c>
      <c r="H46" s="19">
        <f>SUMIFS('9. Typed edges'!$I$2:$I$400,'9. Typed edges'!$F$2:$F$400,$B46,'9. Typed edges'!$C$2:$C$400,H$1)</f>
        <v/>
      </c>
      <c r="I46" s="19">
        <f>SUMIFS('9. Typed edges'!$I$2:$I$400,'9. Typed edges'!$F$2:$F$400,$B46,'9. Typed edges'!$C$2:$C$400,I$1)</f>
        <v/>
      </c>
      <c r="J46" s="19">
        <f>SUMIFS('9. Typed edges'!$I$2:$I$400,'9. Typed edges'!$F$2:$F$400,$B46,'9. Typed edges'!$C$2:$C$400,J$1)</f>
        <v/>
      </c>
      <c r="K46" s="19">
        <f>SUMIFS('9. Typed edges'!$I$2:$I$400,'9. Typed edges'!$F$2:$F$400,$B46,'9. Typed edges'!$C$2:$C$400,K$1)</f>
        <v/>
      </c>
      <c r="L46" s="19">
        <f>SUMIFS('9. Typed edges'!$I$2:$I$400,'9. Typed edges'!$F$2:$F$400,$B46,'9. Typed edges'!$C$2:$C$400,L$1)</f>
        <v/>
      </c>
      <c r="M46" s="19">
        <f>SUMIFS('9. Typed edges'!$I$2:$I$400,'9. Typed edges'!$F$2:$F$400,$B46,'9. Typed edges'!$C$2:$C$400,M$1)</f>
        <v/>
      </c>
      <c r="N46" s="45">
        <f>SUM(D46:M46)</f>
        <v/>
      </c>
      <c r="O46" s="19">
        <f>SUMIFS('9. Typed edges'!$H$2:$H$400,'9. Typed edges'!$F$2:$F$400,$B46)</f>
        <v/>
      </c>
      <c r="P46" s="14">
        <f>IF(N46&gt;0,"",IF(O46&gt;0,"Control and evidence support only - the ability itself is organizational","UNEXPLAINED - review"))</f>
        <v/>
      </c>
    </row>
    <row r="47" ht="28" customHeight="1">
      <c r="A47" s="11" t="inlineStr">
        <is>
          <t>D7</t>
        </is>
      </c>
      <c r="B47" s="12" t="inlineStr">
        <is>
          <t>7.9</t>
        </is>
      </c>
      <c r="C47" s="13" t="inlineStr">
        <is>
          <t>AI Impact Assessment &amp; Risk Classification</t>
        </is>
      </c>
      <c r="D47" s="19">
        <f>SUMIFS('9. Typed edges'!$I$2:$I$400,'9. Typed edges'!$F$2:$F$400,$B47,'9. Typed edges'!$C$2:$C$400,D$1)</f>
        <v/>
      </c>
      <c r="E47" s="19">
        <f>SUMIFS('9. Typed edges'!$I$2:$I$400,'9. Typed edges'!$F$2:$F$400,$B47,'9. Typed edges'!$C$2:$C$400,E$1)</f>
        <v/>
      </c>
      <c r="F47" s="19">
        <f>SUMIFS('9. Typed edges'!$I$2:$I$400,'9. Typed edges'!$F$2:$F$400,$B47,'9. Typed edges'!$C$2:$C$400,F$1)</f>
        <v/>
      </c>
      <c r="G47" s="19">
        <f>SUMIFS('9. Typed edges'!$I$2:$I$400,'9. Typed edges'!$F$2:$F$400,$B47,'9. Typed edges'!$C$2:$C$400,G$1)</f>
        <v/>
      </c>
      <c r="H47" s="19">
        <f>SUMIFS('9. Typed edges'!$I$2:$I$400,'9. Typed edges'!$F$2:$F$400,$B47,'9. Typed edges'!$C$2:$C$400,H$1)</f>
        <v/>
      </c>
      <c r="I47" s="19">
        <f>SUMIFS('9. Typed edges'!$I$2:$I$400,'9. Typed edges'!$F$2:$F$400,$B47,'9. Typed edges'!$C$2:$C$400,I$1)</f>
        <v/>
      </c>
      <c r="J47" s="19">
        <f>SUMIFS('9. Typed edges'!$I$2:$I$400,'9. Typed edges'!$F$2:$F$400,$B47,'9. Typed edges'!$C$2:$C$400,J$1)</f>
        <v/>
      </c>
      <c r="K47" s="19">
        <f>SUMIFS('9. Typed edges'!$I$2:$I$400,'9. Typed edges'!$F$2:$F$400,$B47,'9. Typed edges'!$C$2:$C$400,K$1)</f>
        <v/>
      </c>
      <c r="L47" s="19">
        <f>SUMIFS('9. Typed edges'!$I$2:$I$400,'9. Typed edges'!$F$2:$F$400,$B47,'9. Typed edges'!$C$2:$C$400,L$1)</f>
        <v/>
      </c>
      <c r="M47" s="19">
        <f>SUMIFS('9. Typed edges'!$I$2:$I$400,'9. Typed edges'!$F$2:$F$400,$B47,'9. Typed edges'!$C$2:$C$400,M$1)</f>
        <v/>
      </c>
      <c r="N47" s="45">
        <f>SUM(D47:M47)</f>
        <v/>
      </c>
      <c r="O47" s="19">
        <f>SUMIFS('9. Typed edges'!$H$2:$H$400,'9. Typed edges'!$F$2:$F$400,$B47)</f>
        <v/>
      </c>
      <c r="P47" s="14">
        <f>IF(N47&gt;0,"",IF(O47&gt;0,"Control and evidence support only - the ability itself is organizational","Realized by existing enterprise services - GRC assessment and workflow tooling"))</f>
        <v/>
      </c>
    </row>
    <row r="48" ht="28" customHeight="1">
      <c r="A48" s="11" t="inlineStr">
        <is>
          <t>D8</t>
        </is>
      </c>
      <c r="B48" s="12" t="inlineStr">
        <is>
          <t>8.1</t>
        </is>
      </c>
      <c r="C48" s="13" t="inlineStr">
        <is>
          <t>AI Operating Model &amp; Decision Rights</t>
        </is>
      </c>
      <c r="D48" s="19">
        <f>SUMIFS('9. Typed edges'!$I$2:$I$400,'9. Typed edges'!$F$2:$F$400,$B48,'9. Typed edges'!$C$2:$C$400,D$1)</f>
        <v/>
      </c>
      <c r="E48" s="19">
        <f>SUMIFS('9. Typed edges'!$I$2:$I$400,'9. Typed edges'!$F$2:$F$400,$B48,'9. Typed edges'!$C$2:$C$400,E$1)</f>
        <v/>
      </c>
      <c r="F48" s="19">
        <f>SUMIFS('9. Typed edges'!$I$2:$I$400,'9. Typed edges'!$F$2:$F$400,$B48,'9. Typed edges'!$C$2:$C$400,F$1)</f>
        <v/>
      </c>
      <c r="G48" s="19">
        <f>SUMIFS('9. Typed edges'!$I$2:$I$400,'9. Typed edges'!$F$2:$F$400,$B48,'9. Typed edges'!$C$2:$C$400,G$1)</f>
        <v/>
      </c>
      <c r="H48" s="19">
        <f>SUMIFS('9. Typed edges'!$I$2:$I$400,'9. Typed edges'!$F$2:$F$400,$B48,'9. Typed edges'!$C$2:$C$400,H$1)</f>
        <v/>
      </c>
      <c r="I48" s="19">
        <f>SUMIFS('9. Typed edges'!$I$2:$I$400,'9. Typed edges'!$F$2:$F$400,$B48,'9. Typed edges'!$C$2:$C$400,I$1)</f>
        <v/>
      </c>
      <c r="J48" s="19">
        <f>SUMIFS('9. Typed edges'!$I$2:$I$400,'9. Typed edges'!$F$2:$F$400,$B48,'9. Typed edges'!$C$2:$C$400,J$1)</f>
        <v/>
      </c>
      <c r="K48" s="19">
        <f>SUMIFS('9. Typed edges'!$I$2:$I$400,'9. Typed edges'!$F$2:$F$400,$B48,'9. Typed edges'!$C$2:$C$400,K$1)</f>
        <v/>
      </c>
      <c r="L48" s="19">
        <f>SUMIFS('9. Typed edges'!$I$2:$I$400,'9. Typed edges'!$F$2:$F$400,$B48,'9. Typed edges'!$C$2:$C$400,L$1)</f>
        <v/>
      </c>
      <c r="M48" s="19">
        <f>SUMIFS('9. Typed edges'!$I$2:$I$400,'9. Typed edges'!$F$2:$F$400,$B48,'9. Typed edges'!$C$2:$C$400,M$1)</f>
        <v/>
      </c>
      <c r="N48" s="45">
        <f>SUM(D48:M48)</f>
        <v/>
      </c>
      <c r="O48" s="19">
        <f>SUMIFS('9. Typed edges'!$H$2:$H$400,'9. Typed edges'!$F$2:$F$400,$B48)</f>
        <v/>
      </c>
      <c r="P48" s="14">
        <f>IF(N48&gt;0,"",IF(O48&gt;0,"Control and evidence support only - the ability itself is organizational","Organizational capability - no technology realizes it"))</f>
        <v/>
      </c>
    </row>
    <row r="49" ht="28" customHeight="1">
      <c r="A49" s="11" t="inlineStr">
        <is>
          <t>D8</t>
        </is>
      </c>
      <c r="B49" s="12" t="inlineStr">
        <is>
          <t>8.2</t>
        </is>
      </c>
      <c r="C49" s="13" t="inlineStr">
        <is>
          <t>AI Skills &amp; Specialist Capability Building</t>
        </is>
      </c>
      <c r="D49" s="19">
        <f>SUMIFS('9. Typed edges'!$I$2:$I$400,'9. Typed edges'!$F$2:$F$400,$B49,'9. Typed edges'!$C$2:$C$400,D$1)</f>
        <v/>
      </c>
      <c r="E49" s="19">
        <f>SUMIFS('9. Typed edges'!$I$2:$I$400,'9. Typed edges'!$F$2:$F$400,$B49,'9. Typed edges'!$C$2:$C$400,E$1)</f>
        <v/>
      </c>
      <c r="F49" s="19">
        <f>SUMIFS('9. Typed edges'!$I$2:$I$400,'9. Typed edges'!$F$2:$F$400,$B49,'9. Typed edges'!$C$2:$C$400,F$1)</f>
        <v/>
      </c>
      <c r="G49" s="19">
        <f>SUMIFS('9. Typed edges'!$I$2:$I$400,'9. Typed edges'!$F$2:$F$400,$B49,'9. Typed edges'!$C$2:$C$400,G$1)</f>
        <v/>
      </c>
      <c r="H49" s="19">
        <f>SUMIFS('9. Typed edges'!$I$2:$I$400,'9. Typed edges'!$F$2:$F$400,$B49,'9. Typed edges'!$C$2:$C$400,H$1)</f>
        <v/>
      </c>
      <c r="I49" s="19">
        <f>SUMIFS('9. Typed edges'!$I$2:$I$400,'9. Typed edges'!$F$2:$F$400,$B49,'9. Typed edges'!$C$2:$C$400,I$1)</f>
        <v/>
      </c>
      <c r="J49" s="19">
        <f>SUMIFS('9. Typed edges'!$I$2:$I$400,'9. Typed edges'!$F$2:$F$400,$B49,'9. Typed edges'!$C$2:$C$400,J$1)</f>
        <v/>
      </c>
      <c r="K49" s="19">
        <f>SUMIFS('9. Typed edges'!$I$2:$I$400,'9. Typed edges'!$F$2:$F$400,$B49,'9. Typed edges'!$C$2:$C$400,K$1)</f>
        <v/>
      </c>
      <c r="L49" s="19">
        <f>SUMIFS('9. Typed edges'!$I$2:$I$400,'9. Typed edges'!$F$2:$F$400,$B49,'9. Typed edges'!$C$2:$C$400,L$1)</f>
        <v/>
      </c>
      <c r="M49" s="19">
        <f>SUMIFS('9. Typed edges'!$I$2:$I$400,'9. Typed edges'!$F$2:$F$400,$B49,'9. Typed edges'!$C$2:$C$400,M$1)</f>
        <v/>
      </c>
      <c r="N49" s="45">
        <f>SUM(D49:M49)</f>
        <v/>
      </c>
      <c r="O49" s="19">
        <f>SUMIFS('9. Typed edges'!$H$2:$H$400,'9. Typed edges'!$F$2:$F$400,$B49)</f>
        <v/>
      </c>
      <c r="P49" s="14">
        <f>IF(N49&gt;0,"",IF(O49&gt;0,"Control and evidence support only - the ability itself is organizational","Realized by existing enterprise services - Learning management system"))</f>
        <v/>
      </c>
    </row>
    <row r="50" ht="28" customHeight="1">
      <c r="A50" s="11" t="inlineStr">
        <is>
          <t>D8</t>
        </is>
      </c>
      <c r="B50" s="12" t="inlineStr">
        <is>
          <t>8.3</t>
        </is>
      </c>
      <c r="C50" s="13" t="inlineStr">
        <is>
          <t>AI Literacy &amp; Awareness</t>
        </is>
      </c>
      <c r="D50" s="19">
        <f>SUMIFS('9. Typed edges'!$I$2:$I$400,'9. Typed edges'!$F$2:$F$400,$B50,'9. Typed edges'!$C$2:$C$400,D$1)</f>
        <v/>
      </c>
      <c r="E50" s="19">
        <f>SUMIFS('9. Typed edges'!$I$2:$I$400,'9. Typed edges'!$F$2:$F$400,$B50,'9. Typed edges'!$C$2:$C$400,E$1)</f>
        <v/>
      </c>
      <c r="F50" s="19">
        <f>SUMIFS('9. Typed edges'!$I$2:$I$400,'9. Typed edges'!$F$2:$F$400,$B50,'9. Typed edges'!$C$2:$C$400,F$1)</f>
        <v/>
      </c>
      <c r="G50" s="19">
        <f>SUMIFS('9. Typed edges'!$I$2:$I$400,'9. Typed edges'!$F$2:$F$400,$B50,'9. Typed edges'!$C$2:$C$400,G$1)</f>
        <v/>
      </c>
      <c r="H50" s="19">
        <f>SUMIFS('9. Typed edges'!$I$2:$I$400,'9. Typed edges'!$F$2:$F$400,$B50,'9. Typed edges'!$C$2:$C$400,H$1)</f>
        <v/>
      </c>
      <c r="I50" s="19">
        <f>SUMIFS('9. Typed edges'!$I$2:$I$400,'9. Typed edges'!$F$2:$F$400,$B50,'9. Typed edges'!$C$2:$C$400,I$1)</f>
        <v/>
      </c>
      <c r="J50" s="19">
        <f>SUMIFS('9. Typed edges'!$I$2:$I$400,'9. Typed edges'!$F$2:$F$400,$B50,'9. Typed edges'!$C$2:$C$400,J$1)</f>
        <v/>
      </c>
      <c r="K50" s="19">
        <f>SUMIFS('9. Typed edges'!$I$2:$I$400,'9. Typed edges'!$F$2:$F$400,$B50,'9. Typed edges'!$C$2:$C$400,K$1)</f>
        <v/>
      </c>
      <c r="L50" s="19">
        <f>SUMIFS('9. Typed edges'!$I$2:$I$400,'9. Typed edges'!$F$2:$F$400,$B50,'9. Typed edges'!$C$2:$C$400,L$1)</f>
        <v/>
      </c>
      <c r="M50" s="19">
        <f>SUMIFS('9. Typed edges'!$I$2:$I$400,'9. Typed edges'!$F$2:$F$400,$B50,'9. Typed edges'!$C$2:$C$400,M$1)</f>
        <v/>
      </c>
      <c r="N50" s="45">
        <f>SUM(D50:M50)</f>
        <v/>
      </c>
      <c r="O50" s="19">
        <f>SUMIFS('9. Typed edges'!$H$2:$H$400,'9. Typed edges'!$F$2:$F$400,$B50)</f>
        <v/>
      </c>
      <c r="P50" s="14">
        <f>IF(N50&gt;0,"",IF(O50&gt;0,"Control and evidence support only - the ability itself is organizational","Realized by existing enterprise services - Learning management system"))</f>
        <v/>
      </c>
    </row>
    <row r="51" ht="28" customHeight="1">
      <c r="A51" s="11" t="inlineStr">
        <is>
          <t>D8</t>
        </is>
      </c>
      <c r="B51" s="12" t="inlineStr">
        <is>
          <t>8.4</t>
        </is>
      </c>
      <c r="C51" s="13" t="inlineStr">
        <is>
          <t>AI Adoption, Enablement &amp; Support</t>
        </is>
      </c>
      <c r="D51" s="19">
        <f>SUMIFS('9. Typed edges'!$I$2:$I$400,'9. Typed edges'!$F$2:$F$400,$B51,'9. Typed edges'!$C$2:$C$400,D$1)</f>
        <v/>
      </c>
      <c r="E51" s="19">
        <f>SUMIFS('9. Typed edges'!$I$2:$I$400,'9. Typed edges'!$F$2:$F$400,$B51,'9. Typed edges'!$C$2:$C$400,E$1)</f>
        <v/>
      </c>
      <c r="F51" s="19">
        <f>SUMIFS('9. Typed edges'!$I$2:$I$400,'9. Typed edges'!$F$2:$F$400,$B51,'9. Typed edges'!$C$2:$C$400,F$1)</f>
        <v/>
      </c>
      <c r="G51" s="19">
        <f>SUMIFS('9. Typed edges'!$I$2:$I$400,'9. Typed edges'!$F$2:$F$400,$B51,'9. Typed edges'!$C$2:$C$400,G$1)</f>
        <v/>
      </c>
      <c r="H51" s="19">
        <f>SUMIFS('9. Typed edges'!$I$2:$I$400,'9. Typed edges'!$F$2:$F$400,$B51,'9. Typed edges'!$C$2:$C$400,H$1)</f>
        <v/>
      </c>
      <c r="I51" s="19">
        <f>SUMIFS('9. Typed edges'!$I$2:$I$400,'9. Typed edges'!$F$2:$F$400,$B51,'9. Typed edges'!$C$2:$C$400,I$1)</f>
        <v/>
      </c>
      <c r="J51" s="19">
        <f>SUMIFS('9. Typed edges'!$I$2:$I$400,'9. Typed edges'!$F$2:$F$400,$B51,'9. Typed edges'!$C$2:$C$400,J$1)</f>
        <v/>
      </c>
      <c r="K51" s="19">
        <f>SUMIFS('9. Typed edges'!$I$2:$I$400,'9. Typed edges'!$F$2:$F$400,$B51,'9. Typed edges'!$C$2:$C$400,K$1)</f>
        <v/>
      </c>
      <c r="L51" s="19">
        <f>SUMIFS('9. Typed edges'!$I$2:$I$400,'9. Typed edges'!$F$2:$F$400,$B51,'9. Typed edges'!$C$2:$C$400,L$1)</f>
        <v/>
      </c>
      <c r="M51" s="19">
        <f>SUMIFS('9. Typed edges'!$I$2:$I$400,'9. Typed edges'!$F$2:$F$400,$B51,'9. Typed edges'!$C$2:$C$400,M$1)</f>
        <v/>
      </c>
      <c r="N51" s="45">
        <f>SUM(D51:M51)</f>
        <v/>
      </c>
      <c r="O51" s="19">
        <f>SUMIFS('9. Typed edges'!$H$2:$H$400,'9. Typed edges'!$F$2:$F$400,$B51)</f>
        <v/>
      </c>
      <c r="P51" s="14">
        <f>IF(N51&gt;0,"",IF(O51&gt;0,"Control and evidence support only - the ability itself is organizational","Realized by existing enterprise services - Service desk and adoption analytics"))</f>
        <v/>
      </c>
    </row>
    <row r="52" ht="28" customHeight="1">
      <c r="A52" s="11" t="inlineStr">
        <is>
          <t>D8</t>
        </is>
      </c>
      <c r="B52" s="12" t="inlineStr">
        <is>
          <t>8.5</t>
        </is>
      </c>
      <c r="C52" s="13" t="inlineStr">
        <is>
          <t>AI Change Management &amp; Workforce Transition</t>
        </is>
      </c>
      <c r="D52" s="19">
        <f>SUMIFS('9. Typed edges'!$I$2:$I$400,'9. Typed edges'!$F$2:$F$400,$B52,'9. Typed edges'!$C$2:$C$400,D$1)</f>
        <v/>
      </c>
      <c r="E52" s="19">
        <f>SUMIFS('9. Typed edges'!$I$2:$I$400,'9. Typed edges'!$F$2:$F$400,$B52,'9. Typed edges'!$C$2:$C$400,E$1)</f>
        <v/>
      </c>
      <c r="F52" s="19">
        <f>SUMIFS('9. Typed edges'!$I$2:$I$400,'9. Typed edges'!$F$2:$F$400,$B52,'9. Typed edges'!$C$2:$C$400,F$1)</f>
        <v/>
      </c>
      <c r="G52" s="19">
        <f>SUMIFS('9. Typed edges'!$I$2:$I$400,'9. Typed edges'!$F$2:$F$400,$B52,'9. Typed edges'!$C$2:$C$400,G$1)</f>
        <v/>
      </c>
      <c r="H52" s="19">
        <f>SUMIFS('9. Typed edges'!$I$2:$I$400,'9. Typed edges'!$F$2:$F$400,$B52,'9. Typed edges'!$C$2:$C$400,H$1)</f>
        <v/>
      </c>
      <c r="I52" s="19">
        <f>SUMIFS('9. Typed edges'!$I$2:$I$400,'9. Typed edges'!$F$2:$F$400,$B52,'9. Typed edges'!$C$2:$C$400,I$1)</f>
        <v/>
      </c>
      <c r="J52" s="19">
        <f>SUMIFS('9. Typed edges'!$I$2:$I$400,'9. Typed edges'!$F$2:$F$400,$B52,'9. Typed edges'!$C$2:$C$400,J$1)</f>
        <v/>
      </c>
      <c r="K52" s="19">
        <f>SUMIFS('9. Typed edges'!$I$2:$I$400,'9. Typed edges'!$F$2:$F$400,$B52,'9. Typed edges'!$C$2:$C$400,K$1)</f>
        <v/>
      </c>
      <c r="L52" s="19">
        <f>SUMIFS('9. Typed edges'!$I$2:$I$400,'9. Typed edges'!$F$2:$F$400,$B52,'9. Typed edges'!$C$2:$C$400,L$1)</f>
        <v/>
      </c>
      <c r="M52" s="19">
        <f>SUMIFS('9. Typed edges'!$I$2:$I$400,'9. Typed edges'!$F$2:$F$400,$B52,'9. Typed edges'!$C$2:$C$400,M$1)</f>
        <v/>
      </c>
      <c r="N52" s="45">
        <f>SUM(D52:M52)</f>
        <v/>
      </c>
      <c r="O52" s="19">
        <f>SUMIFS('9. Typed edges'!$H$2:$H$400,'9. Typed edges'!$F$2:$F$400,$B52)</f>
        <v/>
      </c>
      <c r="P52" s="14">
        <f>IF(N52&gt;0,"",IF(O52&gt;0,"Control and evidence support only - the ability itself is organizational","Organizational capability - no technology realizes it"))</f>
        <v/>
      </c>
    </row>
    <row r="53" ht="28" customHeight="1">
      <c r="A53" s="11" t="inlineStr">
        <is>
          <t>D8</t>
        </is>
      </c>
      <c r="B53" s="12" t="inlineStr">
        <is>
          <t>8.6</t>
        </is>
      </c>
      <c r="C53" s="13" t="inlineStr">
        <is>
          <t>AI Community &amp; Reuse Culture</t>
        </is>
      </c>
      <c r="D53" s="19">
        <f>SUMIFS('9. Typed edges'!$I$2:$I$400,'9. Typed edges'!$F$2:$F$400,$B53,'9. Typed edges'!$C$2:$C$400,D$1)</f>
        <v/>
      </c>
      <c r="E53" s="19">
        <f>SUMIFS('9. Typed edges'!$I$2:$I$400,'9. Typed edges'!$F$2:$F$400,$B53,'9. Typed edges'!$C$2:$C$400,E$1)</f>
        <v/>
      </c>
      <c r="F53" s="19">
        <f>SUMIFS('9. Typed edges'!$I$2:$I$400,'9. Typed edges'!$F$2:$F$400,$B53,'9. Typed edges'!$C$2:$C$400,F$1)</f>
        <v/>
      </c>
      <c r="G53" s="19">
        <f>SUMIFS('9. Typed edges'!$I$2:$I$400,'9. Typed edges'!$F$2:$F$400,$B53,'9. Typed edges'!$C$2:$C$400,G$1)</f>
        <v/>
      </c>
      <c r="H53" s="19">
        <f>SUMIFS('9. Typed edges'!$I$2:$I$400,'9. Typed edges'!$F$2:$F$400,$B53,'9. Typed edges'!$C$2:$C$400,H$1)</f>
        <v/>
      </c>
      <c r="I53" s="19">
        <f>SUMIFS('9. Typed edges'!$I$2:$I$400,'9. Typed edges'!$F$2:$F$400,$B53,'9. Typed edges'!$C$2:$C$400,I$1)</f>
        <v/>
      </c>
      <c r="J53" s="19">
        <f>SUMIFS('9. Typed edges'!$I$2:$I$400,'9. Typed edges'!$F$2:$F$400,$B53,'9. Typed edges'!$C$2:$C$400,J$1)</f>
        <v/>
      </c>
      <c r="K53" s="19">
        <f>SUMIFS('9. Typed edges'!$I$2:$I$400,'9. Typed edges'!$F$2:$F$400,$B53,'9. Typed edges'!$C$2:$C$400,K$1)</f>
        <v/>
      </c>
      <c r="L53" s="19">
        <f>SUMIFS('9. Typed edges'!$I$2:$I$400,'9. Typed edges'!$F$2:$F$400,$B53,'9. Typed edges'!$C$2:$C$400,L$1)</f>
        <v/>
      </c>
      <c r="M53" s="19">
        <f>SUMIFS('9. Typed edges'!$I$2:$I$400,'9. Typed edges'!$F$2:$F$400,$B53,'9. Typed edges'!$C$2:$C$400,M$1)</f>
        <v/>
      </c>
      <c r="N53" s="45">
        <f>SUM(D53:M53)</f>
        <v/>
      </c>
      <c r="O53" s="19">
        <f>SUMIFS('9. Typed edges'!$H$2:$H$400,'9. Typed edges'!$F$2:$F$400,$B53)</f>
        <v/>
      </c>
      <c r="P53" s="14">
        <f>IF(N53&gt;0,"",IF(O53&gt;0,"Control and evidence support only - the ability itself is organizational","Realized by existing enterprise services - Collaboration and knowledge platform"))</f>
        <v/>
      </c>
    </row>
    <row r="55" ht="40" customHeight="1">
      <c r="A55" s="22" t="inlineStr">
        <is>
          <t>Counts are NAVIGATION, not coverage. More edges does not mean better realization - relevance, obligation and sufficiency do. Only required- and optional-enabler edges are counted, because only those assert that the ability depends on the block. Blanks come in four kinds; anything reading UNEXPLAINED is a real finding and should not exist.</t>
        </is>
      </c>
    </row>
  </sheetData>
  <autoFilter ref="A1:P53"/>
  <mergeCells count="1">
    <mergeCell ref="A55:P5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8" customWidth="1" min="3" max="3"/>
    <col width="8" customWidth="1" min="4" max="4"/>
    <col width="20" customWidth="1" min="5" max="5"/>
    <col width="11" customWidth="1" min="6" max="6"/>
    <col width="13" customWidth="1" min="7" max="7"/>
    <col width="10" customWidth="1" min="8" max="8"/>
    <col width="16" customWidth="1" min="9" max="9"/>
  </cols>
  <sheetData>
    <row r="1" ht="32" customHeight="1">
      <c r="A1" s="10" t="inlineStr">
        <is>
          <t>Entry ID</t>
        </is>
      </c>
      <c r="B1" s="10" t="inlineStr">
        <is>
          <t>Entry</t>
        </is>
      </c>
      <c r="C1" s="10" t="inlineStr">
        <is>
          <t>Group</t>
        </is>
      </c>
      <c r="D1" s="10" t="inlineStr">
        <is>
          <t>Kind</t>
        </is>
      </c>
      <c r="E1" s="10" t="inlineStr">
        <is>
          <t>Edge type</t>
        </is>
      </c>
      <c r="F1" s="10" t="inlineStr">
        <is>
          <t>Capability</t>
        </is>
      </c>
      <c r="G1" s="10" t="inlineStr">
        <is>
          <t>Criterion ref</t>
        </is>
      </c>
      <c r="H1" s="10" t="inlineStr">
        <is>
          <t>Count once</t>
        </is>
      </c>
      <c r="I1" s="10" t="inlineStr">
        <is>
          <t>Count once (enabler)</t>
        </is>
      </c>
    </row>
    <row r="2">
      <c r="A2" s="46" t="inlineStr">
        <is>
          <t>S1.1</t>
        </is>
      </c>
      <c r="B2" s="15" t="inlineStr">
        <is>
          <t>Optical Character Recognition</t>
        </is>
      </c>
      <c r="C2" s="11" t="inlineStr">
        <is>
          <t>S1</t>
        </is>
      </c>
      <c r="D2" s="11" t="inlineStr">
        <is>
          <t>SVC</t>
        </is>
      </c>
      <c r="E2" s="47" t="inlineStr">
        <is>
          <t>required-enabler</t>
        </is>
      </c>
      <c r="F2" s="46" t="inlineStr">
        <is>
          <t>3.5</t>
        </is>
      </c>
      <c r="G2" s="46" t="inlineStr">
        <is>
          <t>3.5.2</t>
        </is>
      </c>
      <c r="H2" s="19">
        <f>IF(COUNTIFS($A$2:A2,A2,$F$2:F2,F2)=1,1,0)</f>
        <v/>
      </c>
      <c r="I2" s="19">
        <f>IF(AND(OR(E2="required-enabler",E2="optional-enabler"),COUNTIFS($A$2:A2,A2,$F$2:F2,F2,$E$2:E2,E2)=1),1,0)</f>
        <v/>
      </c>
    </row>
    <row r="3">
      <c r="A3" s="46" t="inlineStr">
        <is>
          <t>S1.2</t>
        </is>
      </c>
      <c r="B3" s="15" t="inlineStr">
        <is>
          <t>Document Layout &amp; Structure Analysis</t>
        </is>
      </c>
      <c r="C3" s="11" t="inlineStr">
        <is>
          <t>S1</t>
        </is>
      </c>
      <c r="D3" s="11" t="inlineStr">
        <is>
          <t>SVC</t>
        </is>
      </c>
      <c r="E3" s="47" t="inlineStr">
        <is>
          <t>required-enabler</t>
        </is>
      </c>
      <c r="F3" s="46" t="inlineStr">
        <is>
          <t>3.5</t>
        </is>
      </c>
      <c r="G3" s="46" t="inlineStr">
        <is>
          <t>3.5.2</t>
        </is>
      </c>
      <c r="H3" s="19">
        <f>IF(COUNTIFS($A$2:A3,A3,$F$2:F3,F3)=1,1,0)</f>
        <v/>
      </c>
      <c r="I3" s="19">
        <f>IF(AND(OR(E3="required-enabler",E3="optional-enabler"),COUNTIFS($A$2:A3,A3,$F$2:F3,F3,$E$2:E3,E3)=1),1,0)</f>
        <v/>
      </c>
    </row>
    <row r="4">
      <c r="A4" s="46" t="inlineStr">
        <is>
          <t>S1.2</t>
        </is>
      </c>
      <c r="B4" s="15" t="inlineStr">
        <is>
          <t>Document Layout &amp; Structure Analysis</t>
        </is>
      </c>
      <c r="C4" s="11" t="inlineStr">
        <is>
          <t>S1</t>
        </is>
      </c>
      <c r="D4" s="11" t="inlineStr">
        <is>
          <t>SVC</t>
        </is>
      </c>
      <c r="E4" s="47" t="inlineStr">
        <is>
          <t>required-enabler</t>
        </is>
      </c>
      <c r="F4" s="46" t="inlineStr">
        <is>
          <t>3.5</t>
        </is>
      </c>
      <c r="G4" s="46" t="inlineStr">
        <is>
          <t>3.5.3</t>
        </is>
      </c>
      <c r="H4" s="19">
        <f>IF(COUNTIFS($A$2:A4,A4,$F$2:F4,F4)=1,1,0)</f>
        <v/>
      </c>
      <c r="I4" s="19">
        <f>IF(AND(OR(E4="required-enabler",E4="optional-enabler"),COUNTIFS($A$2:A4,A4,$F$2:F4,F4,$E$2:E4,E4)=1),1,0)</f>
        <v/>
      </c>
    </row>
    <row r="5">
      <c r="A5" s="46" t="inlineStr">
        <is>
          <t>S1.3</t>
        </is>
      </c>
      <c r="B5" s="15" t="inlineStr">
        <is>
          <t>Form &amp; Key-Value Extraction</t>
        </is>
      </c>
      <c r="C5" s="11" t="inlineStr">
        <is>
          <t>S1</t>
        </is>
      </c>
      <c r="D5" s="11" t="inlineStr">
        <is>
          <t>SVC</t>
        </is>
      </c>
      <c r="E5" s="47" t="inlineStr">
        <is>
          <t>required-enabler</t>
        </is>
      </c>
      <c r="F5" s="46" t="inlineStr">
        <is>
          <t>3.5</t>
        </is>
      </c>
      <c r="G5" s="46" t="inlineStr">
        <is>
          <t>3.5.2</t>
        </is>
      </c>
      <c r="H5" s="19">
        <f>IF(COUNTIFS($A$2:A5,A5,$F$2:F5,F5)=1,1,0)</f>
        <v/>
      </c>
      <c r="I5" s="19">
        <f>IF(AND(OR(E5="required-enabler",E5="optional-enabler"),COUNTIFS($A$2:A5,A5,$F$2:F5,F5,$E$2:E5,E5)=1),1,0)</f>
        <v/>
      </c>
    </row>
    <row r="6">
      <c r="A6" s="46" t="inlineStr">
        <is>
          <t>S1.4</t>
        </is>
      </c>
      <c r="B6" s="15" t="inlineStr">
        <is>
          <t>Table Extraction</t>
        </is>
      </c>
      <c r="C6" s="11" t="inlineStr">
        <is>
          <t>S1</t>
        </is>
      </c>
      <c r="D6" s="11" t="inlineStr">
        <is>
          <t>SVC</t>
        </is>
      </c>
      <c r="E6" s="47" t="inlineStr">
        <is>
          <t>required-enabler</t>
        </is>
      </c>
      <c r="F6" s="46" t="inlineStr">
        <is>
          <t>3.5</t>
        </is>
      </c>
      <c r="G6" s="46" t="inlineStr">
        <is>
          <t>3.5.2</t>
        </is>
      </c>
      <c r="H6" s="19">
        <f>IF(COUNTIFS($A$2:A6,A6,$F$2:F6,F6)=1,1,0)</f>
        <v/>
      </c>
      <c r="I6" s="19">
        <f>IF(AND(OR(E6="required-enabler",E6="optional-enabler"),COUNTIFS($A$2:A6,A6,$F$2:F6,F6,$E$2:E6,E6)=1),1,0)</f>
        <v/>
      </c>
    </row>
    <row r="7">
      <c r="A7" s="46" t="inlineStr">
        <is>
          <t>S1.5</t>
        </is>
      </c>
      <c r="B7" s="15" t="inlineStr">
        <is>
          <t>Document Classification &amp; Splitting</t>
        </is>
      </c>
      <c r="C7" s="11" t="inlineStr">
        <is>
          <t>S1</t>
        </is>
      </c>
      <c r="D7" s="11" t="inlineStr">
        <is>
          <t>SVC</t>
        </is>
      </c>
      <c r="E7" s="47" t="inlineStr">
        <is>
          <t>required-enabler</t>
        </is>
      </c>
      <c r="F7" s="46" t="inlineStr">
        <is>
          <t>3.5</t>
        </is>
      </c>
      <c r="G7" s="46" t="inlineStr">
        <is>
          <t>3.5.1</t>
        </is>
      </c>
      <c r="H7" s="19">
        <f>IF(COUNTIFS($A$2:A7,A7,$F$2:F7,F7)=1,1,0)</f>
        <v/>
      </c>
      <c r="I7" s="19">
        <f>IF(AND(OR(E7="required-enabler",E7="optional-enabler"),COUNTIFS($A$2:A7,A7,$F$2:F7,F7,$E$2:E7,E7)=1),1,0)</f>
        <v/>
      </c>
    </row>
    <row r="8">
      <c r="A8" s="46" t="inlineStr">
        <is>
          <t>S1.5</t>
        </is>
      </c>
      <c r="B8" s="15" t="inlineStr">
        <is>
          <t>Document Classification &amp; Splitting</t>
        </is>
      </c>
      <c r="C8" s="11" t="inlineStr">
        <is>
          <t>S1</t>
        </is>
      </c>
      <c r="D8" s="11" t="inlineStr">
        <is>
          <t>SVC</t>
        </is>
      </c>
      <c r="E8" s="47" t="inlineStr">
        <is>
          <t>required-enabler</t>
        </is>
      </c>
      <c r="F8" s="46" t="inlineStr">
        <is>
          <t>3.5</t>
        </is>
      </c>
      <c r="G8" s="46" t="inlineStr">
        <is>
          <t>3.5.2</t>
        </is>
      </c>
      <c r="H8" s="19">
        <f>IF(COUNTIFS($A$2:A8,A8,$F$2:F8,F8)=1,1,0)</f>
        <v/>
      </c>
      <c r="I8" s="19">
        <f>IF(AND(OR(E8="required-enabler",E8="optional-enabler"),COUNTIFS($A$2:A8,A8,$F$2:F8,F8,$E$2:E8,E8)=1),1,0)</f>
        <v/>
      </c>
    </row>
    <row r="9">
      <c r="A9" s="46" t="inlineStr">
        <is>
          <t>S1.6</t>
        </is>
      </c>
      <c r="B9" s="15" t="inlineStr">
        <is>
          <t>Handwriting Recognition</t>
        </is>
      </c>
      <c r="C9" s="11" t="inlineStr">
        <is>
          <t>S1</t>
        </is>
      </c>
      <c r="D9" s="11" t="inlineStr">
        <is>
          <t>SVC</t>
        </is>
      </c>
      <c r="E9" s="47" t="inlineStr">
        <is>
          <t>required-enabler</t>
        </is>
      </c>
      <c r="F9" s="46" t="inlineStr">
        <is>
          <t>3.5</t>
        </is>
      </c>
      <c r="G9" s="46" t="inlineStr">
        <is>
          <t>3.5.2</t>
        </is>
      </c>
      <c r="H9" s="19">
        <f>IF(COUNTIFS($A$2:A9,A9,$F$2:F9,F9)=1,1,0)</f>
        <v/>
      </c>
      <c r="I9" s="19">
        <f>IF(AND(OR(E9="required-enabler",E9="optional-enabler"),COUNTIFS($A$2:A9,A9,$F$2:F9,F9,$E$2:E9,E9)=1),1,0)</f>
        <v/>
      </c>
    </row>
    <row r="10">
      <c r="A10" s="46" t="inlineStr">
        <is>
          <t>S1.7</t>
        </is>
      </c>
      <c r="B10" s="15" t="inlineStr">
        <is>
          <t>Speech-to-Text</t>
        </is>
      </c>
      <c r="C10" s="11" t="inlineStr">
        <is>
          <t>S1</t>
        </is>
      </c>
      <c r="D10" s="11" t="inlineStr">
        <is>
          <t>SVC</t>
        </is>
      </c>
      <c r="E10" s="47" t="inlineStr">
        <is>
          <t>required-enabler</t>
        </is>
      </c>
      <c r="F10" s="46" t="inlineStr">
        <is>
          <t>3.5</t>
        </is>
      </c>
      <c r="G10" s="46" t="inlineStr">
        <is>
          <t>3.5.2</t>
        </is>
      </c>
      <c r="H10" s="19">
        <f>IF(COUNTIFS($A$2:A10,A10,$F$2:F10,F10)=1,1,0)</f>
        <v/>
      </c>
      <c r="I10" s="19">
        <f>IF(AND(OR(E10="required-enabler",E10="optional-enabler"),COUNTIFS($A$2:A10,A10,$F$2:F10,F10,$E$2:E10,E10)=1),1,0)</f>
        <v/>
      </c>
    </row>
    <row r="11">
      <c r="A11" s="46" t="inlineStr">
        <is>
          <t>S1.13</t>
        </is>
      </c>
      <c r="B11" s="15" t="inlineStr">
        <is>
          <t>Video Analysis &amp; Indexing</t>
        </is>
      </c>
      <c r="C11" s="11" t="inlineStr">
        <is>
          <t>S1</t>
        </is>
      </c>
      <c r="D11" s="11" t="inlineStr">
        <is>
          <t>SVC</t>
        </is>
      </c>
      <c r="E11" s="47" t="inlineStr">
        <is>
          <t>required-enabler</t>
        </is>
      </c>
      <c r="F11" s="46" t="inlineStr">
        <is>
          <t>3.5</t>
        </is>
      </c>
      <c r="G11" s="46" t="inlineStr">
        <is>
          <t>3.5.2</t>
        </is>
      </c>
      <c r="H11" s="19">
        <f>IF(COUNTIFS($A$2:A11,A11,$F$2:F11,F11)=1,1,0)</f>
        <v/>
      </c>
      <c r="I11" s="19">
        <f>IF(AND(OR(E11="required-enabler",E11="optional-enabler"),COUNTIFS($A$2:A11,A11,$F$2:F11,F11,$E$2:E11,E11)=1),1,0)</f>
        <v/>
      </c>
    </row>
    <row r="12">
      <c r="A12" s="46" t="inlineStr">
        <is>
          <t>S1.14</t>
        </is>
      </c>
      <c r="B12" s="15" t="inlineStr">
        <is>
          <t>Named Entity Recognition</t>
        </is>
      </c>
      <c r="C12" s="11" t="inlineStr">
        <is>
          <t>S1</t>
        </is>
      </c>
      <c r="D12" s="11" t="inlineStr">
        <is>
          <t>SVC</t>
        </is>
      </c>
      <c r="E12" s="47" t="inlineStr">
        <is>
          <t>required-enabler</t>
        </is>
      </c>
      <c r="F12" s="46" t="inlineStr">
        <is>
          <t>3.5</t>
        </is>
      </c>
      <c r="G12" s="46" t="inlineStr">
        <is>
          <t>3.5.2</t>
        </is>
      </c>
      <c r="H12" s="19">
        <f>IF(COUNTIFS($A$2:A12,A12,$F$2:F12,F12)=1,1,0)</f>
        <v/>
      </c>
      <c r="I12" s="19">
        <f>IF(AND(OR(E12="required-enabler",E12="optional-enabler"),COUNTIFS($A$2:A12,A12,$F$2:F12,F12,$E$2:E12,E12)=1),1,0)</f>
        <v/>
      </c>
    </row>
    <row r="13">
      <c r="A13" s="46" t="inlineStr">
        <is>
          <t>S1.16</t>
        </is>
      </c>
      <c r="B13" s="15" t="inlineStr">
        <is>
          <t>Sensitive Data Detection</t>
        </is>
      </c>
      <c r="C13" s="11" t="inlineStr">
        <is>
          <t>S1</t>
        </is>
      </c>
      <c r="D13" s="11" t="inlineStr">
        <is>
          <t>SVC</t>
        </is>
      </c>
      <c r="E13" s="47" t="inlineStr">
        <is>
          <t>required-enabler</t>
        </is>
      </c>
      <c r="F13" s="46" t="inlineStr">
        <is>
          <t>3.1</t>
        </is>
      </c>
      <c r="G13" s="46" t="inlineStr">
        <is>
          <t>3.1.2</t>
        </is>
      </c>
      <c r="H13" s="19">
        <f>IF(COUNTIFS($A$2:A13,A13,$F$2:F13,F13)=1,1,0)</f>
        <v/>
      </c>
      <c r="I13" s="19">
        <f>IF(AND(OR(E13="required-enabler",E13="optional-enabler"),COUNTIFS($A$2:A13,A13,$F$2:F13,F13,$E$2:E13,E13)=1),1,0)</f>
        <v/>
      </c>
    </row>
    <row r="14">
      <c r="A14" s="46" t="inlineStr">
        <is>
          <t>S1.16</t>
        </is>
      </c>
      <c r="B14" s="15" t="inlineStr">
        <is>
          <t>Sensitive Data Detection</t>
        </is>
      </c>
      <c r="C14" s="11" t="inlineStr">
        <is>
          <t>S1</t>
        </is>
      </c>
      <c r="D14" s="11" t="inlineStr">
        <is>
          <t>SVC</t>
        </is>
      </c>
      <c r="E14" s="47" t="inlineStr">
        <is>
          <t>required-enabler</t>
        </is>
      </c>
      <c r="F14" s="46" t="inlineStr">
        <is>
          <t>7.5</t>
        </is>
      </c>
      <c r="G14" s="46" t="inlineStr">
        <is>
          <t>7.5.2</t>
        </is>
      </c>
      <c r="H14" s="19">
        <f>IF(COUNTIFS($A$2:A14,A14,$F$2:F14,F14)=1,1,0)</f>
        <v/>
      </c>
      <c r="I14" s="19">
        <f>IF(AND(OR(E14="required-enabler",E14="optional-enabler"),COUNTIFS($A$2:A14,A14,$F$2:F14,F14,$E$2:E14,E14)=1),1,0)</f>
        <v/>
      </c>
    </row>
    <row r="15">
      <c r="A15" s="46" t="inlineStr">
        <is>
          <t>S1.18</t>
        </is>
      </c>
      <c r="B15" s="15" t="inlineStr">
        <is>
          <t>Machine Translation</t>
        </is>
      </c>
      <c r="C15" s="11" t="inlineStr">
        <is>
          <t>S1</t>
        </is>
      </c>
      <c r="D15" s="11" t="inlineStr">
        <is>
          <t>SVC</t>
        </is>
      </c>
      <c r="E15" s="47" t="inlineStr">
        <is>
          <t>required-enabler</t>
        </is>
      </c>
      <c r="F15" s="46" t="inlineStr">
        <is>
          <t>2.4</t>
        </is>
      </c>
      <c r="G15" s="46" t="inlineStr">
        <is>
          <t>2.4.6</t>
        </is>
      </c>
      <c r="H15" s="19">
        <f>IF(COUNTIFS($A$2:A15,A15,$F$2:F15,F15)=1,1,0)</f>
        <v/>
      </c>
      <c r="I15" s="19">
        <f>IF(AND(OR(E15="required-enabler",E15="optional-enabler"),COUNTIFS($A$2:A15,A15,$F$2:F15,F15,$E$2:E15,E15)=1),1,0)</f>
        <v/>
      </c>
    </row>
    <row r="16">
      <c r="A16" s="46" t="inlineStr">
        <is>
          <t>S1.19</t>
        </is>
      </c>
      <c r="B16" s="15" t="inlineStr">
        <is>
          <t>Composite Content Understanding Pattern</t>
        </is>
      </c>
      <c r="C16" s="11" t="inlineStr">
        <is>
          <t>S1</t>
        </is>
      </c>
      <c r="D16" s="11" t="inlineStr">
        <is>
          <t>PAT</t>
        </is>
      </c>
      <c r="E16" s="47" t="inlineStr">
        <is>
          <t>required-enabler</t>
        </is>
      </c>
      <c r="F16" s="46" t="inlineStr">
        <is>
          <t>3.5</t>
        </is>
      </c>
      <c r="G16" s="46" t="inlineStr">
        <is>
          <t>3.5.2</t>
        </is>
      </c>
      <c r="H16" s="19">
        <f>IF(COUNTIFS($A$2:A16,A16,$F$2:F16,F16)=1,1,0)</f>
        <v/>
      </c>
      <c r="I16" s="19">
        <f>IF(AND(OR(E16="required-enabler",E16="optional-enabler"),COUNTIFS($A$2:A16,A16,$F$2:F16,F16,$E$2:E16,E16)=1),1,0)</f>
        <v/>
      </c>
    </row>
    <row r="17">
      <c r="A17" s="46" t="inlineStr">
        <is>
          <t>S1.19</t>
        </is>
      </c>
      <c r="B17" s="15" t="inlineStr">
        <is>
          <t>Composite Content Understanding Pattern</t>
        </is>
      </c>
      <c r="C17" s="11" t="inlineStr">
        <is>
          <t>S1</t>
        </is>
      </c>
      <c r="D17" s="11" t="inlineStr">
        <is>
          <t>PAT</t>
        </is>
      </c>
      <c r="E17" s="47" t="inlineStr">
        <is>
          <t>required-enabler</t>
        </is>
      </c>
      <c r="F17" s="46" t="inlineStr">
        <is>
          <t>3.5</t>
        </is>
      </c>
      <c r="G17" s="46" t="inlineStr">
        <is>
          <t>3.5.3</t>
        </is>
      </c>
      <c r="H17" s="19">
        <f>IF(COUNTIFS($A$2:A17,A17,$F$2:F17,F17)=1,1,0)</f>
        <v/>
      </c>
      <c r="I17" s="19">
        <f>IF(AND(OR(E17="required-enabler",E17="optional-enabler"),COUNTIFS($A$2:A17,A17,$F$2:F17,F17,$E$2:E17,E17)=1),1,0)</f>
        <v/>
      </c>
    </row>
    <row r="18">
      <c r="A18" s="46" t="inlineStr">
        <is>
          <t>S2.1</t>
        </is>
      </c>
      <c r="B18" s="15" t="inlineStr">
        <is>
          <t>Text Generation &amp; Completion</t>
        </is>
      </c>
      <c r="C18" s="11" t="inlineStr">
        <is>
          <t>S2</t>
        </is>
      </c>
      <c r="D18" s="11" t="inlineStr">
        <is>
          <t>SVC</t>
        </is>
      </c>
      <c r="E18" s="47" t="inlineStr">
        <is>
          <t>required-enabler</t>
        </is>
      </c>
      <c r="F18" s="46" t="inlineStr">
        <is>
          <t>4.3</t>
        </is>
      </c>
      <c r="G18" s="46" t="inlineStr">
        <is>
          <t>4.3.3</t>
        </is>
      </c>
      <c r="H18" s="19">
        <f>IF(COUNTIFS($A$2:A18,A18,$F$2:F18,F18)=1,1,0)</f>
        <v/>
      </c>
      <c r="I18" s="19">
        <f>IF(AND(OR(E18="required-enabler",E18="optional-enabler"),COUNTIFS($A$2:A18,A18,$F$2:F18,F18,$E$2:E18,E18)=1),1,0)</f>
        <v/>
      </c>
    </row>
    <row r="19">
      <c r="A19" s="46" t="inlineStr">
        <is>
          <t>S2.4</t>
        </is>
      </c>
      <c r="B19" s="15" t="inlineStr">
        <is>
          <t>Rewriting, Style &amp; Tone Transfer</t>
        </is>
      </c>
      <c r="C19" s="11" t="inlineStr">
        <is>
          <t>S2</t>
        </is>
      </c>
      <c r="D19" s="11" t="inlineStr">
        <is>
          <t>SVC</t>
        </is>
      </c>
      <c r="E19" s="47" t="inlineStr">
        <is>
          <t>required-enabler</t>
        </is>
      </c>
      <c r="F19" s="46" t="inlineStr">
        <is>
          <t>2.5</t>
        </is>
      </c>
      <c r="G19" s="46" t="inlineStr">
        <is>
          <t>2.5.6</t>
        </is>
      </c>
      <c r="H19" s="19">
        <f>IF(COUNTIFS($A$2:A19,A19,$F$2:F19,F19)=1,1,0)</f>
        <v/>
      </c>
      <c r="I19" s="19">
        <f>IF(AND(OR(E19="required-enabler",E19="optional-enabler"),COUNTIFS($A$2:A19,A19,$F$2:F19,F19,$E$2:E19,E19)=1),1,0)</f>
        <v/>
      </c>
    </row>
    <row r="20">
      <c r="A20" s="46" t="inlineStr">
        <is>
          <t>S2.5</t>
        </is>
      </c>
      <c r="B20" s="15" t="inlineStr">
        <is>
          <t>Structured &amp; Schema-Constrained Output</t>
        </is>
      </c>
      <c r="C20" s="11" t="inlineStr">
        <is>
          <t>S2</t>
        </is>
      </c>
      <c r="D20" s="11" t="inlineStr">
        <is>
          <t>SVC</t>
        </is>
      </c>
      <c r="E20" s="47" t="inlineStr">
        <is>
          <t>required-enabler</t>
        </is>
      </c>
      <c r="F20" s="46" t="inlineStr">
        <is>
          <t>4.5</t>
        </is>
      </c>
      <c r="G20" s="46" t="inlineStr">
        <is>
          <t>4.5.2</t>
        </is>
      </c>
      <c r="H20" s="19">
        <f>IF(COUNTIFS($A$2:A20,A20,$F$2:F20,F20)=1,1,0)</f>
        <v/>
      </c>
      <c r="I20" s="19">
        <f>IF(AND(OR(E20="required-enabler",E20="optional-enabler"),COUNTIFS($A$2:A20,A20,$F$2:F20,F20,$E$2:E20,E20)=1),1,0)</f>
        <v/>
      </c>
    </row>
    <row r="21">
      <c r="A21" s="46" t="inlineStr">
        <is>
          <t>S2.5</t>
        </is>
      </c>
      <c r="B21" s="15" t="inlineStr">
        <is>
          <t>Structured &amp; Schema-Constrained Output</t>
        </is>
      </c>
      <c r="C21" s="11" t="inlineStr">
        <is>
          <t>S2</t>
        </is>
      </c>
      <c r="D21" s="11" t="inlineStr">
        <is>
          <t>SVC</t>
        </is>
      </c>
      <c r="E21" s="47" t="inlineStr">
        <is>
          <t>required-enabler</t>
        </is>
      </c>
      <c r="F21" s="46" t="inlineStr">
        <is>
          <t>4.3</t>
        </is>
      </c>
      <c r="G21" s="46" t="inlineStr">
        <is>
          <t>4.3.1</t>
        </is>
      </c>
      <c r="H21" s="19">
        <f>IF(COUNTIFS($A$2:A21,A21,$F$2:F21,F21)=1,1,0)</f>
        <v/>
      </c>
      <c r="I21" s="19">
        <f>IF(AND(OR(E21="required-enabler",E21="optional-enabler"),COUNTIFS($A$2:A21,A21,$F$2:F21,F21,$E$2:E21,E21)=1),1,0)</f>
        <v/>
      </c>
    </row>
    <row r="22">
      <c r="A22" s="46" t="inlineStr">
        <is>
          <t>S2.7</t>
        </is>
      </c>
      <c r="B22" s="15" t="inlineStr">
        <is>
          <t>Text-to-Speech &amp; Voice Synthesis</t>
        </is>
      </c>
      <c r="C22" s="11" t="inlineStr">
        <is>
          <t>S2</t>
        </is>
      </c>
      <c r="D22" s="11" t="inlineStr">
        <is>
          <t>SVC</t>
        </is>
      </c>
      <c r="E22" s="47" t="inlineStr">
        <is>
          <t>required-enabler</t>
        </is>
      </c>
      <c r="F22" s="46" t="inlineStr">
        <is>
          <t>2.5</t>
        </is>
      </c>
      <c r="G22" s="46" t="inlineStr">
        <is>
          <t>2.5.6</t>
        </is>
      </c>
      <c r="H22" s="19">
        <f>IF(COUNTIFS($A$2:A22,A22,$F$2:F22,F22)=1,1,0)</f>
        <v/>
      </c>
      <c r="I22" s="19">
        <f>IF(AND(OR(E22="required-enabler",E22="optional-enabler"),COUNTIFS($A$2:A22,A22,$F$2:F22,F22,$E$2:E22,E22)=1),1,0)</f>
        <v/>
      </c>
    </row>
    <row r="23">
      <c r="A23" s="46" t="inlineStr">
        <is>
          <t>S2.10</t>
        </is>
      </c>
      <c r="B23" s="15" t="inlineStr">
        <is>
          <t>Synthetic Data Generation</t>
        </is>
      </c>
      <c r="C23" s="11" t="inlineStr">
        <is>
          <t>S2</t>
        </is>
      </c>
      <c r="D23" s="11" t="inlineStr">
        <is>
          <t>SVC</t>
        </is>
      </c>
      <c r="E23" s="47" t="inlineStr">
        <is>
          <t>required-enabler</t>
        </is>
      </c>
      <c r="F23" s="46" t="inlineStr">
        <is>
          <t>3.2</t>
        </is>
      </c>
      <c r="G23" s="46" t="inlineStr">
        <is>
          <t>3.2.5</t>
        </is>
      </c>
      <c r="H23" s="19">
        <f>IF(COUNTIFS($A$2:A23,A23,$F$2:F23,F23)=1,1,0)</f>
        <v/>
      </c>
      <c r="I23" s="19">
        <f>IF(AND(OR(E23="required-enabler",E23="optional-enabler"),COUNTIFS($A$2:A23,A23,$F$2:F23,F23,$E$2:E23,E23)=1),1,0)</f>
        <v/>
      </c>
    </row>
    <row r="24">
      <c r="A24" s="46" t="inlineStr">
        <is>
          <t>S3.1</t>
        </is>
      </c>
      <c r="B24" s="15" t="inlineStr">
        <is>
          <t>Lexical Search</t>
        </is>
      </c>
      <c r="C24" s="11" t="inlineStr">
        <is>
          <t>S3</t>
        </is>
      </c>
      <c r="D24" s="11" t="inlineStr">
        <is>
          <t>SVC</t>
        </is>
      </c>
      <c r="E24" s="47" t="inlineStr">
        <is>
          <t>optional-enabler</t>
        </is>
      </c>
      <c r="F24" s="46" t="inlineStr">
        <is>
          <t>3.6</t>
        </is>
      </c>
      <c r="G24" s="46" t="inlineStr">
        <is>
          <t>3.6.1</t>
        </is>
      </c>
      <c r="H24" s="19">
        <f>IF(COUNTIFS($A$2:A24,A24,$F$2:F24,F24)=1,1,0)</f>
        <v/>
      </c>
      <c r="I24" s="19">
        <f>IF(AND(OR(E24="required-enabler",E24="optional-enabler"),COUNTIFS($A$2:A24,A24,$F$2:F24,F24,$E$2:E24,E24)=1),1,0)</f>
        <v/>
      </c>
    </row>
    <row r="25">
      <c r="A25" s="46" t="inlineStr">
        <is>
          <t>S3.1</t>
        </is>
      </c>
      <c r="B25" s="15" t="inlineStr">
        <is>
          <t>Lexical Search</t>
        </is>
      </c>
      <c r="C25" s="11" t="inlineStr">
        <is>
          <t>S3</t>
        </is>
      </c>
      <c r="D25" s="11" t="inlineStr">
        <is>
          <t>SVC</t>
        </is>
      </c>
      <c r="E25" s="47" t="inlineStr">
        <is>
          <t>optional-enabler</t>
        </is>
      </c>
      <c r="F25" s="46" t="inlineStr">
        <is>
          <t>3.6</t>
        </is>
      </c>
      <c r="G25" s="46" t="inlineStr">
        <is>
          <t>3.6.4</t>
        </is>
      </c>
      <c r="H25" s="19">
        <f>IF(COUNTIFS($A$2:A25,A25,$F$2:F25,F25)=1,1,0)</f>
        <v/>
      </c>
      <c r="I25" s="19">
        <f>IF(AND(OR(E25="required-enabler",E25="optional-enabler"),COUNTIFS($A$2:A25,A25,$F$2:F25,F25,$E$2:E25,E25)=1),1,0)</f>
        <v/>
      </c>
    </row>
    <row r="26">
      <c r="A26" s="46" t="inlineStr">
        <is>
          <t>S3.2</t>
        </is>
      </c>
      <c r="B26" s="15" t="inlineStr">
        <is>
          <t>Vector Similarity Search</t>
        </is>
      </c>
      <c r="C26" s="11" t="inlineStr">
        <is>
          <t>S3</t>
        </is>
      </c>
      <c r="D26" s="11" t="inlineStr">
        <is>
          <t>SVC</t>
        </is>
      </c>
      <c r="E26" s="47" t="inlineStr">
        <is>
          <t>optional-enabler</t>
        </is>
      </c>
      <c r="F26" s="46" t="inlineStr">
        <is>
          <t>3.6</t>
        </is>
      </c>
      <c r="G26" s="46" t="inlineStr">
        <is>
          <t>3.6.1</t>
        </is>
      </c>
      <c r="H26" s="19">
        <f>IF(COUNTIFS($A$2:A26,A26,$F$2:F26,F26)=1,1,0)</f>
        <v/>
      </c>
      <c r="I26" s="19">
        <f>IF(AND(OR(E26="required-enabler",E26="optional-enabler"),COUNTIFS($A$2:A26,A26,$F$2:F26,F26,$E$2:E26,E26)=1),1,0)</f>
        <v/>
      </c>
    </row>
    <row r="27">
      <c r="A27" s="46" t="inlineStr">
        <is>
          <t>S3.3</t>
        </is>
      </c>
      <c r="B27" s="15" t="inlineStr">
        <is>
          <t>Rank Fusion Service</t>
        </is>
      </c>
      <c r="C27" s="11" t="inlineStr">
        <is>
          <t>S3</t>
        </is>
      </c>
      <c r="D27" s="11" t="inlineStr">
        <is>
          <t>SVC</t>
        </is>
      </c>
      <c r="E27" s="47" t="inlineStr">
        <is>
          <t>optional-enabler</t>
        </is>
      </c>
      <c r="F27" s="46" t="inlineStr">
        <is>
          <t>3.6</t>
        </is>
      </c>
      <c r="G27" s="46" t="inlineStr">
        <is>
          <t>3.6.4</t>
        </is>
      </c>
      <c r="H27" s="19">
        <f>IF(COUNTIFS($A$2:A27,A27,$F$2:F27,F27)=1,1,0)</f>
        <v/>
      </c>
      <c r="I27" s="19">
        <f>IF(AND(OR(E27="required-enabler",E27="optional-enabler"),COUNTIFS($A$2:A27,A27,$F$2:F27,F27,$E$2:E27,E27)=1),1,0)</f>
        <v/>
      </c>
    </row>
    <row r="28">
      <c r="A28" s="46" t="inlineStr">
        <is>
          <t>S3.4</t>
        </is>
      </c>
      <c r="B28" s="15" t="inlineStr">
        <is>
          <t>Semantic Reranking</t>
        </is>
      </c>
      <c r="C28" s="11" t="inlineStr">
        <is>
          <t>S3</t>
        </is>
      </c>
      <c r="D28" s="11" t="inlineStr">
        <is>
          <t>SVC</t>
        </is>
      </c>
      <c r="E28" s="47" t="inlineStr">
        <is>
          <t>optional-enabler</t>
        </is>
      </c>
      <c r="F28" s="46" t="inlineStr">
        <is>
          <t>3.6</t>
        </is>
      </c>
      <c r="G28" s="46" t="inlineStr">
        <is>
          <t>3.6.1</t>
        </is>
      </c>
      <c r="H28" s="19">
        <f>IF(COUNTIFS($A$2:A28,A28,$F$2:F28,F28)=1,1,0)</f>
        <v/>
      </c>
      <c r="I28" s="19">
        <f>IF(AND(OR(E28="required-enabler",E28="optional-enabler"),COUNTIFS($A$2:A28,A28,$F$2:F28,F28,$E$2:E28,E28)=1),1,0)</f>
        <v/>
      </c>
    </row>
    <row r="29">
      <c r="A29" s="46" t="inlineStr">
        <is>
          <t>S3.4</t>
        </is>
      </c>
      <c r="B29" s="15" t="inlineStr">
        <is>
          <t>Semantic Reranking</t>
        </is>
      </c>
      <c r="C29" s="11" t="inlineStr">
        <is>
          <t>S3</t>
        </is>
      </c>
      <c r="D29" s="11" t="inlineStr">
        <is>
          <t>SVC</t>
        </is>
      </c>
      <c r="E29" s="47" t="inlineStr">
        <is>
          <t>required-enabler</t>
        </is>
      </c>
      <c r="F29" s="46" t="inlineStr">
        <is>
          <t>3.6</t>
        </is>
      </c>
      <c r="G29" s="46" t="inlineStr">
        <is>
          <t>3.6.3</t>
        </is>
      </c>
      <c r="H29" s="19">
        <f>IF(COUNTIFS($A$2:A29,A29,$F$2:F29,F29)=1,1,0)</f>
        <v/>
      </c>
      <c r="I29" s="19">
        <f>IF(AND(OR(E29="required-enabler",E29="optional-enabler"),COUNTIFS($A$2:A29,A29,$F$2:F29,F29,$E$2:E29,E29)=1),1,0)</f>
        <v/>
      </c>
    </row>
    <row r="30">
      <c r="A30" s="46" t="inlineStr">
        <is>
          <t>S3.5</t>
        </is>
      </c>
      <c r="B30" s="15" t="inlineStr">
        <is>
          <t>Query Understanding, Rewriting &amp; Decomposition</t>
        </is>
      </c>
      <c r="C30" s="11" t="inlineStr">
        <is>
          <t>S3</t>
        </is>
      </c>
      <c r="D30" s="11" t="inlineStr">
        <is>
          <t>SVC</t>
        </is>
      </c>
      <c r="E30" s="47" t="inlineStr">
        <is>
          <t>optional-enabler</t>
        </is>
      </c>
      <c r="F30" s="46" t="inlineStr">
        <is>
          <t>3.6</t>
        </is>
      </c>
      <c r="G30" s="46" t="inlineStr">
        <is>
          <t>3.6.1</t>
        </is>
      </c>
      <c r="H30" s="19">
        <f>IF(COUNTIFS($A$2:A30,A30,$F$2:F30,F30)=1,1,0)</f>
        <v/>
      </c>
      <c r="I30" s="19">
        <f>IF(AND(OR(E30="required-enabler",E30="optional-enabler"),COUNTIFS($A$2:A30,A30,$F$2:F30,F30,$E$2:E30,E30)=1),1,0)</f>
        <v/>
      </c>
    </row>
    <row r="31">
      <c r="A31" s="46" t="inlineStr">
        <is>
          <t>S3.5</t>
        </is>
      </c>
      <c r="B31" s="15" t="inlineStr">
        <is>
          <t>Query Understanding, Rewriting &amp; Decomposition</t>
        </is>
      </c>
      <c r="C31" s="11" t="inlineStr">
        <is>
          <t>S3</t>
        </is>
      </c>
      <c r="D31" s="11" t="inlineStr">
        <is>
          <t>SVC</t>
        </is>
      </c>
      <c r="E31" s="47" t="inlineStr">
        <is>
          <t>optional-enabler</t>
        </is>
      </c>
      <c r="F31" s="46" t="inlineStr">
        <is>
          <t>3.6</t>
        </is>
      </c>
      <c r="G31" s="46" t="inlineStr">
        <is>
          <t>3.6.4</t>
        </is>
      </c>
      <c r="H31" s="19">
        <f>IF(COUNTIFS($A$2:A31,A31,$F$2:F31,F31)=1,1,0)</f>
        <v/>
      </c>
      <c r="I31" s="19">
        <f>IF(AND(OR(E31="required-enabler",E31="optional-enabler"),COUNTIFS($A$2:A31,A31,$F$2:F31,F31,$E$2:E31,E31)=1),1,0)</f>
        <v/>
      </c>
    </row>
    <row r="32">
      <c r="A32" s="46" t="inlineStr">
        <is>
          <t>S3.6</t>
        </is>
      </c>
      <c r="B32" s="15" t="inlineStr">
        <is>
          <t>Content Chunking &amp; Segmentation</t>
        </is>
      </c>
      <c r="C32" s="11" t="inlineStr">
        <is>
          <t>S3</t>
        </is>
      </c>
      <c r="D32" s="11" t="inlineStr">
        <is>
          <t>ABB</t>
        </is>
      </c>
      <c r="E32" s="47" t="inlineStr">
        <is>
          <t>required-enabler</t>
        </is>
      </c>
      <c r="F32" s="46" t="inlineStr">
        <is>
          <t>3.5</t>
        </is>
      </c>
      <c r="G32" s="46" t="inlineStr">
        <is>
          <t>3.5.3</t>
        </is>
      </c>
      <c r="H32" s="19">
        <f>IF(COUNTIFS($A$2:A32,A32,$F$2:F32,F32)=1,1,0)</f>
        <v/>
      </c>
      <c r="I32" s="19">
        <f>IF(AND(OR(E32="required-enabler",E32="optional-enabler"),COUNTIFS($A$2:A32,A32,$F$2:F32,F32,$E$2:E32,E32)=1),1,0)</f>
        <v/>
      </c>
    </row>
    <row r="33">
      <c r="A33" s="46" t="inlineStr">
        <is>
          <t>S3.7</t>
        </is>
      </c>
      <c r="B33" s="15" t="inlineStr">
        <is>
          <t>Embedding Generation</t>
        </is>
      </c>
      <c r="C33" s="11" t="inlineStr">
        <is>
          <t>S3</t>
        </is>
      </c>
      <c r="D33" s="11" t="inlineStr">
        <is>
          <t>ABB</t>
        </is>
      </c>
      <c r="E33" s="47" t="inlineStr">
        <is>
          <t>required-enabler</t>
        </is>
      </c>
      <c r="F33" s="46" t="inlineStr">
        <is>
          <t>3.7</t>
        </is>
      </c>
      <c r="G33" s="46" t="inlineStr">
        <is>
          <t>3.7.2</t>
        </is>
      </c>
      <c r="H33" s="19">
        <f>IF(COUNTIFS($A$2:A33,A33,$F$2:F33,F33)=1,1,0)</f>
        <v/>
      </c>
      <c r="I33" s="19">
        <f>IF(AND(OR(E33="required-enabler",E33="optional-enabler"),COUNTIFS($A$2:A33,A33,$F$2:F33,F33,$E$2:E33,E33)=1),1,0)</f>
        <v/>
      </c>
    </row>
    <row r="34">
      <c r="A34" s="46" t="inlineStr">
        <is>
          <t>S3.8</t>
        </is>
      </c>
      <c r="B34" s="15" t="inlineStr">
        <is>
          <t>Vector Index Management</t>
        </is>
      </c>
      <c r="C34" s="11" t="inlineStr">
        <is>
          <t>S3</t>
        </is>
      </c>
      <c r="D34" s="11" t="inlineStr">
        <is>
          <t>ABB</t>
        </is>
      </c>
      <c r="E34" s="47" t="inlineStr">
        <is>
          <t>required-enabler</t>
        </is>
      </c>
      <c r="F34" s="46" t="inlineStr">
        <is>
          <t>3.7</t>
        </is>
      </c>
      <c r="G34" s="46" t="inlineStr">
        <is>
          <t>3.7.3</t>
        </is>
      </c>
      <c r="H34" s="19">
        <f>IF(COUNTIFS($A$2:A34,A34,$F$2:F34,F34)=1,1,0)</f>
        <v/>
      </c>
      <c r="I34" s="19">
        <f>IF(AND(OR(E34="required-enabler",E34="optional-enabler"),COUNTIFS($A$2:A34,A34,$F$2:F34,F34,$E$2:E34,E34)=1),1,0)</f>
        <v/>
      </c>
    </row>
    <row r="35">
      <c r="A35" s="46" t="inlineStr">
        <is>
          <t>S3.8</t>
        </is>
      </c>
      <c r="B35" s="15" t="inlineStr">
        <is>
          <t>Vector Index Management</t>
        </is>
      </c>
      <c r="C35" s="11" t="inlineStr">
        <is>
          <t>S3</t>
        </is>
      </c>
      <c r="D35" s="11" t="inlineStr">
        <is>
          <t>ABB</t>
        </is>
      </c>
      <c r="E35" s="47" t="inlineStr">
        <is>
          <t>required-enabler</t>
        </is>
      </c>
      <c r="F35" s="46" t="inlineStr">
        <is>
          <t>3.7</t>
        </is>
      </c>
      <c r="G35" s="46" t="inlineStr">
        <is>
          <t>3.7.4</t>
        </is>
      </c>
      <c r="H35" s="19">
        <f>IF(COUNTIFS($A$2:A35,A35,$F$2:F35,F35)=1,1,0)</f>
        <v/>
      </c>
      <c r="I35" s="19">
        <f>IF(AND(OR(E35="required-enabler",E35="optional-enabler"),COUNTIFS($A$2:A35,A35,$F$2:F35,F35,$E$2:E35,E35)=1),1,0)</f>
        <v/>
      </c>
    </row>
    <row r="36">
      <c r="A36" s="46" t="inlineStr">
        <is>
          <t>S3.9</t>
        </is>
      </c>
      <c r="B36" s="15" t="inlineStr">
        <is>
          <t>Knowledge Graph Construction &amp; Traversal</t>
        </is>
      </c>
      <c r="C36" s="11" t="inlineStr">
        <is>
          <t>S3</t>
        </is>
      </c>
      <c r="D36" s="11" t="inlineStr">
        <is>
          <t>ABB</t>
        </is>
      </c>
      <c r="E36" s="47" t="inlineStr">
        <is>
          <t>required-enabler</t>
        </is>
      </c>
      <c r="F36" s="46" t="inlineStr">
        <is>
          <t>3.4</t>
        </is>
      </c>
      <c r="G36" s="46" t="inlineStr">
        <is>
          <t>3.4.2</t>
        </is>
      </c>
      <c r="H36" s="19">
        <f>IF(COUNTIFS($A$2:A36,A36,$F$2:F36,F36)=1,1,0)</f>
        <v/>
      </c>
      <c r="I36" s="19">
        <f>IF(AND(OR(E36="required-enabler",E36="optional-enabler"),COUNTIFS($A$2:A36,A36,$F$2:F36,F36,$E$2:E36,E36)=1),1,0)</f>
        <v/>
      </c>
    </row>
    <row r="37">
      <c r="A37" s="46" t="inlineStr">
        <is>
          <t>S3.9</t>
        </is>
      </c>
      <c r="B37" s="15" t="inlineStr">
        <is>
          <t>Knowledge Graph Construction &amp; Traversal</t>
        </is>
      </c>
      <c r="C37" s="11" t="inlineStr">
        <is>
          <t>S3</t>
        </is>
      </c>
      <c r="D37" s="11" t="inlineStr">
        <is>
          <t>ABB</t>
        </is>
      </c>
      <c r="E37" s="47" t="inlineStr">
        <is>
          <t>optional-enabler</t>
        </is>
      </c>
      <c r="F37" s="46" t="inlineStr">
        <is>
          <t>3.6</t>
        </is>
      </c>
      <c r="G37" s="46" t="inlineStr">
        <is>
          <t>3.6.1</t>
        </is>
      </c>
      <c r="H37" s="19">
        <f>IF(COUNTIFS($A$2:A37,A37,$F$2:F37,F37)=1,1,0)</f>
        <v/>
      </c>
      <c r="I37" s="19">
        <f>IF(AND(OR(E37="required-enabler",E37="optional-enabler"),COUNTIFS($A$2:A37,A37,$F$2:F37,F37,$E$2:E37,E37)=1),1,0)</f>
        <v/>
      </c>
    </row>
    <row r="38">
      <c r="A38" s="46" t="inlineStr">
        <is>
          <t>S3.10</t>
        </is>
      </c>
      <c r="B38" s="15" t="inlineStr">
        <is>
          <t>Access-Trimmed Retrieval</t>
        </is>
      </c>
      <c r="C38" s="11" t="inlineStr">
        <is>
          <t>S3</t>
        </is>
      </c>
      <c r="D38" s="11" t="inlineStr">
        <is>
          <t>ABB</t>
        </is>
      </c>
      <c r="E38" s="47" t="inlineStr">
        <is>
          <t>required-enabler</t>
        </is>
      </c>
      <c r="F38" s="46" t="inlineStr">
        <is>
          <t>3.6</t>
        </is>
      </c>
      <c r="G38" s="46" t="inlineStr">
        <is>
          <t>3.6.2</t>
        </is>
      </c>
      <c r="H38" s="19">
        <f>IF(COUNTIFS($A$2:A38,A38,$F$2:F38,F38)=1,1,0)</f>
        <v/>
      </c>
      <c r="I38" s="19">
        <f>IF(AND(OR(E38="required-enabler",E38="optional-enabler"),COUNTIFS($A$2:A38,A38,$F$2:F38,F38,$E$2:E38,E38)=1),1,0)</f>
        <v/>
      </c>
    </row>
    <row r="39">
      <c r="A39" s="46" t="inlineStr">
        <is>
          <t>S3.11</t>
        </is>
      </c>
      <c r="B39" s="15" t="inlineStr">
        <is>
          <t>Federated &amp; Multi-Source Retrieval</t>
        </is>
      </c>
      <c r="C39" s="11" t="inlineStr">
        <is>
          <t>S3</t>
        </is>
      </c>
      <c r="D39" s="11" t="inlineStr">
        <is>
          <t>ABB</t>
        </is>
      </c>
      <c r="E39" s="47" t="inlineStr">
        <is>
          <t>optional-enabler</t>
        </is>
      </c>
      <c r="F39" s="46" t="inlineStr">
        <is>
          <t>3.6</t>
        </is>
      </c>
      <c r="G39" s="46" t="inlineStr">
        <is>
          <t>3.6.4</t>
        </is>
      </c>
      <c r="H39" s="19">
        <f>IF(COUNTIFS($A$2:A39,A39,$F$2:F39,F39)=1,1,0)</f>
        <v/>
      </c>
      <c r="I39" s="19">
        <f>IF(AND(OR(E39="required-enabler",E39="optional-enabler"),COUNTIFS($A$2:A39,A39,$F$2:F39,F39,$E$2:E39,E39)=1),1,0)</f>
        <v/>
      </c>
    </row>
    <row r="40">
      <c r="A40" s="46" t="inlineStr">
        <is>
          <t>S3.12</t>
        </is>
      </c>
      <c r="B40" s="15" t="inlineStr">
        <is>
          <t>Grounding, Citation &amp; Attribution</t>
        </is>
      </c>
      <c r="C40" s="11" t="inlineStr">
        <is>
          <t>S3</t>
        </is>
      </c>
      <c r="D40" s="11" t="inlineStr">
        <is>
          <t>SVC</t>
        </is>
      </c>
      <c r="E40" s="47" t="inlineStr">
        <is>
          <t>required-enabler</t>
        </is>
      </c>
      <c r="F40" s="46" t="inlineStr">
        <is>
          <t>3.6</t>
        </is>
      </c>
      <c r="G40" s="46" t="inlineStr">
        <is>
          <t>3.6.5</t>
        </is>
      </c>
      <c r="H40" s="19">
        <f>IF(COUNTIFS($A$2:A40,A40,$F$2:F40,F40)=1,1,0)</f>
        <v/>
      </c>
      <c r="I40" s="19">
        <f>IF(AND(OR(E40="required-enabler",E40="optional-enabler"),COUNTIFS($A$2:A40,A40,$F$2:F40,F40,$E$2:E40,E40)=1),1,0)</f>
        <v/>
      </c>
    </row>
    <row r="41">
      <c r="A41" s="46" t="inlineStr">
        <is>
          <t>S3.12</t>
        </is>
      </c>
      <c r="B41" s="15" t="inlineStr">
        <is>
          <t>Grounding, Citation &amp; Attribution</t>
        </is>
      </c>
      <c r="C41" s="11" t="inlineStr">
        <is>
          <t>S3</t>
        </is>
      </c>
      <c r="D41" s="11" t="inlineStr">
        <is>
          <t>SVC</t>
        </is>
      </c>
      <c r="E41" s="47" t="inlineStr">
        <is>
          <t>required-enabler</t>
        </is>
      </c>
      <c r="F41" s="46" t="inlineStr">
        <is>
          <t>7.2</t>
        </is>
      </c>
      <c r="G41" s="46" t="inlineStr">
        <is>
          <t>7.2.2</t>
        </is>
      </c>
      <c r="H41" s="19">
        <f>IF(COUNTIFS($A$2:A41,A41,$F$2:F41,F41)=1,1,0)</f>
        <v/>
      </c>
      <c r="I41" s="19">
        <f>IF(AND(OR(E41="required-enabler",E41="optional-enabler"),COUNTIFS($A$2:A41,A41,$F$2:F41,F41,$E$2:E41,E41)=1),1,0)</f>
        <v/>
      </c>
    </row>
    <row r="42">
      <c r="A42" s="46" t="inlineStr">
        <is>
          <t>S3.13</t>
        </is>
      </c>
      <c r="B42" s="15" t="inlineStr">
        <is>
          <t>Agentic Retrieval Pattern</t>
        </is>
      </c>
      <c r="C42" s="11" t="inlineStr">
        <is>
          <t>S3</t>
        </is>
      </c>
      <c r="D42" s="11" t="inlineStr">
        <is>
          <t>PAT</t>
        </is>
      </c>
      <c r="E42" s="47" t="inlineStr">
        <is>
          <t>optional-enabler</t>
        </is>
      </c>
      <c r="F42" s="46" t="inlineStr">
        <is>
          <t>3.6</t>
        </is>
      </c>
      <c r="G42" s="46" t="inlineStr">
        <is>
          <t>3.6.1</t>
        </is>
      </c>
      <c r="H42" s="19">
        <f>IF(COUNTIFS($A$2:A42,A42,$F$2:F42,F42)=1,1,0)</f>
        <v/>
      </c>
      <c r="I42" s="19">
        <f>IF(AND(OR(E42="required-enabler",E42="optional-enabler"),COUNTIFS($A$2:A42,A42,$F$2:F42,F42,$E$2:E42,E42)=1),1,0)</f>
        <v/>
      </c>
    </row>
    <row r="43">
      <c r="A43" s="46" t="inlineStr">
        <is>
          <t>S3.13</t>
        </is>
      </c>
      <c r="B43" s="15" t="inlineStr">
        <is>
          <t>Agentic Retrieval Pattern</t>
        </is>
      </c>
      <c r="C43" s="11" t="inlineStr">
        <is>
          <t>S3</t>
        </is>
      </c>
      <c r="D43" s="11" t="inlineStr">
        <is>
          <t>PAT</t>
        </is>
      </c>
      <c r="E43" s="47" t="inlineStr">
        <is>
          <t>required-enabler</t>
        </is>
      </c>
      <c r="F43" s="46" t="inlineStr">
        <is>
          <t>4.4</t>
        </is>
      </c>
      <c r="G43" s="46" t="inlineStr">
        <is>
          <t>4.4.2</t>
        </is>
      </c>
      <c r="H43" s="19">
        <f>IF(COUNTIFS($A$2:A43,A43,$F$2:F43,F43)=1,1,0)</f>
        <v/>
      </c>
      <c r="I43" s="19">
        <f>IF(AND(OR(E43="required-enabler",E43="optional-enabler"),COUNTIFS($A$2:A43,A43,$F$2:F43,F43,$E$2:E43,E43)=1),1,0)</f>
        <v/>
      </c>
    </row>
    <row r="44">
      <c r="A44" s="46" t="inlineStr">
        <is>
          <t>S3.14</t>
        </is>
      </c>
      <c r="B44" s="15" t="inlineStr">
        <is>
          <t>Recommendation &amp; Similarity Matching</t>
        </is>
      </c>
      <c r="C44" s="11" t="inlineStr">
        <is>
          <t>S3</t>
        </is>
      </c>
      <c r="D44" s="11" t="inlineStr">
        <is>
          <t>SVC</t>
        </is>
      </c>
      <c r="E44" s="47" t="inlineStr">
        <is>
          <t>optional-enabler</t>
        </is>
      </c>
      <c r="F44" s="46" t="inlineStr">
        <is>
          <t>3.6</t>
        </is>
      </c>
      <c r="G44" s="46" t="inlineStr">
        <is>
          <t>3.6.4</t>
        </is>
      </c>
      <c r="H44" s="19">
        <f>IF(COUNTIFS($A$2:A44,A44,$F$2:F44,F44)=1,1,0)</f>
        <v/>
      </c>
      <c r="I44" s="19">
        <f>IF(AND(OR(E44="required-enabler",E44="optional-enabler"),COUNTIFS($A$2:A44,A44,$F$2:F44,F44,$E$2:E44,E44)=1),1,0)</f>
        <v/>
      </c>
    </row>
    <row r="45">
      <c r="A45" s="46" t="inlineStr">
        <is>
          <t>S3.15</t>
        </is>
      </c>
      <c r="B45" s="15" t="inlineStr">
        <is>
          <t>Governed Corpus Serving</t>
        </is>
      </c>
      <c r="C45" s="11" t="inlineStr">
        <is>
          <t>S3</t>
        </is>
      </c>
      <c r="D45" s="11" t="inlineStr">
        <is>
          <t>SVC</t>
        </is>
      </c>
      <c r="E45" s="47" t="inlineStr">
        <is>
          <t>required-enabler</t>
        </is>
      </c>
      <c r="F45" s="46" t="inlineStr">
        <is>
          <t>3.5</t>
        </is>
      </c>
      <c r="G45" s="46" t="inlineStr">
        <is>
          <t>3.5.1</t>
        </is>
      </c>
      <c r="H45" s="19">
        <f>IF(COUNTIFS($A$2:A45,A45,$F$2:F45,F45)=1,1,0)</f>
        <v/>
      </c>
      <c r="I45" s="19">
        <f>IF(AND(OR(E45="required-enabler",E45="optional-enabler"),COUNTIFS($A$2:A45,A45,$F$2:F45,F45,$E$2:E45,E45)=1),1,0)</f>
        <v/>
      </c>
    </row>
    <row r="46">
      <c r="A46" s="46" t="inlineStr">
        <is>
          <t>S3.15</t>
        </is>
      </c>
      <c r="B46" s="15" t="inlineStr">
        <is>
          <t>Governed Corpus Serving</t>
        </is>
      </c>
      <c r="C46" s="11" t="inlineStr">
        <is>
          <t>S3</t>
        </is>
      </c>
      <c r="D46" s="11" t="inlineStr">
        <is>
          <t>SVC</t>
        </is>
      </c>
      <c r="E46" s="47" t="inlineStr">
        <is>
          <t>required-enabler</t>
        </is>
      </c>
      <c r="F46" s="46" t="inlineStr">
        <is>
          <t>3.5</t>
        </is>
      </c>
      <c r="G46" s="46" t="inlineStr">
        <is>
          <t>3.5.4</t>
        </is>
      </c>
      <c r="H46" s="19">
        <f>IF(COUNTIFS($A$2:A46,A46,$F$2:F46,F46)=1,1,0)</f>
        <v/>
      </c>
      <c r="I46" s="19">
        <f>IF(AND(OR(E46="required-enabler",E46="optional-enabler"),COUNTIFS($A$2:A46,A46,$F$2:F46,F46,$E$2:E46,E46)=1),1,0)</f>
        <v/>
      </c>
    </row>
    <row r="47">
      <c r="A47" s="46" t="inlineStr">
        <is>
          <t>S3.15</t>
        </is>
      </c>
      <c r="B47" s="15" t="inlineStr">
        <is>
          <t>Governed Corpus Serving</t>
        </is>
      </c>
      <c r="C47" s="11" t="inlineStr">
        <is>
          <t>S3</t>
        </is>
      </c>
      <c r="D47" s="11" t="inlineStr">
        <is>
          <t>SVC</t>
        </is>
      </c>
      <c r="E47" s="47" t="inlineStr">
        <is>
          <t>required-enabler</t>
        </is>
      </c>
      <c r="F47" s="46" t="inlineStr">
        <is>
          <t>3.5</t>
        </is>
      </c>
      <c r="G47" s="46" t="inlineStr">
        <is>
          <t>3.5.5</t>
        </is>
      </c>
      <c r="H47" s="19">
        <f>IF(COUNTIFS($A$2:A47,A47,$F$2:F47,F47)=1,1,0)</f>
        <v/>
      </c>
      <c r="I47" s="19">
        <f>IF(AND(OR(E47="required-enabler",E47="optional-enabler"),COUNTIFS($A$2:A47,A47,$F$2:F47,F47,$E$2:E47,E47)=1),1,0)</f>
        <v/>
      </c>
    </row>
    <row r="48">
      <c r="A48" s="46" t="inlineStr">
        <is>
          <t>S3.16</t>
        </is>
      </c>
      <c r="B48" s="15" t="inlineStr">
        <is>
          <t>Hybrid Retrieval Pattern</t>
        </is>
      </c>
      <c r="C48" s="11" t="inlineStr">
        <is>
          <t>S3</t>
        </is>
      </c>
      <c r="D48" s="11" t="inlineStr">
        <is>
          <t>PAT</t>
        </is>
      </c>
      <c r="E48" s="47" t="inlineStr">
        <is>
          <t>optional-enabler</t>
        </is>
      </c>
      <c r="F48" s="46" t="inlineStr">
        <is>
          <t>3.6</t>
        </is>
      </c>
      <c r="G48" s="46" t="inlineStr">
        <is>
          <t>3.6.1</t>
        </is>
      </c>
      <c r="H48" s="19">
        <f>IF(COUNTIFS($A$2:A48,A48,$F$2:F48,F48)=1,1,0)</f>
        <v/>
      </c>
      <c r="I48" s="19">
        <f>IF(AND(OR(E48="required-enabler",E48="optional-enabler"),COUNTIFS($A$2:A48,A48,$F$2:F48,F48,$E$2:E48,E48)=1),1,0)</f>
        <v/>
      </c>
    </row>
    <row r="49">
      <c r="A49" s="46" t="inlineStr">
        <is>
          <t>S3.16</t>
        </is>
      </c>
      <c r="B49" s="15" t="inlineStr">
        <is>
          <t>Hybrid Retrieval Pattern</t>
        </is>
      </c>
      <c r="C49" s="11" t="inlineStr">
        <is>
          <t>S3</t>
        </is>
      </c>
      <c r="D49" s="11" t="inlineStr">
        <is>
          <t>PAT</t>
        </is>
      </c>
      <c r="E49" s="47" t="inlineStr">
        <is>
          <t>optional-enabler</t>
        </is>
      </c>
      <c r="F49" s="46" t="inlineStr">
        <is>
          <t>3.6</t>
        </is>
      </c>
      <c r="G49" s="46" t="inlineStr">
        <is>
          <t>3.6.4</t>
        </is>
      </c>
      <c r="H49" s="19">
        <f>IF(COUNTIFS($A$2:A49,A49,$F$2:F49,F49)=1,1,0)</f>
        <v/>
      </c>
      <c r="I49" s="19">
        <f>IF(AND(OR(E49="required-enabler",E49="optional-enabler"),COUNTIFS($A$2:A49,A49,$F$2:F49,F49,$E$2:E49,E49)=1),1,0)</f>
        <v/>
      </c>
    </row>
    <row r="50">
      <c r="A50" s="46" t="inlineStr">
        <is>
          <t>S4.4</t>
        </is>
      </c>
      <c r="B50" s="15" t="inlineStr">
        <is>
          <t>Anomaly &amp; Outlier Detection</t>
        </is>
      </c>
      <c r="C50" s="11" t="inlineStr">
        <is>
          <t>S4</t>
        </is>
      </c>
      <c r="D50" s="11" t="inlineStr">
        <is>
          <t>SVC</t>
        </is>
      </c>
      <c r="E50" s="47" t="inlineStr">
        <is>
          <t>required-enabler</t>
        </is>
      </c>
      <c r="F50" s="46" t="inlineStr">
        <is>
          <t>6.2</t>
        </is>
      </c>
      <c r="G50" s="46" t="inlineStr">
        <is>
          <t>6.2.4</t>
        </is>
      </c>
      <c r="H50" s="19">
        <f>IF(COUNTIFS($A$2:A50,A50,$F$2:F50,F50)=1,1,0)</f>
        <v/>
      </c>
      <c r="I50" s="19">
        <f>IF(AND(OR(E50="required-enabler",E50="optional-enabler"),COUNTIFS($A$2:A50,A50,$F$2:F50,F50,$E$2:E50,E50)=1),1,0)</f>
        <v/>
      </c>
    </row>
    <row r="51">
      <c r="A51" s="46" t="inlineStr">
        <is>
          <t>S4.4</t>
        </is>
      </c>
      <c r="B51" s="15" t="inlineStr">
        <is>
          <t>Anomaly &amp; Outlier Detection</t>
        </is>
      </c>
      <c r="C51" s="11" t="inlineStr">
        <is>
          <t>S4</t>
        </is>
      </c>
      <c r="D51" s="11" t="inlineStr">
        <is>
          <t>SVC</t>
        </is>
      </c>
      <c r="E51" s="47" t="inlineStr">
        <is>
          <t>required-enabler</t>
        </is>
      </c>
      <c r="F51" s="46" t="inlineStr">
        <is>
          <t>6.3</t>
        </is>
      </c>
      <c r="G51" s="46" t="inlineStr">
        <is>
          <t>6.3.2</t>
        </is>
      </c>
      <c r="H51" s="19">
        <f>IF(COUNTIFS($A$2:A51,A51,$F$2:F51,F51)=1,1,0)</f>
        <v/>
      </c>
      <c r="I51" s="19">
        <f>IF(AND(OR(E51="required-enabler",E51="optional-enabler"),COUNTIFS($A$2:A51,A51,$F$2:F51,F51,$E$2:E51,E51)=1),1,0)</f>
        <v/>
      </c>
    </row>
    <row r="52">
      <c r="A52" s="46" t="inlineStr">
        <is>
          <t>S4.7</t>
        </is>
      </c>
      <c r="B52" s="15" t="inlineStr">
        <is>
          <t>Rules &amp; Policy Decisioning</t>
        </is>
      </c>
      <c r="C52" s="11" t="inlineStr">
        <is>
          <t>S4</t>
        </is>
      </c>
      <c r="D52" s="11" t="inlineStr">
        <is>
          <t>SVC</t>
        </is>
      </c>
      <c r="E52" s="47" t="inlineStr">
        <is>
          <t>required-enabler</t>
        </is>
      </c>
      <c r="F52" s="46" t="inlineStr">
        <is>
          <t>2.4</t>
        </is>
      </c>
      <c r="G52" s="46" t="inlineStr">
        <is>
          <t>2.4.4</t>
        </is>
      </c>
      <c r="H52" s="19">
        <f>IF(COUNTIFS($A$2:A52,A52,$F$2:F52,F52)=1,1,0)</f>
        <v/>
      </c>
      <c r="I52" s="19">
        <f>IF(AND(OR(E52="required-enabler",E52="optional-enabler"),COUNTIFS($A$2:A52,A52,$F$2:F52,F52,$E$2:E52,E52)=1),1,0)</f>
        <v/>
      </c>
    </row>
    <row r="53">
      <c r="A53" s="46" t="inlineStr">
        <is>
          <t>S4.7</t>
        </is>
      </c>
      <c r="B53" s="15" t="inlineStr">
        <is>
          <t>Rules &amp; Policy Decisioning</t>
        </is>
      </c>
      <c r="C53" s="11" t="inlineStr">
        <is>
          <t>S4</t>
        </is>
      </c>
      <c r="D53" s="11" t="inlineStr">
        <is>
          <t>SVC</t>
        </is>
      </c>
      <c r="E53" s="47" t="inlineStr">
        <is>
          <t>required-enabler</t>
        </is>
      </c>
      <c r="F53" s="46" t="inlineStr">
        <is>
          <t>7.1</t>
        </is>
      </c>
      <c r="G53" s="46" t="inlineStr">
        <is>
          <t>7.1.6</t>
        </is>
      </c>
      <c r="H53" s="19">
        <f>IF(COUNTIFS($A$2:A53,A53,$F$2:F53,F53)=1,1,0)</f>
        <v/>
      </c>
      <c r="I53" s="19">
        <f>IF(AND(OR(E53="required-enabler",E53="optional-enabler"),COUNTIFS($A$2:A53,A53,$F$2:F53,F53,$E$2:E53,E53)=1),1,0)</f>
        <v/>
      </c>
    </row>
    <row r="54">
      <c r="A54" s="46" t="inlineStr">
        <is>
          <t>S4.8</t>
        </is>
      </c>
      <c r="B54" s="15" t="inlineStr">
        <is>
          <t>Planning &amp; Task Decomposition</t>
        </is>
      </c>
      <c r="C54" s="11" t="inlineStr">
        <is>
          <t>S4</t>
        </is>
      </c>
      <c r="D54" s="11" t="inlineStr">
        <is>
          <t>SVC</t>
        </is>
      </c>
      <c r="E54" s="47" t="inlineStr">
        <is>
          <t>required-enabler</t>
        </is>
      </c>
      <c r="F54" s="46" t="inlineStr">
        <is>
          <t>4.4</t>
        </is>
      </c>
      <c r="G54" s="46" t="inlineStr">
        <is>
          <t>4.4.2</t>
        </is>
      </c>
      <c r="H54" s="19">
        <f>IF(COUNTIFS($A$2:A54,A54,$F$2:F54,F54)=1,1,0)</f>
        <v/>
      </c>
      <c r="I54" s="19">
        <f>IF(AND(OR(E54="required-enabler",E54="optional-enabler"),COUNTIFS($A$2:A54,A54,$F$2:F54,F54,$E$2:E54,E54)=1),1,0)</f>
        <v/>
      </c>
    </row>
    <row r="55">
      <c r="A55" s="46" t="inlineStr">
        <is>
          <t>S4.9</t>
        </is>
      </c>
      <c r="B55" s="15" t="inlineStr">
        <is>
          <t>Model-Based Evaluation</t>
        </is>
      </c>
      <c r="C55" s="11" t="inlineStr">
        <is>
          <t>S4</t>
        </is>
      </c>
      <c r="D55" s="11" t="inlineStr">
        <is>
          <t>SVC</t>
        </is>
      </c>
      <c r="E55" s="47" t="inlineStr">
        <is>
          <t>required-enabler</t>
        </is>
      </c>
      <c r="F55" s="46" t="inlineStr">
        <is>
          <t>4.6</t>
        </is>
      </c>
      <c r="G55" s="46" t="inlineStr">
        <is>
          <t>4.6.3</t>
        </is>
      </c>
      <c r="H55" s="19">
        <f>IF(COUNTIFS($A$2:A55,A55,$F$2:F55,F55)=1,1,0)</f>
        <v/>
      </c>
      <c r="I55" s="19">
        <f>IF(AND(OR(E55="required-enabler",E55="optional-enabler"),COUNTIFS($A$2:A55,A55,$F$2:F55,F55,$E$2:E55,E55)=1),1,0)</f>
        <v/>
      </c>
    </row>
    <row r="56">
      <c r="A56" s="46" t="inlineStr">
        <is>
          <t>S4.9</t>
        </is>
      </c>
      <c r="B56" s="15" t="inlineStr">
        <is>
          <t>Model-Based Evaluation</t>
        </is>
      </c>
      <c r="C56" s="11" t="inlineStr">
        <is>
          <t>S4</t>
        </is>
      </c>
      <c r="D56" s="11" t="inlineStr">
        <is>
          <t>SVC</t>
        </is>
      </c>
      <c r="E56" s="47" t="inlineStr">
        <is>
          <t>evidence-provider</t>
        </is>
      </c>
      <c r="F56" s="46" t="inlineStr">
        <is>
          <t>6.3</t>
        </is>
      </c>
      <c r="G56" s="46" t="inlineStr">
        <is>
          <t>6.3.1</t>
        </is>
      </c>
      <c r="H56" s="19">
        <f>IF(COUNTIFS($A$2:A56,A56,$F$2:F56,F56)=1,1,0)</f>
        <v/>
      </c>
      <c r="I56" s="19">
        <f>IF(AND(OR(E56="required-enabler",E56="optional-enabler"),COUNTIFS($A$2:A56,A56,$F$2:F56,F56,$E$2:E56,E56)=1),1,0)</f>
        <v/>
      </c>
    </row>
    <row r="57">
      <c r="A57" s="46" t="inlineStr">
        <is>
          <t>S4.10</t>
        </is>
      </c>
      <c r="B57" s="15" t="inlineStr">
        <is>
          <t>Formal &amp; Verifiable Reasoning Checks</t>
        </is>
      </c>
      <c r="C57" s="11" t="inlineStr">
        <is>
          <t>S4</t>
        </is>
      </c>
      <c r="D57" s="11" t="inlineStr">
        <is>
          <t>SVC</t>
        </is>
      </c>
      <c r="E57" s="47" t="inlineStr">
        <is>
          <t>required-enabler</t>
        </is>
      </c>
      <c r="F57" s="46" t="inlineStr">
        <is>
          <t>4.6</t>
        </is>
      </c>
      <c r="G57" s="46" t="inlineStr">
        <is>
          <t>4.6.5</t>
        </is>
      </c>
      <c r="H57" s="19">
        <f>IF(COUNTIFS($A$2:A57,A57,$F$2:F57,F57)=1,1,0)</f>
        <v/>
      </c>
      <c r="I57" s="19">
        <f>IF(AND(OR(E57="required-enabler",E57="optional-enabler"),COUNTIFS($A$2:A57,A57,$F$2:F57,F57,$E$2:E57,E57)=1),1,0)</f>
        <v/>
      </c>
    </row>
    <row r="58">
      <c r="A58" s="46" t="inlineStr">
        <is>
          <t>S4.10</t>
        </is>
      </c>
      <c r="B58" s="15" t="inlineStr">
        <is>
          <t>Formal &amp; Verifiable Reasoning Checks</t>
        </is>
      </c>
      <c r="C58" s="11" t="inlineStr">
        <is>
          <t>S4</t>
        </is>
      </c>
      <c r="D58" s="11" t="inlineStr">
        <is>
          <t>SVC</t>
        </is>
      </c>
      <c r="E58" s="47" t="inlineStr">
        <is>
          <t>evidence-provider</t>
        </is>
      </c>
      <c r="F58" s="46" t="inlineStr">
        <is>
          <t>7.2</t>
        </is>
      </c>
      <c r="G58" s="46" t="inlineStr">
        <is>
          <t>7.2.2</t>
        </is>
      </c>
      <c r="H58" s="19">
        <f>IF(COUNTIFS($A$2:A58,A58,$F$2:F58,F58)=1,1,0)</f>
        <v/>
      </c>
      <c r="I58" s="19">
        <f>IF(AND(OR(E58="required-enabler",E58="optional-enabler"),COUNTIFS($A$2:A58,A58,$F$2:F58,F58,$E$2:E58,E58)=1),1,0)</f>
        <v/>
      </c>
    </row>
    <row r="59">
      <c r="A59" s="46" t="inlineStr">
        <is>
          <t>S5.1</t>
        </is>
      </c>
      <c r="B59" s="15" t="inlineStr">
        <is>
          <t>Agent Runtime &amp; Execution</t>
        </is>
      </c>
      <c r="C59" s="11" t="inlineStr">
        <is>
          <t>S5</t>
        </is>
      </c>
      <c r="D59" s="11" t="inlineStr">
        <is>
          <t>SVC</t>
        </is>
      </c>
      <c r="E59" s="47" t="inlineStr">
        <is>
          <t>required-enabler</t>
        </is>
      </c>
      <c r="F59" s="46" t="inlineStr">
        <is>
          <t>6.1</t>
        </is>
      </c>
      <c r="G59" s="46" t="inlineStr">
        <is>
          <t>6.1.1</t>
        </is>
      </c>
      <c r="H59" s="19">
        <f>IF(COUNTIFS($A$2:A59,A59,$F$2:F59,F59)=1,1,0)</f>
        <v/>
      </c>
      <c r="I59" s="19">
        <f>IF(AND(OR(E59="required-enabler",E59="optional-enabler"),COUNTIFS($A$2:A59,A59,$F$2:F59,F59,$E$2:E59,E59)=1),1,0)</f>
        <v/>
      </c>
    </row>
    <row r="60">
      <c r="A60" s="46" t="inlineStr">
        <is>
          <t>S5.1</t>
        </is>
      </c>
      <c r="B60" s="15" t="inlineStr">
        <is>
          <t>Agent Runtime &amp; Execution</t>
        </is>
      </c>
      <c r="C60" s="11" t="inlineStr">
        <is>
          <t>S5</t>
        </is>
      </c>
      <c r="D60" s="11" t="inlineStr">
        <is>
          <t>SVC</t>
        </is>
      </c>
      <c r="E60" s="47" t="inlineStr">
        <is>
          <t>required-enabler</t>
        </is>
      </c>
      <c r="F60" s="46" t="inlineStr">
        <is>
          <t>4.4</t>
        </is>
      </c>
      <c r="G60" s="46" t="inlineStr">
        <is>
          <t>4.4.1</t>
        </is>
      </c>
      <c r="H60" s="19">
        <f>IF(COUNTIFS($A$2:A60,A60,$F$2:F60,F60)=1,1,0)</f>
        <v/>
      </c>
      <c r="I60" s="19">
        <f>IF(AND(OR(E60="required-enabler",E60="optional-enabler"),COUNTIFS($A$2:A60,A60,$F$2:F60,F60,$E$2:E60,E60)=1),1,0)</f>
        <v/>
      </c>
    </row>
    <row r="61">
      <c r="A61" s="46" t="inlineStr">
        <is>
          <t>S5.2</t>
        </is>
      </c>
      <c r="B61" s="15" t="inlineStr">
        <is>
          <t>Agent Definition &amp; Declarative Specification</t>
        </is>
      </c>
      <c r="C61" s="11" t="inlineStr">
        <is>
          <t>S5</t>
        </is>
      </c>
      <c r="D61" s="11" t="inlineStr">
        <is>
          <t>ABB</t>
        </is>
      </c>
      <c r="E61" s="47" t="inlineStr">
        <is>
          <t>required-enabler</t>
        </is>
      </c>
      <c r="F61" s="46" t="inlineStr">
        <is>
          <t>4.4</t>
        </is>
      </c>
      <c r="G61" s="46" t="inlineStr">
        <is>
          <t>4.4.1</t>
        </is>
      </c>
      <c r="H61" s="19">
        <f>IF(COUNTIFS($A$2:A61,A61,$F$2:F61,F61)=1,1,0)</f>
        <v/>
      </c>
      <c r="I61" s="19">
        <f>IF(AND(OR(E61="required-enabler",E61="optional-enabler"),COUNTIFS($A$2:A61,A61,$F$2:F61,F61,$E$2:E61,E61)=1),1,0)</f>
        <v/>
      </c>
    </row>
    <row r="62">
      <c r="A62" s="46" t="inlineStr">
        <is>
          <t>S5.2</t>
        </is>
      </c>
      <c r="B62" s="15" t="inlineStr">
        <is>
          <t>Agent Definition &amp; Declarative Specification</t>
        </is>
      </c>
      <c r="C62" s="11" t="inlineStr">
        <is>
          <t>S5</t>
        </is>
      </c>
      <c r="D62" s="11" t="inlineStr">
        <is>
          <t>ABB</t>
        </is>
      </c>
      <c r="E62" s="47" t="inlineStr">
        <is>
          <t>required-enabler</t>
        </is>
      </c>
      <c r="F62" s="46" t="inlineStr">
        <is>
          <t>7.7</t>
        </is>
      </c>
      <c r="G62" s="46" t="inlineStr">
        <is>
          <t>7.7.2</t>
        </is>
      </c>
      <c r="H62" s="19">
        <f>IF(COUNTIFS($A$2:A62,A62,$F$2:F62,F62)=1,1,0)</f>
        <v/>
      </c>
      <c r="I62" s="19">
        <f>IF(AND(OR(E62="required-enabler",E62="optional-enabler"),COUNTIFS($A$2:A62,A62,$F$2:F62,F62,$E$2:E62,E62)=1),1,0)</f>
        <v/>
      </c>
    </row>
    <row r="63">
      <c r="A63" s="46" t="inlineStr">
        <is>
          <t>S5.3</t>
        </is>
      </c>
      <c r="B63" s="15" t="inlineStr">
        <is>
          <t>Tool &amp; Function Calling</t>
        </is>
      </c>
      <c r="C63" s="11" t="inlineStr">
        <is>
          <t>S5</t>
        </is>
      </c>
      <c r="D63" s="11" t="inlineStr">
        <is>
          <t>SVC</t>
        </is>
      </c>
      <c r="E63" s="47" t="inlineStr">
        <is>
          <t>required-enabler</t>
        </is>
      </c>
      <c r="F63" s="46" t="inlineStr">
        <is>
          <t>4.5</t>
        </is>
      </c>
      <c r="G63" s="46" t="inlineStr">
        <is>
          <t>4.5.2</t>
        </is>
      </c>
      <c r="H63" s="19">
        <f>IF(COUNTIFS($A$2:A63,A63,$F$2:F63,F63)=1,1,0)</f>
        <v/>
      </c>
      <c r="I63" s="19">
        <f>IF(AND(OR(E63="required-enabler",E63="optional-enabler"),COUNTIFS($A$2:A63,A63,$F$2:F63,F63,$E$2:E63,E63)=1),1,0)</f>
        <v/>
      </c>
    </row>
    <row r="64">
      <c r="A64" s="46" t="inlineStr">
        <is>
          <t>S5.3</t>
        </is>
      </c>
      <c r="B64" s="15" t="inlineStr">
        <is>
          <t>Tool &amp; Function Calling</t>
        </is>
      </c>
      <c r="C64" s="11" t="inlineStr">
        <is>
          <t>S5</t>
        </is>
      </c>
      <c r="D64" s="11" t="inlineStr">
        <is>
          <t>SVC</t>
        </is>
      </c>
      <c r="E64" s="47" t="inlineStr">
        <is>
          <t>required-enabler</t>
        </is>
      </c>
      <c r="F64" s="46" t="inlineStr">
        <is>
          <t>4.4</t>
        </is>
      </c>
      <c r="G64" s="46" t="inlineStr">
        <is>
          <t>4.4.1</t>
        </is>
      </c>
      <c r="H64" s="19">
        <f>IF(COUNTIFS($A$2:A64,A64,$F$2:F64,F64)=1,1,0)</f>
        <v/>
      </c>
      <c r="I64" s="19">
        <f>IF(AND(OR(E64="required-enabler",E64="optional-enabler"),COUNTIFS($A$2:A64,A64,$F$2:F64,F64,$E$2:E64,E64)=1),1,0)</f>
        <v/>
      </c>
    </row>
    <row r="65">
      <c r="A65" s="46" t="inlineStr">
        <is>
          <t>S5.4</t>
        </is>
      </c>
      <c r="B65" s="15" t="inlineStr">
        <is>
          <t>Agent Orchestrator Runtime</t>
        </is>
      </c>
      <c r="C65" s="11" t="inlineStr">
        <is>
          <t>S5</t>
        </is>
      </c>
      <c r="D65" s="11" t="inlineStr">
        <is>
          <t>ABB</t>
        </is>
      </c>
      <c r="E65" s="47" t="inlineStr">
        <is>
          <t>required-enabler</t>
        </is>
      </c>
      <c r="F65" s="46" t="inlineStr">
        <is>
          <t>4.4</t>
        </is>
      </c>
      <c r="G65" s="46" t="inlineStr">
        <is>
          <t>4.4.3</t>
        </is>
      </c>
      <c r="H65" s="19">
        <f>IF(COUNTIFS($A$2:A65,A65,$F$2:F65,F65)=1,1,0)</f>
        <v/>
      </c>
      <c r="I65" s="19">
        <f>IF(AND(OR(E65="required-enabler",E65="optional-enabler"),COUNTIFS($A$2:A65,A65,$F$2:F65,F65,$E$2:E65,E65)=1),1,0)</f>
        <v/>
      </c>
    </row>
    <row r="66">
      <c r="A66" s="46" t="inlineStr">
        <is>
          <t>S5.5</t>
        </is>
      </c>
      <c r="B66" s="15" t="inlineStr">
        <is>
          <t>Agent-to-Agent Interoperability</t>
        </is>
      </c>
      <c r="C66" s="11" t="inlineStr">
        <is>
          <t>S5</t>
        </is>
      </c>
      <c r="D66" s="11" t="inlineStr">
        <is>
          <t>ABB</t>
        </is>
      </c>
      <c r="E66" s="47" t="inlineStr">
        <is>
          <t>required-enabler</t>
        </is>
      </c>
      <c r="F66" s="46" t="inlineStr">
        <is>
          <t>4.4</t>
        </is>
      </c>
      <c r="G66" s="46" t="inlineStr">
        <is>
          <t>4.4.3</t>
        </is>
      </c>
      <c r="H66" s="19">
        <f>IF(COUNTIFS($A$2:A66,A66,$F$2:F66,F66)=1,1,0)</f>
        <v/>
      </c>
      <c r="I66" s="19">
        <f>IF(AND(OR(E66="required-enabler",E66="optional-enabler"),COUNTIFS($A$2:A66,A66,$F$2:F66,F66,$E$2:E66,E66)=1),1,0)</f>
        <v/>
      </c>
    </row>
    <row r="67">
      <c r="A67" s="46" t="inlineStr">
        <is>
          <t>S5.5</t>
        </is>
      </c>
      <c r="B67" s="15" t="inlineStr">
        <is>
          <t>Agent-to-Agent Interoperability</t>
        </is>
      </c>
      <c r="C67" s="11" t="inlineStr">
        <is>
          <t>S5</t>
        </is>
      </c>
      <c r="D67" s="11" t="inlineStr">
        <is>
          <t>ABB</t>
        </is>
      </c>
      <c r="E67" s="47" t="inlineStr">
        <is>
          <t>required-enabler</t>
        </is>
      </c>
      <c r="F67" s="46" t="inlineStr">
        <is>
          <t>4.5</t>
        </is>
      </c>
      <c r="G67" s="46" t="inlineStr">
        <is>
          <t>4.5.4</t>
        </is>
      </c>
      <c r="H67" s="19">
        <f>IF(COUNTIFS($A$2:A67,A67,$F$2:F67,F67)=1,1,0)</f>
        <v/>
      </c>
      <c r="I67" s="19">
        <f>IF(AND(OR(E67="required-enabler",E67="optional-enabler"),COUNTIFS($A$2:A67,A67,$F$2:F67,F67,$E$2:E67,E67)=1),1,0)</f>
        <v/>
      </c>
    </row>
    <row r="68">
      <c r="A68" s="46" t="inlineStr">
        <is>
          <t>S5.6</t>
        </is>
      </c>
      <c r="B68" s="15" t="inlineStr">
        <is>
          <t>Deterministic Workflow Orchestration</t>
        </is>
      </c>
      <c r="C68" s="11" t="inlineStr">
        <is>
          <t>S5</t>
        </is>
      </c>
      <c r="D68" s="11" t="inlineStr">
        <is>
          <t>ABB</t>
        </is>
      </c>
      <c r="E68" s="47" t="inlineStr">
        <is>
          <t>required-enabler</t>
        </is>
      </c>
      <c r="F68" s="46" t="inlineStr">
        <is>
          <t>4.4</t>
        </is>
      </c>
      <c r="G68" s="46" t="inlineStr">
        <is>
          <t>4.4.6</t>
        </is>
      </c>
      <c r="H68" s="19">
        <f>IF(COUNTIFS($A$2:A68,A68,$F$2:F68,F68)=1,1,0)</f>
        <v/>
      </c>
      <c r="I68" s="19">
        <f>IF(AND(OR(E68="required-enabler",E68="optional-enabler"),COUNTIFS($A$2:A68,A68,$F$2:F68,F68,$E$2:E68,E68)=1),1,0)</f>
        <v/>
      </c>
    </row>
    <row r="69">
      <c r="A69" s="46" t="inlineStr">
        <is>
          <t>S5.6</t>
        </is>
      </c>
      <c r="B69" s="15" t="inlineStr">
        <is>
          <t>Deterministic Workflow Orchestration</t>
        </is>
      </c>
      <c r="C69" s="11" t="inlineStr">
        <is>
          <t>S5</t>
        </is>
      </c>
      <c r="D69" s="11" t="inlineStr">
        <is>
          <t>ABB</t>
        </is>
      </c>
      <c r="E69" s="47" t="inlineStr">
        <is>
          <t>required-enabler</t>
        </is>
      </c>
      <c r="F69" s="46" t="inlineStr">
        <is>
          <t>2.4</t>
        </is>
      </c>
      <c r="G69" s="46" t="inlineStr">
        <is>
          <t>2.4.2</t>
        </is>
      </c>
      <c r="H69" s="19">
        <f>IF(COUNTIFS($A$2:A69,A69,$F$2:F69,F69)=1,1,0)</f>
        <v/>
      </c>
      <c r="I69" s="19">
        <f>IF(AND(OR(E69="required-enabler",E69="optional-enabler"),COUNTIFS($A$2:A69,A69,$F$2:F69,F69,$E$2:E69,E69)=1),1,0)</f>
        <v/>
      </c>
    </row>
    <row r="70">
      <c r="A70" s="46" t="inlineStr">
        <is>
          <t>S5.7</t>
        </is>
      </c>
      <c r="B70" s="15" t="inlineStr">
        <is>
          <t>Session &amp; Short-Term Memory</t>
        </is>
      </c>
      <c r="C70" s="11" t="inlineStr">
        <is>
          <t>S5</t>
        </is>
      </c>
      <c r="D70" s="11" t="inlineStr">
        <is>
          <t>ABB</t>
        </is>
      </c>
      <c r="E70" s="47" t="inlineStr">
        <is>
          <t>required-enabler</t>
        </is>
      </c>
      <c r="F70" s="46" t="inlineStr">
        <is>
          <t>4.4</t>
        </is>
      </c>
      <c r="G70" s="46" t="inlineStr">
        <is>
          <t>4.4.4</t>
        </is>
      </c>
      <c r="H70" s="19">
        <f>IF(COUNTIFS($A$2:A70,A70,$F$2:F70,F70)=1,1,0)</f>
        <v/>
      </c>
      <c r="I70" s="19">
        <f>IF(AND(OR(E70="required-enabler",E70="optional-enabler"),COUNTIFS($A$2:A70,A70,$F$2:F70,F70,$E$2:E70,E70)=1),1,0)</f>
        <v/>
      </c>
    </row>
    <row r="71">
      <c r="A71" s="46" t="inlineStr">
        <is>
          <t>S5.8</t>
        </is>
      </c>
      <c r="B71" s="15" t="inlineStr">
        <is>
          <t>Persistent &amp; Long-Term Memory</t>
        </is>
      </c>
      <c r="C71" s="11" t="inlineStr">
        <is>
          <t>S5</t>
        </is>
      </c>
      <c r="D71" s="11" t="inlineStr">
        <is>
          <t>ABB</t>
        </is>
      </c>
      <c r="E71" s="47" t="inlineStr">
        <is>
          <t>required-enabler</t>
        </is>
      </c>
      <c r="F71" s="46" t="inlineStr">
        <is>
          <t>4.4</t>
        </is>
      </c>
      <c r="G71" s="46" t="inlineStr">
        <is>
          <t>4.4.4</t>
        </is>
      </c>
      <c r="H71" s="19">
        <f>IF(COUNTIFS($A$2:A71,A71,$F$2:F71,F71)=1,1,0)</f>
        <v/>
      </c>
      <c r="I71" s="19">
        <f>IF(AND(OR(E71="required-enabler",E71="optional-enabler"),COUNTIFS($A$2:A71,A71,$F$2:F71,F71,$E$2:E71,E71)=1),1,0)</f>
        <v/>
      </c>
    </row>
    <row r="72">
      <c r="A72" s="46" t="inlineStr">
        <is>
          <t>S5.8</t>
        </is>
      </c>
      <c r="B72" s="15" t="inlineStr">
        <is>
          <t>Persistent &amp; Long-Term Memory</t>
        </is>
      </c>
      <c r="C72" s="11" t="inlineStr">
        <is>
          <t>S5</t>
        </is>
      </c>
      <c r="D72" s="11" t="inlineStr">
        <is>
          <t>ABB</t>
        </is>
      </c>
      <c r="E72" s="47" t="inlineStr">
        <is>
          <t>required-enabler</t>
        </is>
      </c>
      <c r="F72" s="46" t="inlineStr">
        <is>
          <t>3.1</t>
        </is>
      </c>
      <c r="G72" s="46" t="inlineStr">
        <is>
          <t>3.1.4</t>
        </is>
      </c>
      <c r="H72" s="19">
        <f>IF(COUNTIFS($A$2:A72,A72,$F$2:F72,F72)=1,1,0)</f>
        <v/>
      </c>
      <c r="I72" s="19">
        <f>IF(AND(OR(E72="required-enabler",E72="optional-enabler"),COUNTIFS($A$2:A72,A72,$F$2:F72,F72,$E$2:E72,E72)=1),1,0)</f>
        <v/>
      </c>
    </row>
    <row r="73">
      <c r="A73" s="46" t="inlineStr">
        <is>
          <t>S5.9</t>
        </is>
      </c>
      <c r="B73" s="15" t="inlineStr">
        <is>
          <t>Context Assembly &amp; Management</t>
        </is>
      </c>
      <c r="C73" s="11" t="inlineStr">
        <is>
          <t>S5</t>
        </is>
      </c>
      <c r="D73" s="11" t="inlineStr">
        <is>
          <t>ABB</t>
        </is>
      </c>
      <c r="E73" s="47" t="inlineStr">
        <is>
          <t>required-enabler</t>
        </is>
      </c>
      <c r="F73" s="46" t="inlineStr">
        <is>
          <t>4.3</t>
        </is>
      </c>
      <c r="G73" s="46" t="inlineStr">
        <is>
          <t>4.3.3</t>
        </is>
      </c>
      <c r="H73" s="19">
        <f>IF(COUNTIFS($A$2:A73,A73,$F$2:F73,F73)=1,1,0)</f>
        <v/>
      </c>
      <c r="I73" s="19">
        <f>IF(AND(OR(E73="required-enabler",E73="optional-enabler"),COUNTIFS($A$2:A73,A73,$F$2:F73,F73,$E$2:E73,E73)=1),1,0)</f>
        <v/>
      </c>
    </row>
    <row r="74">
      <c r="A74" s="46" t="inlineStr">
        <is>
          <t>S5.10</t>
        </is>
      </c>
      <c r="B74" s="15" t="inlineStr">
        <is>
          <t>Human-in-the-Loop Interrupt &amp; Approval</t>
        </is>
      </c>
      <c r="C74" s="11" t="inlineStr">
        <is>
          <t>S5</t>
        </is>
      </c>
      <c r="D74" s="11" t="inlineStr">
        <is>
          <t>SVC</t>
        </is>
      </c>
      <c r="E74" s="47" t="inlineStr">
        <is>
          <t>required-enabler</t>
        </is>
      </c>
      <c r="F74" s="46" t="inlineStr">
        <is>
          <t>2.5</t>
        </is>
      </c>
      <c r="G74" s="46" t="inlineStr">
        <is>
          <t>2.5.2</t>
        </is>
      </c>
      <c r="H74" s="19">
        <f>IF(COUNTIFS($A$2:A74,A74,$F$2:F74,F74)=1,1,0)</f>
        <v/>
      </c>
      <c r="I74" s="19">
        <f>IF(AND(OR(E74="required-enabler",E74="optional-enabler"),COUNTIFS($A$2:A74,A74,$F$2:F74,F74,$E$2:E74,E74)=1),1,0)</f>
        <v/>
      </c>
    </row>
    <row r="75">
      <c r="A75" s="46" t="inlineStr">
        <is>
          <t>S5.10</t>
        </is>
      </c>
      <c r="B75" s="15" t="inlineStr">
        <is>
          <t>Human-in-the-Loop Interrupt &amp; Approval</t>
        </is>
      </c>
      <c r="C75" s="11" t="inlineStr">
        <is>
          <t>S5</t>
        </is>
      </c>
      <c r="D75" s="11" t="inlineStr">
        <is>
          <t>SVC</t>
        </is>
      </c>
      <c r="E75" s="47" t="inlineStr">
        <is>
          <t>required-enabler</t>
        </is>
      </c>
      <c r="F75" s="46" t="inlineStr">
        <is>
          <t>2.5</t>
        </is>
      </c>
      <c r="G75" s="46" t="inlineStr">
        <is>
          <t>2.5.4</t>
        </is>
      </c>
      <c r="H75" s="19">
        <f>IF(COUNTIFS($A$2:A75,A75,$F$2:F75,F75)=1,1,0)</f>
        <v/>
      </c>
      <c r="I75" s="19">
        <f>IF(AND(OR(E75="required-enabler",E75="optional-enabler"),COUNTIFS($A$2:A75,A75,$F$2:F75,F75,$E$2:E75,E75)=1),1,0)</f>
        <v/>
      </c>
    </row>
    <row r="76">
      <c r="A76" s="46" t="inlineStr">
        <is>
          <t>S5.10</t>
        </is>
      </c>
      <c r="B76" s="15" t="inlineStr">
        <is>
          <t>Human-in-the-Loop Interrupt &amp; Approval</t>
        </is>
      </c>
      <c r="C76" s="11" t="inlineStr">
        <is>
          <t>S5</t>
        </is>
      </c>
      <c r="D76" s="11" t="inlineStr">
        <is>
          <t>SVC</t>
        </is>
      </c>
      <c r="E76" s="47" t="inlineStr">
        <is>
          <t>required-enabler</t>
        </is>
      </c>
      <c r="F76" s="46" t="inlineStr">
        <is>
          <t>7.2</t>
        </is>
      </c>
      <c r="G76" s="46" t="inlineStr">
        <is>
          <t>7.2.3</t>
        </is>
      </c>
      <c r="H76" s="19">
        <f>IF(COUNTIFS($A$2:A76,A76,$F$2:F76,F76)=1,1,0)</f>
        <v/>
      </c>
      <c r="I76" s="19">
        <f>IF(AND(OR(E76="required-enabler",E76="optional-enabler"),COUNTIFS($A$2:A76,A76,$F$2:F76,F76,$E$2:E76,E76)=1),1,0)</f>
        <v/>
      </c>
    </row>
    <row r="77">
      <c r="A77" s="46" t="inlineStr">
        <is>
          <t>S5.11</t>
        </is>
      </c>
      <c r="B77" s="15" t="inlineStr">
        <is>
          <t>Task State &amp; Long-Running Job Management</t>
        </is>
      </c>
      <c r="C77" s="11" t="inlineStr">
        <is>
          <t>S5</t>
        </is>
      </c>
      <c r="D77" s="11" t="inlineStr">
        <is>
          <t>ABB</t>
        </is>
      </c>
      <c r="E77" s="47" t="inlineStr">
        <is>
          <t>required-enabler</t>
        </is>
      </c>
      <c r="F77" s="46" t="inlineStr">
        <is>
          <t>4.4</t>
        </is>
      </c>
      <c r="G77" s="46" t="inlineStr">
        <is>
          <t>4.4.6</t>
        </is>
      </c>
      <c r="H77" s="19">
        <f>IF(COUNTIFS($A$2:A77,A77,$F$2:F77,F77)=1,1,0)</f>
        <v/>
      </c>
      <c r="I77" s="19">
        <f>IF(AND(OR(E77="required-enabler",E77="optional-enabler"),COUNTIFS($A$2:A77,A77,$F$2:F77,F77,$E$2:E77,E77)=1),1,0)</f>
        <v/>
      </c>
    </row>
    <row r="78">
      <c r="A78" s="46" t="inlineStr">
        <is>
          <t>S5.11</t>
        </is>
      </c>
      <c r="B78" s="15" t="inlineStr">
        <is>
          <t>Task State &amp; Long-Running Job Management</t>
        </is>
      </c>
      <c r="C78" s="11" t="inlineStr">
        <is>
          <t>S5</t>
        </is>
      </c>
      <c r="D78" s="11" t="inlineStr">
        <is>
          <t>ABB</t>
        </is>
      </c>
      <c r="E78" s="47" t="inlineStr">
        <is>
          <t>required-enabler</t>
        </is>
      </c>
      <c r="F78" s="46" t="inlineStr">
        <is>
          <t>6.1</t>
        </is>
      </c>
      <c r="G78" s="46" t="inlineStr">
        <is>
          <t>6.1.1</t>
        </is>
      </c>
      <c r="H78" s="19">
        <f>IF(COUNTIFS($A$2:A78,A78,$F$2:F78,F78)=1,1,0)</f>
        <v/>
      </c>
      <c r="I78" s="19">
        <f>IF(AND(OR(E78="required-enabler",E78="optional-enabler"),COUNTIFS($A$2:A78,A78,$F$2:F78,F78,$E$2:E78,E78)=1),1,0)</f>
        <v/>
      </c>
    </row>
    <row r="79">
      <c r="A79" s="46" t="inlineStr">
        <is>
          <t>S5.12</t>
        </is>
      </c>
      <c r="B79" s="15" t="inlineStr">
        <is>
          <t>Sandboxed Code Execution</t>
        </is>
      </c>
      <c r="C79" s="11" t="inlineStr">
        <is>
          <t>S5</t>
        </is>
      </c>
      <c r="D79" s="11" t="inlineStr">
        <is>
          <t>SVC</t>
        </is>
      </c>
      <c r="E79" s="47" t="inlineStr">
        <is>
          <t>required-enabler</t>
        </is>
      </c>
      <c r="F79" s="46" t="inlineStr">
        <is>
          <t>4.4</t>
        </is>
      </c>
      <c r="G79" s="46" t="inlineStr">
        <is>
          <t>4.4.5</t>
        </is>
      </c>
      <c r="H79" s="19">
        <f>IF(COUNTIFS($A$2:A79,A79,$F$2:F79,F79)=1,1,0)</f>
        <v/>
      </c>
      <c r="I79" s="19">
        <f>IF(AND(OR(E79="required-enabler",E79="optional-enabler"),COUNTIFS($A$2:A79,A79,$F$2:F79,F79,$E$2:E79,E79)=1),1,0)</f>
        <v/>
      </c>
    </row>
    <row r="80">
      <c r="A80" s="46" t="inlineStr">
        <is>
          <t>S5.12</t>
        </is>
      </c>
      <c r="B80" s="15" t="inlineStr">
        <is>
          <t>Sandboxed Code Execution</t>
        </is>
      </c>
      <c r="C80" s="11" t="inlineStr">
        <is>
          <t>S5</t>
        </is>
      </c>
      <c r="D80" s="11" t="inlineStr">
        <is>
          <t>SVC</t>
        </is>
      </c>
      <c r="E80" s="47" t="inlineStr">
        <is>
          <t>required-enabler</t>
        </is>
      </c>
      <c r="F80" s="46" t="inlineStr">
        <is>
          <t>7.4</t>
        </is>
      </c>
      <c r="G80" s="46" t="inlineStr">
        <is>
          <t>7.4.5</t>
        </is>
      </c>
      <c r="H80" s="19">
        <f>IF(COUNTIFS($A$2:A80,A80,$F$2:F80,F80)=1,1,0)</f>
        <v/>
      </c>
      <c r="I80" s="19">
        <f>IF(AND(OR(E80="required-enabler",E80="optional-enabler"),COUNTIFS($A$2:A80,A80,$F$2:F80,F80,$E$2:E80,E80)=1),1,0)</f>
        <v/>
      </c>
    </row>
    <row r="81">
      <c r="A81" s="46" t="inlineStr">
        <is>
          <t>S5.13</t>
        </is>
      </c>
      <c r="B81" s="15" t="inlineStr">
        <is>
          <t>Termination, Budget &amp; Loop Control</t>
        </is>
      </c>
      <c r="C81" s="11" t="inlineStr">
        <is>
          <t>S5</t>
        </is>
      </c>
      <c r="D81" s="11" t="inlineStr">
        <is>
          <t>ABB</t>
        </is>
      </c>
      <c r="E81" s="47" t="inlineStr">
        <is>
          <t>required-enabler</t>
        </is>
      </c>
      <c r="F81" s="46" t="inlineStr">
        <is>
          <t>4.4</t>
        </is>
      </c>
      <c r="G81" s="46" t="inlineStr">
        <is>
          <t>4.4.6</t>
        </is>
      </c>
      <c r="H81" s="19">
        <f>IF(COUNTIFS($A$2:A81,A81,$F$2:F81,F81)=1,1,0)</f>
        <v/>
      </c>
      <c r="I81" s="19">
        <f>IF(AND(OR(E81="required-enabler",E81="optional-enabler"),COUNTIFS($A$2:A81,A81,$F$2:F81,F81,$E$2:E81,E81)=1),1,0)</f>
        <v/>
      </c>
    </row>
    <row r="82">
      <c r="A82" s="46" t="inlineStr">
        <is>
          <t>S5.13</t>
        </is>
      </c>
      <c r="B82" s="15" t="inlineStr">
        <is>
          <t>Termination, Budget &amp; Loop Control</t>
        </is>
      </c>
      <c r="C82" s="11" t="inlineStr">
        <is>
          <t>S5</t>
        </is>
      </c>
      <c r="D82" s="11" t="inlineStr">
        <is>
          <t>ABB</t>
        </is>
      </c>
      <c r="E82" s="47" t="inlineStr">
        <is>
          <t>operational-support</t>
        </is>
      </c>
      <c r="F82" s="46" t="inlineStr">
        <is>
          <t>6.5</t>
        </is>
      </c>
      <c r="G82" s="46" t="inlineStr">
        <is>
          <t>6.5.1</t>
        </is>
      </c>
      <c r="H82" s="19">
        <f>IF(COUNTIFS($A$2:A82,A82,$F$2:F82,F82)=1,1,0)</f>
        <v/>
      </c>
      <c r="I82" s="19">
        <f>IF(AND(OR(E82="required-enabler",E82="optional-enabler"),COUNTIFS($A$2:A82,A82,$F$2:F82,F82,$E$2:E82,E82)=1),1,0)</f>
        <v/>
      </c>
    </row>
    <row r="83">
      <c r="A83" s="46" t="inlineStr">
        <is>
          <t>S5.14</t>
        </is>
      </c>
      <c r="B83" s="15" t="inlineStr">
        <is>
          <t>Agent Skill Packaging &amp; Distribution</t>
        </is>
      </c>
      <c r="C83" s="11" t="inlineStr">
        <is>
          <t>S5</t>
        </is>
      </c>
      <c r="D83" s="11" t="inlineStr">
        <is>
          <t>ABB</t>
        </is>
      </c>
      <c r="E83" s="47" t="inlineStr">
        <is>
          <t>required-enabler</t>
        </is>
      </c>
      <c r="F83" s="46" t="inlineStr">
        <is>
          <t>5.6</t>
        </is>
      </c>
      <c r="G83" s="46" t="inlineStr">
        <is>
          <t>5.6.4</t>
        </is>
      </c>
      <c r="H83" s="19">
        <f>IF(COUNTIFS($A$2:A83,A83,$F$2:F83,F83)=1,1,0)</f>
        <v/>
      </c>
      <c r="I83" s="19">
        <f>IF(AND(OR(E83="required-enabler",E83="optional-enabler"),COUNTIFS($A$2:A83,A83,$F$2:F83,F83,$E$2:E83,E83)=1),1,0)</f>
        <v/>
      </c>
    </row>
    <row r="84">
      <c r="A84" s="46" t="inlineStr">
        <is>
          <t>S5.14</t>
        </is>
      </c>
      <c r="B84" s="15" t="inlineStr">
        <is>
          <t>Agent Skill Packaging &amp; Distribution</t>
        </is>
      </c>
      <c r="C84" s="11" t="inlineStr">
        <is>
          <t>S5</t>
        </is>
      </c>
      <c r="D84" s="11" t="inlineStr">
        <is>
          <t>ABB</t>
        </is>
      </c>
      <c r="E84" s="47" t="inlineStr">
        <is>
          <t>required-enabler</t>
        </is>
      </c>
      <c r="F84" s="46" t="inlineStr">
        <is>
          <t>5.5</t>
        </is>
      </c>
      <c r="G84" s="46" t="inlineStr">
        <is>
          <t>5.5.1</t>
        </is>
      </c>
      <c r="H84" s="19">
        <f>IF(COUNTIFS($A$2:A84,A84,$F$2:F84,F84)=1,1,0)</f>
        <v/>
      </c>
      <c r="I84" s="19">
        <f>IF(AND(OR(E84="required-enabler",E84="optional-enabler"),COUNTIFS($A$2:A84,A84,$F$2:F84,F84,$E$2:E84,E84)=1),1,0)</f>
        <v/>
      </c>
    </row>
    <row r="85">
      <c r="A85" s="46" t="inlineStr">
        <is>
          <t>S5.15</t>
        </is>
      </c>
      <c r="B85" s="15" t="inlineStr">
        <is>
          <t>Multi-Agent Coordination Patterns</t>
        </is>
      </c>
      <c r="C85" s="11" t="inlineStr">
        <is>
          <t>S5</t>
        </is>
      </c>
      <c r="D85" s="11" t="inlineStr">
        <is>
          <t>PAT</t>
        </is>
      </c>
      <c r="E85" s="47" t="inlineStr">
        <is>
          <t>required-enabler</t>
        </is>
      </c>
      <c r="F85" s="46" t="inlineStr">
        <is>
          <t>4.4</t>
        </is>
      </c>
      <c r="G85" s="46" t="inlineStr">
        <is>
          <t>4.4.3</t>
        </is>
      </c>
      <c r="H85" s="19">
        <f>IF(COUNTIFS($A$2:A85,A85,$F$2:F85,F85)=1,1,0)</f>
        <v/>
      </c>
      <c r="I85" s="19">
        <f>IF(AND(OR(E85="required-enabler",E85="optional-enabler"),COUNTIFS($A$2:A85,A85,$F$2:F85,F85,$E$2:E85,E85)=1),1,0)</f>
        <v/>
      </c>
    </row>
    <row r="86">
      <c r="A86" s="46" t="inlineStr">
        <is>
          <t>S6.1</t>
        </is>
      </c>
      <c r="B86" s="15" t="inlineStr">
        <is>
          <t>Model Gateway &amp; Unified Inference API</t>
        </is>
      </c>
      <c r="C86" s="11" t="inlineStr">
        <is>
          <t>S6</t>
        </is>
      </c>
      <c r="D86" s="11" t="inlineStr">
        <is>
          <t>SVC</t>
        </is>
      </c>
      <c r="E86" s="47" t="inlineStr">
        <is>
          <t>required-enabler</t>
        </is>
      </c>
      <c r="F86" s="46" t="inlineStr">
        <is>
          <t>5.2</t>
        </is>
      </c>
      <c r="G86" s="46" t="inlineStr">
        <is>
          <t>5.2.2</t>
        </is>
      </c>
      <c r="H86" s="19">
        <f>IF(COUNTIFS($A$2:A86,A86,$F$2:F86,F86)=1,1,0)</f>
        <v/>
      </c>
      <c r="I86" s="19">
        <f>IF(AND(OR(E86="required-enabler",E86="optional-enabler"),COUNTIFS($A$2:A86,A86,$F$2:F86,F86,$E$2:E86,E86)=1),1,0)</f>
        <v/>
      </c>
    </row>
    <row r="87">
      <c r="A87" s="46" t="inlineStr">
        <is>
          <t>S6.1</t>
        </is>
      </c>
      <c r="B87" s="15" t="inlineStr">
        <is>
          <t>Model Gateway &amp; Unified Inference API</t>
        </is>
      </c>
      <c r="C87" s="11" t="inlineStr">
        <is>
          <t>S6</t>
        </is>
      </c>
      <c r="D87" s="11" t="inlineStr">
        <is>
          <t>SVC</t>
        </is>
      </c>
      <c r="E87" s="47" t="inlineStr">
        <is>
          <t>required-enabler</t>
        </is>
      </c>
      <c r="F87" s="46" t="inlineStr">
        <is>
          <t>5.2</t>
        </is>
      </c>
      <c r="G87" s="46" t="inlineStr">
        <is>
          <t>5.2.1</t>
        </is>
      </c>
      <c r="H87" s="19">
        <f>IF(COUNTIFS($A$2:A87,A87,$F$2:F87,F87)=1,1,0)</f>
        <v/>
      </c>
      <c r="I87" s="19">
        <f>IF(AND(OR(E87="required-enabler",E87="optional-enabler"),COUNTIFS($A$2:A87,A87,$F$2:F87,F87,$E$2:E87,E87)=1),1,0)</f>
        <v/>
      </c>
    </row>
    <row r="88">
      <c r="A88" s="46" t="inlineStr">
        <is>
          <t>S6.2</t>
        </is>
      </c>
      <c r="B88" s="15" t="inlineStr">
        <is>
          <t>Model Routing &amp; Fallback</t>
        </is>
      </c>
      <c r="C88" s="11" t="inlineStr">
        <is>
          <t>S6</t>
        </is>
      </c>
      <c r="D88" s="11" t="inlineStr">
        <is>
          <t>ABB</t>
        </is>
      </c>
      <c r="E88" s="47" t="inlineStr">
        <is>
          <t>required-enabler</t>
        </is>
      </c>
      <c r="F88" s="46" t="inlineStr">
        <is>
          <t>5.2</t>
        </is>
      </c>
      <c r="G88" s="46" t="inlineStr">
        <is>
          <t>5.2.2</t>
        </is>
      </c>
      <c r="H88" s="19">
        <f>IF(COUNTIFS($A$2:A88,A88,$F$2:F88,F88)=1,1,0)</f>
        <v/>
      </c>
      <c r="I88" s="19">
        <f>IF(AND(OR(E88="required-enabler",E88="optional-enabler"),COUNTIFS($A$2:A88,A88,$F$2:F88,F88,$E$2:E88,E88)=1),1,0)</f>
        <v/>
      </c>
    </row>
    <row r="89">
      <c r="A89" s="46" t="inlineStr">
        <is>
          <t>S6.2</t>
        </is>
      </c>
      <c r="B89" s="15" t="inlineStr">
        <is>
          <t>Model Routing &amp; Fallback</t>
        </is>
      </c>
      <c r="C89" s="11" t="inlineStr">
        <is>
          <t>S6</t>
        </is>
      </c>
      <c r="D89" s="11" t="inlineStr">
        <is>
          <t>ABB</t>
        </is>
      </c>
      <c r="E89" s="47" t="inlineStr">
        <is>
          <t>required-enabler</t>
        </is>
      </c>
      <c r="F89" s="46" t="inlineStr">
        <is>
          <t>5.2</t>
        </is>
      </c>
      <c r="G89" s="46" t="inlineStr">
        <is>
          <t>5.2.5</t>
        </is>
      </c>
      <c r="H89" s="19">
        <f>IF(COUNTIFS($A$2:A89,A89,$F$2:F89,F89)=1,1,0)</f>
        <v/>
      </c>
      <c r="I89" s="19">
        <f>IF(AND(OR(E89="required-enabler",E89="optional-enabler"),COUNTIFS($A$2:A89,A89,$F$2:F89,F89,$E$2:E89,E89)=1),1,0)</f>
        <v/>
      </c>
    </row>
    <row r="90">
      <c r="A90" s="46" t="inlineStr">
        <is>
          <t>S6.2</t>
        </is>
      </c>
      <c r="B90" s="15" t="inlineStr">
        <is>
          <t>Model Routing &amp; Fallback</t>
        </is>
      </c>
      <c r="C90" s="11" t="inlineStr">
        <is>
          <t>S6</t>
        </is>
      </c>
      <c r="D90" s="11" t="inlineStr">
        <is>
          <t>ABB</t>
        </is>
      </c>
      <c r="E90" s="47" t="inlineStr">
        <is>
          <t>operational-support</t>
        </is>
      </c>
      <c r="F90" s="46" t="inlineStr">
        <is>
          <t>6.5</t>
        </is>
      </c>
      <c r="G90" s="46" t="inlineStr">
        <is>
          <t>6.5.4</t>
        </is>
      </c>
      <c r="H90" s="19">
        <f>IF(COUNTIFS($A$2:A90,A90,$F$2:F90,F90)=1,1,0)</f>
        <v/>
      </c>
      <c r="I90" s="19">
        <f>IF(AND(OR(E90="required-enabler",E90="optional-enabler"),COUNTIFS($A$2:A90,A90,$F$2:F90,F90,$E$2:E90,E90)=1),1,0)</f>
        <v/>
      </c>
    </row>
    <row r="91">
      <c r="A91" s="46" t="inlineStr">
        <is>
          <t>S6.3</t>
        </is>
      </c>
      <c r="B91" s="15" t="inlineStr">
        <is>
          <t>MCP Server Adapter</t>
        </is>
      </c>
      <c r="C91" s="11" t="inlineStr">
        <is>
          <t>S6</t>
        </is>
      </c>
      <c r="D91" s="11" t="inlineStr">
        <is>
          <t>ABB</t>
        </is>
      </c>
      <c r="E91" s="47" t="inlineStr">
        <is>
          <t>required-enabler</t>
        </is>
      </c>
      <c r="F91" s="46" t="inlineStr">
        <is>
          <t>4.5</t>
        </is>
      </c>
      <c r="G91" s="46" t="inlineStr">
        <is>
          <t>4.5.3</t>
        </is>
      </c>
      <c r="H91" s="19">
        <f>IF(COUNTIFS($A$2:A91,A91,$F$2:F91,F91)=1,1,0)</f>
        <v/>
      </c>
      <c r="I91" s="19">
        <f>IF(AND(OR(E91="required-enabler",E91="optional-enabler"),COUNTIFS($A$2:A91,A91,$F$2:F91,F91,$E$2:E91,E91)=1),1,0)</f>
        <v/>
      </c>
    </row>
    <row r="92">
      <c r="A92" s="46" t="inlineStr">
        <is>
          <t>S6.3</t>
        </is>
      </c>
      <c r="B92" s="15" t="inlineStr">
        <is>
          <t>MCP Server Adapter</t>
        </is>
      </c>
      <c r="C92" s="11" t="inlineStr">
        <is>
          <t>S6</t>
        </is>
      </c>
      <c r="D92" s="11" t="inlineStr">
        <is>
          <t>ABB</t>
        </is>
      </c>
      <c r="E92" s="47" t="inlineStr">
        <is>
          <t>required-enabler</t>
        </is>
      </c>
      <c r="F92" s="46" t="inlineStr">
        <is>
          <t>4.5</t>
        </is>
      </c>
      <c r="G92" s="46" t="inlineStr">
        <is>
          <t>4.5.5</t>
        </is>
      </c>
      <c r="H92" s="19">
        <f>IF(COUNTIFS($A$2:A92,A92,$F$2:F92,F92)=1,1,0)</f>
        <v/>
      </c>
      <c r="I92" s="19">
        <f>IF(AND(OR(E92="required-enabler",E92="optional-enabler"),COUNTIFS($A$2:A92,A92,$F$2:F92,F92,$E$2:E92,E92)=1),1,0)</f>
        <v/>
      </c>
    </row>
    <row r="93">
      <c r="A93" s="46" t="inlineStr">
        <is>
          <t>S6.4</t>
        </is>
      </c>
      <c r="B93" s="15" t="inlineStr">
        <is>
          <t>MCP Client Adapter</t>
        </is>
      </c>
      <c r="C93" s="11" t="inlineStr">
        <is>
          <t>S6</t>
        </is>
      </c>
      <c r="D93" s="11" t="inlineStr">
        <is>
          <t>ABB</t>
        </is>
      </c>
      <c r="E93" s="47" t="inlineStr">
        <is>
          <t>required-enabler</t>
        </is>
      </c>
      <c r="F93" s="46" t="inlineStr">
        <is>
          <t>4.5</t>
        </is>
      </c>
      <c r="G93" s="46" t="inlineStr">
        <is>
          <t>4.5.3</t>
        </is>
      </c>
      <c r="H93" s="19">
        <f>IF(COUNTIFS($A$2:A93,A93,$F$2:F93,F93)=1,1,0)</f>
        <v/>
      </c>
      <c r="I93" s="19">
        <f>IF(AND(OR(E93="required-enabler",E93="optional-enabler"),COUNTIFS($A$2:A93,A93,$F$2:F93,F93,$E$2:E93,E93)=1),1,0)</f>
        <v/>
      </c>
    </row>
    <row r="94">
      <c r="A94" s="46" t="inlineStr">
        <is>
          <t>S6.4</t>
        </is>
      </c>
      <c r="B94" s="15" t="inlineStr">
        <is>
          <t>MCP Client Adapter</t>
        </is>
      </c>
      <c r="C94" s="11" t="inlineStr">
        <is>
          <t>S6</t>
        </is>
      </c>
      <c r="D94" s="11" t="inlineStr">
        <is>
          <t>ABB</t>
        </is>
      </c>
      <c r="E94" s="47" t="inlineStr">
        <is>
          <t>required-enabler</t>
        </is>
      </c>
      <c r="F94" s="46" t="inlineStr">
        <is>
          <t>5.5</t>
        </is>
      </c>
      <c r="G94" s="46" t="inlineStr">
        <is>
          <t>5.5.4</t>
        </is>
      </c>
      <c r="H94" s="19">
        <f>IF(COUNTIFS($A$2:A94,A94,$F$2:F94,F94)=1,1,0)</f>
        <v/>
      </c>
      <c r="I94" s="19">
        <f>IF(AND(OR(E94="required-enabler",E94="optional-enabler"),COUNTIFS($A$2:A94,A94,$F$2:F94,F94,$E$2:E94,E94)=1),1,0)</f>
        <v/>
      </c>
    </row>
    <row r="95">
      <c r="A95" s="46" t="inlineStr">
        <is>
          <t>S6.5</t>
        </is>
      </c>
      <c r="B95" s="15" t="inlineStr">
        <is>
          <t>MCP Gateway</t>
        </is>
      </c>
      <c r="C95" s="11" t="inlineStr">
        <is>
          <t>S6</t>
        </is>
      </c>
      <c r="D95" s="11" t="inlineStr">
        <is>
          <t>SVC</t>
        </is>
      </c>
      <c r="E95" s="47" t="inlineStr">
        <is>
          <t>required-enabler</t>
        </is>
      </c>
      <c r="F95" s="46" t="inlineStr">
        <is>
          <t>5.2</t>
        </is>
      </c>
      <c r="G95" s="46" t="inlineStr">
        <is>
          <t>5.2.2</t>
        </is>
      </c>
      <c r="H95" s="19">
        <f>IF(COUNTIFS($A$2:A95,A95,$F$2:F95,F95)=1,1,0)</f>
        <v/>
      </c>
      <c r="I95" s="19">
        <f>IF(AND(OR(E95="required-enabler",E95="optional-enabler"),COUNTIFS($A$2:A95,A95,$F$2:F95,F95,$E$2:E95,E95)=1),1,0)</f>
        <v/>
      </c>
    </row>
    <row r="96">
      <c r="A96" s="46" t="inlineStr">
        <is>
          <t>S6.5</t>
        </is>
      </c>
      <c r="B96" s="15" t="inlineStr">
        <is>
          <t>MCP Gateway</t>
        </is>
      </c>
      <c r="C96" s="11" t="inlineStr">
        <is>
          <t>S6</t>
        </is>
      </c>
      <c r="D96" s="11" t="inlineStr">
        <is>
          <t>SVC</t>
        </is>
      </c>
      <c r="E96" s="47" t="inlineStr">
        <is>
          <t>required-enabler</t>
        </is>
      </c>
      <c r="F96" s="46" t="inlineStr">
        <is>
          <t>5.5</t>
        </is>
      </c>
      <c r="G96" s="46" t="inlineStr">
        <is>
          <t>5.5.3</t>
        </is>
      </c>
      <c r="H96" s="19">
        <f>IF(COUNTIFS($A$2:A96,A96,$F$2:F96,F96)=1,1,0)</f>
        <v/>
      </c>
      <c r="I96" s="19">
        <f>IF(AND(OR(E96="required-enabler",E96="optional-enabler"),COUNTIFS($A$2:A96,A96,$F$2:F96,F96,$E$2:E96,E96)=1),1,0)</f>
        <v/>
      </c>
    </row>
    <row r="97">
      <c r="A97" s="46" t="inlineStr">
        <is>
          <t>S6.5</t>
        </is>
      </c>
      <c r="B97" s="15" t="inlineStr">
        <is>
          <t>MCP Gateway</t>
        </is>
      </c>
      <c r="C97" s="11" t="inlineStr">
        <is>
          <t>S6</t>
        </is>
      </c>
      <c r="D97" s="11" t="inlineStr">
        <is>
          <t>SVC</t>
        </is>
      </c>
      <c r="E97" s="47" t="inlineStr">
        <is>
          <t>control-enforcer</t>
        </is>
      </c>
      <c r="F97" s="46" t="inlineStr">
        <is>
          <t>7.4</t>
        </is>
      </c>
      <c r="G97" s="46" t="inlineStr">
        <is>
          <t>7.4.5</t>
        </is>
      </c>
      <c r="H97" s="19">
        <f>IF(COUNTIFS($A$2:A97,A97,$F$2:F97,F97)=1,1,0)</f>
        <v/>
      </c>
      <c r="I97" s="19">
        <f>IF(AND(OR(E97="required-enabler",E97="optional-enabler"),COUNTIFS($A$2:A97,A97,$F$2:F97,F97,$E$2:E97,E97)=1),1,0)</f>
        <v/>
      </c>
    </row>
    <row r="98">
      <c r="A98" s="46" t="inlineStr">
        <is>
          <t>S6.6</t>
        </is>
      </c>
      <c r="B98" s="15" t="inlineStr">
        <is>
          <t>Approved Tool &amp; Server Registry</t>
        </is>
      </c>
      <c r="C98" s="11" t="inlineStr">
        <is>
          <t>S6</t>
        </is>
      </c>
      <c r="D98" s="11" t="inlineStr">
        <is>
          <t>ABB</t>
        </is>
      </c>
      <c r="E98" s="47" t="inlineStr">
        <is>
          <t>required-enabler</t>
        </is>
      </c>
      <c r="F98" s="46" t="inlineStr">
        <is>
          <t>5.5</t>
        </is>
      </c>
      <c r="G98" s="46" t="inlineStr">
        <is>
          <t>5.5.1</t>
        </is>
      </c>
      <c r="H98" s="19">
        <f>IF(COUNTIFS($A$2:A98,A98,$F$2:F98,F98)=1,1,0)</f>
        <v/>
      </c>
      <c r="I98" s="19">
        <f>IF(AND(OR(E98="required-enabler",E98="optional-enabler"),COUNTIFS($A$2:A98,A98,$F$2:F98,F98,$E$2:E98,E98)=1),1,0)</f>
        <v/>
      </c>
    </row>
    <row r="99">
      <c r="A99" s="46" t="inlineStr">
        <is>
          <t>S6.6</t>
        </is>
      </c>
      <c r="B99" s="15" t="inlineStr">
        <is>
          <t>Approved Tool &amp; Server Registry</t>
        </is>
      </c>
      <c r="C99" s="11" t="inlineStr">
        <is>
          <t>S6</t>
        </is>
      </c>
      <c r="D99" s="11" t="inlineStr">
        <is>
          <t>ABB</t>
        </is>
      </c>
      <c r="E99" s="47" t="inlineStr">
        <is>
          <t>required-enabler</t>
        </is>
      </c>
      <c r="F99" s="46" t="inlineStr">
        <is>
          <t>5.5</t>
        </is>
      </c>
      <c r="G99" s="46" t="inlineStr">
        <is>
          <t>5.5.2</t>
        </is>
      </c>
      <c r="H99" s="19">
        <f>IF(COUNTIFS($A$2:A99,A99,$F$2:F99,F99)=1,1,0)</f>
        <v/>
      </c>
      <c r="I99" s="19">
        <f>IF(AND(OR(E99="required-enabler",E99="optional-enabler"),COUNTIFS($A$2:A99,A99,$F$2:F99,F99,$E$2:E99,E99)=1),1,0)</f>
        <v/>
      </c>
    </row>
    <row r="100">
      <c r="A100" s="46" t="inlineStr">
        <is>
          <t>S6.7</t>
        </is>
      </c>
      <c r="B100" s="15" t="inlineStr">
        <is>
          <t>Third-Party Connector Integration</t>
        </is>
      </c>
      <c r="C100" s="11" t="inlineStr">
        <is>
          <t>S6</t>
        </is>
      </c>
      <c r="D100" s="11" t="inlineStr">
        <is>
          <t>ABB</t>
        </is>
      </c>
      <c r="E100" s="47" t="inlineStr">
        <is>
          <t>required-enabler</t>
        </is>
      </c>
      <c r="F100" s="46" t="inlineStr">
        <is>
          <t>4.5</t>
        </is>
      </c>
      <c r="G100" s="46" t="inlineStr">
        <is>
          <t>4.5.1</t>
        </is>
      </c>
      <c r="H100" s="19">
        <f>IF(COUNTIFS($A$2:A100,A100,$F$2:F100,F100)=1,1,0)</f>
        <v/>
      </c>
      <c r="I100" s="19">
        <f>IF(AND(OR(E100="required-enabler",E100="optional-enabler"),COUNTIFS($A$2:A100,A100,$F$2:F100,F100,$E$2:E100,E100)=1),1,0)</f>
        <v/>
      </c>
    </row>
    <row r="101">
      <c r="A101" s="46" t="inlineStr">
        <is>
          <t>S6.7</t>
        </is>
      </c>
      <c r="B101" s="15" t="inlineStr">
        <is>
          <t>Third-Party Connector Integration</t>
        </is>
      </c>
      <c r="C101" s="11" t="inlineStr">
        <is>
          <t>S6</t>
        </is>
      </c>
      <c r="D101" s="11" t="inlineStr">
        <is>
          <t>ABB</t>
        </is>
      </c>
      <c r="E101" s="47" t="inlineStr">
        <is>
          <t>required-enabler</t>
        </is>
      </c>
      <c r="F101" s="46" t="inlineStr">
        <is>
          <t>5.5</t>
        </is>
      </c>
      <c r="G101" s="46" t="inlineStr">
        <is>
          <t>5.5.4</t>
        </is>
      </c>
      <c r="H101" s="19">
        <f>IF(COUNTIFS($A$2:A101,A101,$F$2:F101,F101)=1,1,0)</f>
        <v/>
      </c>
      <c r="I101" s="19">
        <f>IF(AND(OR(E101="required-enabler",E101="optional-enabler"),COUNTIFS($A$2:A101,A101,$F$2:F101,F101,$E$2:E101,E101)=1),1,0)</f>
        <v/>
      </c>
    </row>
    <row r="102">
      <c r="A102" s="46" t="inlineStr">
        <is>
          <t>S6.8</t>
        </is>
      </c>
      <c r="B102" s="15" t="inlineStr">
        <is>
          <t>Identity Propagation &amp; Delegated Authorization</t>
        </is>
      </c>
      <c r="C102" s="11" t="inlineStr">
        <is>
          <t>S6</t>
        </is>
      </c>
      <c r="D102" s="11" t="inlineStr">
        <is>
          <t>SVC</t>
        </is>
      </c>
      <c r="E102" s="47" t="inlineStr">
        <is>
          <t>required-enabler</t>
        </is>
      </c>
      <c r="F102" s="46" t="inlineStr">
        <is>
          <t>4.5</t>
        </is>
      </c>
      <c r="G102" s="46" t="inlineStr">
        <is>
          <t>4.5.4</t>
        </is>
      </c>
      <c r="H102" s="19">
        <f>IF(COUNTIFS($A$2:A102,A102,$F$2:F102,F102)=1,1,0)</f>
        <v/>
      </c>
      <c r="I102" s="19">
        <f>IF(AND(OR(E102="required-enabler",E102="optional-enabler"),COUNTIFS($A$2:A102,A102,$F$2:F102,F102,$E$2:E102,E102)=1),1,0)</f>
        <v/>
      </c>
    </row>
    <row r="103">
      <c r="A103" s="46" t="inlineStr">
        <is>
          <t>S6.8</t>
        </is>
      </c>
      <c r="B103" s="15" t="inlineStr">
        <is>
          <t>Identity Propagation &amp; Delegated Authorization</t>
        </is>
      </c>
      <c r="C103" s="11" t="inlineStr">
        <is>
          <t>S6</t>
        </is>
      </c>
      <c r="D103" s="11" t="inlineStr">
        <is>
          <t>SVC</t>
        </is>
      </c>
      <c r="E103" s="47" t="inlineStr">
        <is>
          <t>control-enforcer</t>
        </is>
      </c>
      <c r="F103" s="46" t="inlineStr">
        <is>
          <t>7.4</t>
        </is>
      </c>
      <c r="G103" s="46" t="inlineStr">
        <is>
          <t>7.4.5</t>
        </is>
      </c>
      <c r="H103" s="19">
        <f>IF(COUNTIFS($A$2:A103,A103,$F$2:F103,F103)=1,1,0)</f>
        <v/>
      </c>
      <c r="I103" s="19">
        <f>IF(AND(OR(E103="required-enabler",E103="optional-enabler"),COUNTIFS($A$2:A103,A103,$F$2:F103,F103,$E$2:E103,E103)=1),1,0)</f>
        <v/>
      </c>
    </row>
    <row r="104">
      <c r="A104" s="46" t="inlineStr">
        <is>
          <t>S6.9</t>
        </is>
      </c>
      <c r="B104" s="15" t="inlineStr">
        <is>
          <t>Agent Identity &amp; Credential Issuance</t>
        </is>
      </c>
      <c r="C104" s="11" t="inlineStr">
        <is>
          <t>S6</t>
        </is>
      </c>
      <c r="D104" s="11" t="inlineStr">
        <is>
          <t>ABB</t>
        </is>
      </c>
      <c r="E104" s="47" t="inlineStr">
        <is>
          <t>control-enforcer</t>
        </is>
      </c>
      <c r="F104" s="46" t="inlineStr">
        <is>
          <t>7.4</t>
        </is>
      </c>
      <c r="G104" s="46" t="inlineStr">
        <is>
          <t>7.4.4</t>
        </is>
      </c>
      <c r="H104" s="19">
        <f>IF(COUNTIFS($A$2:A104,A104,$F$2:F104,F104)=1,1,0)</f>
        <v/>
      </c>
      <c r="I104" s="19">
        <f>IF(AND(OR(E104="required-enabler",E104="optional-enabler"),COUNTIFS($A$2:A104,A104,$F$2:F104,F104,$E$2:E104,E104)=1),1,0)</f>
        <v/>
      </c>
    </row>
    <row r="105">
      <c r="A105" s="46" t="inlineStr">
        <is>
          <t>S6.9</t>
        </is>
      </c>
      <c r="B105" s="15" t="inlineStr">
        <is>
          <t>Agent Identity &amp; Credential Issuance</t>
        </is>
      </c>
      <c r="C105" s="11" t="inlineStr">
        <is>
          <t>S6</t>
        </is>
      </c>
      <c r="D105" s="11" t="inlineStr">
        <is>
          <t>ABB</t>
        </is>
      </c>
      <c r="E105" s="47" t="inlineStr">
        <is>
          <t>control-enforcer</t>
        </is>
      </c>
      <c r="F105" s="46" t="inlineStr">
        <is>
          <t>7.7</t>
        </is>
      </c>
      <c r="G105" s="46" t="inlineStr">
        <is>
          <t>7.7.2</t>
        </is>
      </c>
      <c r="H105" s="19">
        <f>IF(COUNTIFS($A$2:A105,A105,$F$2:F105,F105)=1,1,0)</f>
        <v/>
      </c>
      <c r="I105" s="19">
        <f>IF(AND(OR(E105="required-enabler",E105="optional-enabler"),COUNTIFS($A$2:A105,A105,$F$2:F105,F105,$E$2:E105,E105)=1),1,0)</f>
        <v/>
      </c>
    </row>
    <row r="106">
      <c r="A106" s="46" t="inlineStr">
        <is>
          <t>S6.10</t>
        </is>
      </c>
      <c r="B106" s="15" t="inlineStr">
        <is>
          <t>Rate Limiting, Quota &amp; Throttling</t>
        </is>
      </c>
      <c r="C106" s="11" t="inlineStr">
        <is>
          <t>S6</t>
        </is>
      </c>
      <c r="D106" s="11" t="inlineStr">
        <is>
          <t>ABB</t>
        </is>
      </c>
      <c r="E106" s="47" t="inlineStr">
        <is>
          <t>required-enabler</t>
        </is>
      </c>
      <c r="F106" s="46" t="inlineStr">
        <is>
          <t>5.2</t>
        </is>
      </c>
      <c r="G106" s="46" t="inlineStr">
        <is>
          <t>5.2.3</t>
        </is>
      </c>
      <c r="H106" s="19">
        <f>IF(COUNTIFS($A$2:A106,A106,$F$2:F106,F106)=1,1,0)</f>
        <v/>
      </c>
      <c r="I106" s="19">
        <f>IF(AND(OR(E106="required-enabler",E106="optional-enabler"),COUNTIFS($A$2:A106,A106,$F$2:F106,F106,$E$2:E106,E106)=1),1,0)</f>
        <v/>
      </c>
    </row>
    <row r="107">
      <c r="A107" s="46" t="inlineStr">
        <is>
          <t>S6.10</t>
        </is>
      </c>
      <c r="B107" s="15" t="inlineStr">
        <is>
          <t>Rate Limiting, Quota &amp; Throttling</t>
        </is>
      </c>
      <c r="C107" s="11" t="inlineStr">
        <is>
          <t>S6</t>
        </is>
      </c>
      <c r="D107" s="11" t="inlineStr">
        <is>
          <t>ABB</t>
        </is>
      </c>
      <c r="E107" s="47" t="inlineStr">
        <is>
          <t>required-enabler</t>
        </is>
      </c>
      <c r="F107" s="46" t="inlineStr">
        <is>
          <t>6.5</t>
        </is>
      </c>
      <c r="G107" s="46" t="inlineStr">
        <is>
          <t>6.5.2</t>
        </is>
      </c>
      <c r="H107" s="19">
        <f>IF(COUNTIFS($A$2:A107,A107,$F$2:F107,F107)=1,1,0)</f>
        <v/>
      </c>
      <c r="I107" s="19">
        <f>IF(AND(OR(E107="required-enabler",E107="optional-enabler"),COUNTIFS($A$2:A107,A107,$F$2:F107,F107,$E$2:E107,E107)=1),1,0)</f>
        <v/>
      </c>
    </row>
    <row r="108">
      <c r="A108" s="46" t="inlineStr">
        <is>
          <t>S6.11</t>
        </is>
      </c>
      <c r="B108" s="15" t="inlineStr">
        <is>
          <t>Semantic &amp; Prompt Caching</t>
        </is>
      </c>
      <c r="C108" s="11" t="inlineStr">
        <is>
          <t>S6</t>
        </is>
      </c>
      <c r="D108" s="11" t="inlineStr">
        <is>
          <t>ABB</t>
        </is>
      </c>
      <c r="E108" s="47" t="inlineStr">
        <is>
          <t>operational-support</t>
        </is>
      </c>
      <c r="F108" s="46" t="inlineStr">
        <is>
          <t>6.5</t>
        </is>
      </c>
      <c r="G108" s="46" t="inlineStr">
        <is>
          <t>6.5.4</t>
        </is>
      </c>
      <c r="H108" s="19">
        <f>IF(COUNTIFS($A$2:A108,A108,$F$2:F108,F108)=1,1,0)</f>
        <v/>
      </c>
      <c r="I108" s="19">
        <f>IF(AND(OR(E108="required-enabler",E108="optional-enabler"),COUNTIFS($A$2:A108,A108,$F$2:F108,F108,$E$2:E108,E108)=1),1,0)</f>
        <v/>
      </c>
    </row>
    <row r="109">
      <c r="A109" s="46" t="inlineStr">
        <is>
          <t>S6.11</t>
        </is>
      </c>
      <c r="B109" s="15" t="inlineStr">
        <is>
          <t>Semantic &amp; Prompt Caching</t>
        </is>
      </c>
      <c r="C109" s="11" t="inlineStr">
        <is>
          <t>S6</t>
        </is>
      </c>
      <c r="D109" s="11" t="inlineStr">
        <is>
          <t>ABB</t>
        </is>
      </c>
      <c r="E109" s="47" t="inlineStr">
        <is>
          <t>required-enabler</t>
        </is>
      </c>
      <c r="F109" s="46" t="inlineStr">
        <is>
          <t>5.2</t>
        </is>
      </c>
      <c r="G109" s="46" t="inlineStr">
        <is>
          <t>5.2.2</t>
        </is>
      </c>
      <c r="H109" s="19">
        <f>IF(COUNTIFS($A$2:A109,A109,$F$2:F109,F109)=1,1,0)</f>
        <v/>
      </c>
      <c r="I109" s="19">
        <f>IF(AND(OR(E109="required-enabler",E109="optional-enabler"),COUNTIFS($A$2:A109,A109,$F$2:F109,F109,$E$2:E109,E109)=1),1,0)</f>
        <v/>
      </c>
    </row>
    <row r="110">
      <c r="A110" s="46" t="inlineStr">
        <is>
          <t>S6.12</t>
        </is>
      </c>
      <c r="B110" s="15" t="inlineStr">
        <is>
          <t>Event &amp; Message Integration</t>
        </is>
      </c>
      <c r="C110" s="11" t="inlineStr">
        <is>
          <t>S6</t>
        </is>
      </c>
      <c r="D110" s="11" t="inlineStr">
        <is>
          <t>ABB</t>
        </is>
      </c>
      <c r="E110" s="47" t="inlineStr">
        <is>
          <t>required-enabler</t>
        </is>
      </c>
      <c r="F110" s="46" t="inlineStr">
        <is>
          <t>4.5</t>
        </is>
      </c>
      <c r="G110" s="46" t="inlineStr">
        <is>
          <t>4.5.1</t>
        </is>
      </c>
      <c r="H110" s="19">
        <f>IF(COUNTIFS($A$2:A110,A110,$F$2:F110,F110)=1,1,0)</f>
        <v/>
      </c>
      <c r="I110" s="19">
        <f>IF(AND(OR(E110="required-enabler",E110="optional-enabler"),COUNTIFS($A$2:A110,A110,$F$2:F110,F110,$E$2:E110,E110)=1),1,0)</f>
        <v/>
      </c>
    </row>
    <row r="111">
      <c r="A111" s="46" t="inlineStr">
        <is>
          <t>S6.13</t>
        </is>
      </c>
      <c r="B111" s="15" t="inlineStr">
        <is>
          <t>Business Capability API Exposure</t>
        </is>
      </c>
      <c r="C111" s="11" t="inlineStr">
        <is>
          <t>S6</t>
        </is>
      </c>
      <c r="D111" s="11" t="inlineStr">
        <is>
          <t>ABB</t>
        </is>
      </c>
      <c r="E111" s="47" t="inlineStr">
        <is>
          <t>required-enabler</t>
        </is>
      </c>
      <c r="F111" s="46" t="inlineStr">
        <is>
          <t>4.5</t>
        </is>
      </c>
      <c r="G111" s="46" t="inlineStr">
        <is>
          <t>4.5.1</t>
        </is>
      </c>
      <c r="H111" s="19">
        <f>IF(COUNTIFS($A$2:A111,A111,$F$2:F111,F111)=1,1,0)</f>
        <v/>
      </c>
      <c r="I111" s="19">
        <f>IF(AND(OR(E111="required-enabler",E111="optional-enabler"),COUNTIFS($A$2:A111,A111,$F$2:F111,F111,$E$2:E111,E111)=1),1,0)</f>
        <v/>
      </c>
    </row>
    <row r="112">
      <c r="A112" s="46" t="inlineStr">
        <is>
          <t>S6.13</t>
        </is>
      </c>
      <c r="B112" s="15" t="inlineStr">
        <is>
          <t>Business Capability API Exposure</t>
        </is>
      </c>
      <c r="C112" s="11" t="inlineStr">
        <is>
          <t>S6</t>
        </is>
      </c>
      <c r="D112" s="11" t="inlineStr">
        <is>
          <t>ABB</t>
        </is>
      </c>
      <c r="E112" s="47" t="inlineStr">
        <is>
          <t>required-enabler</t>
        </is>
      </c>
      <c r="F112" s="46" t="inlineStr">
        <is>
          <t>4.5</t>
        </is>
      </c>
      <c r="G112" s="46" t="inlineStr">
        <is>
          <t>4.5.5</t>
        </is>
      </c>
      <c r="H112" s="19">
        <f>IF(COUNTIFS($A$2:A112,A112,$F$2:F112,F112)=1,1,0)</f>
        <v/>
      </c>
      <c r="I112" s="19">
        <f>IF(AND(OR(E112="required-enabler",E112="optional-enabler"),COUNTIFS($A$2:A112,A112,$F$2:F112,F112,$E$2:E112,E112)=1),1,0)</f>
        <v/>
      </c>
    </row>
    <row r="113">
      <c r="A113" s="46" t="inlineStr">
        <is>
          <t>S6.14</t>
        </is>
      </c>
      <c r="B113" s="15" t="inlineStr">
        <is>
          <t>Brokered External Federation Pattern</t>
        </is>
      </c>
      <c r="C113" s="11" t="inlineStr">
        <is>
          <t>S6</t>
        </is>
      </c>
      <c r="D113" s="11" t="inlineStr">
        <is>
          <t>PAT</t>
        </is>
      </c>
      <c r="E113" s="47" t="inlineStr">
        <is>
          <t>required-enabler</t>
        </is>
      </c>
      <c r="F113" s="46" t="inlineStr">
        <is>
          <t>5.5</t>
        </is>
      </c>
      <c r="G113" s="46" t="inlineStr">
        <is>
          <t>5.5.3</t>
        </is>
      </c>
      <c r="H113" s="19">
        <f>IF(COUNTIFS($A$2:A113,A113,$F$2:F113,F113)=1,1,0)</f>
        <v/>
      </c>
      <c r="I113" s="19">
        <f>IF(AND(OR(E113="required-enabler",E113="optional-enabler"),COUNTIFS($A$2:A113,A113,$F$2:F113,F113,$E$2:E113,E113)=1),1,0)</f>
        <v/>
      </c>
    </row>
    <row r="114">
      <c r="A114" s="46" t="inlineStr">
        <is>
          <t>S6.14</t>
        </is>
      </c>
      <c r="B114" s="15" t="inlineStr">
        <is>
          <t>Brokered External Federation Pattern</t>
        </is>
      </c>
      <c r="C114" s="11" t="inlineStr">
        <is>
          <t>S6</t>
        </is>
      </c>
      <c r="D114" s="11" t="inlineStr">
        <is>
          <t>PAT</t>
        </is>
      </c>
      <c r="E114" s="47" t="inlineStr">
        <is>
          <t>control-enforcer</t>
        </is>
      </c>
      <c r="F114" s="46" t="inlineStr">
        <is>
          <t>7.4</t>
        </is>
      </c>
      <c r="G114" s="46" t="inlineStr">
        <is>
          <t>7.4.5</t>
        </is>
      </c>
      <c r="H114" s="19">
        <f>IF(COUNTIFS($A$2:A114,A114,$F$2:F114,F114)=1,1,0)</f>
        <v/>
      </c>
      <c r="I114" s="19">
        <f>IF(AND(OR(E114="required-enabler",E114="optional-enabler"),COUNTIFS($A$2:A114,A114,$F$2:F114,F114,$E$2:E114,E114)=1),1,0)</f>
        <v/>
      </c>
    </row>
    <row r="115">
      <c r="A115" s="46" t="inlineStr">
        <is>
          <t>S6.15</t>
        </is>
      </c>
      <c r="B115" s="15" t="inlineStr">
        <is>
          <t>Agent &amp; Skill Discovery Catalog</t>
        </is>
      </c>
      <c r="C115" s="11" t="inlineStr">
        <is>
          <t>S6</t>
        </is>
      </c>
      <c r="D115" s="11" t="inlineStr">
        <is>
          <t>ABB</t>
        </is>
      </c>
      <c r="E115" s="47" t="inlineStr">
        <is>
          <t>control-enforcer</t>
        </is>
      </c>
      <c r="F115" s="46" t="inlineStr">
        <is>
          <t>7.7</t>
        </is>
      </c>
      <c r="G115" s="46" t="inlineStr">
        <is>
          <t>7.7.2</t>
        </is>
      </c>
      <c r="H115" s="19">
        <f>IF(COUNTIFS($A$2:A115,A115,$F$2:F115,F115)=1,1,0)</f>
        <v/>
      </c>
      <c r="I115" s="19">
        <f>IF(AND(OR(E115="required-enabler",E115="optional-enabler"),COUNTIFS($A$2:A115,A115,$F$2:F115,F115,$E$2:E115,E115)=1),1,0)</f>
        <v/>
      </c>
    </row>
    <row r="116">
      <c r="A116" s="46" t="inlineStr">
        <is>
          <t>S6.15</t>
        </is>
      </c>
      <c r="B116" s="15" t="inlineStr">
        <is>
          <t>Agent &amp; Skill Discovery Catalog</t>
        </is>
      </c>
      <c r="C116" s="11" t="inlineStr">
        <is>
          <t>S6</t>
        </is>
      </c>
      <c r="D116" s="11" t="inlineStr">
        <is>
          <t>ABB</t>
        </is>
      </c>
      <c r="E116" s="47" t="inlineStr">
        <is>
          <t>required-enabler</t>
        </is>
      </c>
      <c r="F116" s="46" t="inlineStr">
        <is>
          <t>5.6</t>
        </is>
      </c>
      <c r="G116" s="46" t="inlineStr">
        <is>
          <t>5.6.4</t>
        </is>
      </c>
      <c r="H116" s="19">
        <f>IF(COUNTIFS($A$2:A116,A116,$F$2:F116,F116)=1,1,0)</f>
        <v/>
      </c>
      <c r="I116" s="19">
        <f>IF(AND(OR(E116="required-enabler",E116="optional-enabler"),COUNTIFS($A$2:A116,A116,$F$2:F116,F116,$E$2:E116,E116)=1),1,0)</f>
        <v/>
      </c>
    </row>
    <row r="117">
      <c r="A117" s="46" t="inlineStr">
        <is>
          <t>S7.1</t>
        </is>
      </c>
      <c r="B117" s="15" t="inlineStr">
        <is>
          <t>Input Content Filtering</t>
        </is>
      </c>
      <c r="C117" s="11" t="inlineStr">
        <is>
          <t>S7</t>
        </is>
      </c>
      <c r="D117" s="11" t="inlineStr">
        <is>
          <t>SVC</t>
        </is>
      </c>
      <c r="E117" s="47" t="inlineStr">
        <is>
          <t>control-enforcer</t>
        </is>
      </c>
      <c r="F117" s="46" t="inlineStr">
        <is>
          <t>7.4</t>
        </is>
      </c>
      <c r="G117" s="46" t="inlineStr">
        <is>
          <t>7.4.6</t>
        </is>
      </c>
      <c r="H117" s="19">
        <f>IF(COUNTIFS($A$2:A117,A117,$F$2:F117,F117)=1,1,0)</f>
        <v/>
      </c>
      <c r="I117" s="19">
        <f>IF(AND(OR(E117="required-enabler",E117="optional-enabler"),COUNTIFS($A$2:A117,A117,$F$2:F117,F117,$E$2:E117,E117)=1),1,0)</f>
        <v/>
      </c>
    </row>
    <row r="118">
      <c r="A118" s="46" t="inlineStr">
        <is>
          <t>S7.1</t>
        </is>
      </c>
      <c r="B118" s="15" t="inlineStr">
        <is>
          <t>Input Content Filtering</t>
        </is>
      </c>
      <c r="C118" s="11" t="inlineStr">
        <is>
          <t>S7</t>
        </is>
      </c>
      <c r="D118" s="11" t="inlineStr">
        <is>
          <t>SVC</t>
        </is>
      </c>
      <c r="E118" s="47" t="inlineStr">
        <is>
          <t>control-enforcer</t>
        </is>
      </c>
      <c r="F118" s="46" t="inlineStr">
        <is>
          <t>7.2</t>
        </is>
      </c>
      <c r="G118" s="46" t="inlineStr">
        <is>
          <t>7.2.1</t>
        </is>
      </c>
      <c r="H118" s="19">
        <f>IF(COUNTIFS($A$2:A118,A118,$F$2:F118,F118)=1,1,0)</f>
        <v/>
      </c>
      <c r="I118" s="19">
        <f>IF(AND(OR(E118="required-enabler",E118="optional-enabler"),COUNTIFS($A$2:A118,A118,$F$2:F118,F118,$E$2:E118,E118)=1),1,0)</f>
        <v/>
      </c>
    </row>
    <row r="119">
      <c r="A119" s="46" t="inlineStr">
        <is>
          <t>S7.2</t>
        </is>
      </c>
      <c r="B119" s="15" t="inlineStr">
        <is>
          <t>Output Content Filtering</t>
        </is>
      </c>
      <c r="C119" s="11" t="inlineStr">
        <is>
          <t>S7</t>
        </is>
      </c>
      <c r="D119" s="11" t="inlineStr">
        <is>
          <t>SVC</t>
        </is>
      </c>
      <c r="E119" s="47" t="inlineStr">
        <is>
          <t>control-enforcer</t>
        </is>
      </c>
      <c r="F119" s="46" t="inlineStr">
        <is>
          <t>7.4</t>
        </is>
      </c>
      <c r="G119" s="46" t="inlineStr">
        <is>
          <t>7.4.6</t>
        </is>
      </c>
      <c r="H119" s="19">
        <f>IF(COUNTIFS($A$2:A119,A119,$F$2:F119,F119)=1,1,0)</f>
        <v/>
      </c>
      <c r="I119" s="19">
        <f>IF(AND(OR(E119="required-enabler",E119="optional-enabler"),COUNTIFS($A$2:A119,A119,$F$2:F119,F119,$E$2:E119,E119)=1),1,0)</f>
        <v/>
      </c>
    </row>
    <row r="120">
      <c r="A120" s="46" t="inlineStr">
        <is>
          <t>S7.3</t>
        </is>
      </c>
      <c r="B120" s="15" t="inlineStr">
        <is>
          <t>Sensitive Data Redaction &amp; Masking</t>
        </is>
      </c>
      <c r="C120" s="11" t="inlineStr">
        <is>
          <t>S7</t>
        </is>
      </c>
      <c r="D120" s="11" t="inlineStr">
        <is>
          <t>SVC</t>
        </is>
      </c>
      <c r="E120" s="47" t="inlineStr">
        <is>
          <t>control-enforcer</t>
        </is>
      </c>
      <c r="F120" s="46" t="inlineStr">
        <is>
          <t>7.5</t>
        </is>
      </c>
      <c r="G120" s="46" t="inlineStr">
        <is>
          <t>7.5.2</t>
        </is>
      </c>
      <c r="H120" s="19">
        <f>IF(COUNTIFS($A$2:A120,A120,$F$2:F120,F120)=1,1,0)</f>
        <v/>
      </c>
      <c r="I120" s="19">
        <f>IF(AND(OR(E120="required-enabler",E120="optional-enabler"),COUNTIFS($A$2:A120,A120,$F$2:F120,F120,$E$2:E120,E120)=1),1,0)</f>
        <v/>
      </c>
    </row>
    <row r="121">
      <c r="A121" s="46" t="inlineStr">
        <is>
          <t>S7.3</t>
        </is>
      </c>
      <c r="B121" s="15" t="inlineStr">
        <is>
          <t>Sensitive Data Redaction &amp; Masking</t>
        </is>
      </c>
      <c r="C121" s="11" t="inlineStr">
        <is>
          <t>S7</t>
        </is>
      </c>
      <c r="D121" s="11" t="inlineStr">
        <is>
          <t>SVC</t>
        </is>
      </c>
      <c r="E121" s="47" t="inlineStr">
        <is>
          <t>control-enforcer</t>
        </is>
      </c>
      <c r="F121" s="46" t="inlineStr">
        <is>
          <t>7.5</t>
        </is>
      </c>
      <c r="G121" s="46" t="inlineStr">
        <is>
          <t>7.5.4</t>
        </is>
      </c>
      <c r="H121" s="19">
        <f>IF(COUNTIFS($A$2:A121,A121,$F$2:F121,F121)=1,1,0)</f>
        <v/>
      </c>
      <c r="I121" s="19">
        <f>IF(AND(OR(E121="required-enabler",E121="optional-enabler"),COUNTIFS($A$2:A121,A121,$F$2:F121,F121,$E$2:E121,E121)=1),1,0)</f>
        <v/>
      </c>
    </row>
    <row r="122">
      <c r="A122" s="46" t="inlineStr">
        <is>
          <t>S7.3</t>
        </is>
      </c>
      <c r="B122" s="15" t="inlineStr">
        <is>
          <t>Sensitive Data Redaction &amp; Masking</t>
        </is>
      </c>
      <c r="C122" s="11" t="inlineStr">
        <is>
          <t>S7</t>
        </is>
      </c>
      <c r="D122" s="11" t="inlineStr">
        <is>
          <t>SVC</t>
        </is>
      </c>
      <c r="E122" s="47" t="inlineStr">
        <is>
          <t>control-enforcer</t>
        </is>
      </c>
      <c r="F122" s="46" t="inlineStr">
        <is>
          <t>3.1</t>
        </is>
      </c>
      <c r="G122" s="46" t="inlineStr">
        <is>
          <t>3.1.2</t>
        </is>
      </c>
      <c r="H122" s="19">
        <f>IF(COUNTIFS($A$2:A122,A122,$F$2:F122,F122)=1,1,0)</f>
        <v/>
      </c>
      <c r="I122" s="19">
        <f>IF(AND(OR(E122="required-enabler",E122="optional-enabler"),COUNTIFS($A$2:A122,A122,$F$2:F122,F122,$E$2:E122,E122)=1),1,0)</f>
        <v/>
      </c>
    </row>
    <row r="123">
      <c r="A123" s="46" t="inlineStr">
        <is>
          <t>S7.4</t>
        </is>
      </c>
      <c r="B123" s="15" t="inlineStr">
        <is>
          <t>Prompt Injection &amp; Jailbreak Detection</t>
        </is>
      </c>
      <c r="C123" s="11" t="inlineStr">
        <is>
          <t>S7</t>
        </is>
      </c>
      <c r="D123" s="11" t="inlineStr">
        <is>
          <t>SVC</t>
        </is>
      </c>
      <c r="E123" s="47" t="inlineStr">
        <is>
          <t>control-enforcer</t>
        </is>
      </c>
      <c r="F123" s="46" t="inlineStr">
        <is>
          <t>7.4</t>
        </is>
      </c>
      <c r="G123" s="46" t="inlineStr">
        <is>
          <t>7.4.3</t>
        </is>
      </c>
      <c r="H123" s="19">
        <f>IF(COUNTIFS($A$2:A123,A123,$F$2:F123,F123)=1,1,0)</f>
        <v/>
      </c>
      <c r="I123" s="19">
        <f>IF(AND(OR(E123="required-enabler",E123="optional-enabler"),COUNTIFS($A$2:A123,A123,$F$2:F123,F123,$E$2:E123,E123)=1),1,0)</f>
        <v/>
      </c>
    </row>
    <row r="124">
      <c r="A124" s="46" t="inlineStr">
        <is>
          <t>S7.5</t>
        </is>
      </c>
      <c r="B124" s="15" t="inlineStr">
        <is>
          <t>Groundedness &amp; Hallucination Detection</t>
        </is>
      </c>
      <c r="C124" s="11" t="inlineStr">
        <is>
          <t>S7</t>
        </is>
      </c>
      <c r="D124" s="11" t="inlineStr">
        <is>
          <t>SVC</t>
        </is>
      </c>
      <c r="E124" s="47" t="inlineStr">
        <is>
          <t>evidence-provider</t>
        </is>
      </c>
      <c r="F124" s="46" t="inlineStr">
        <is>
          <t>6.3</t>
        </is>
      </c>
      <c r="G124" s="46" t="inlineStr">
        <is>
          <t>6.3.1</t>
        </is>
      </c>
      <c r="H124" s="19">
        <f>IF(COUNTIFS($A$2:A124,A124,$F$2:F124,F124)=1,1,0)</f>
        <v/>
      </c>
      <c r="I124" s="19">
        <f>IF(AND(OR(E124="required-enabler",E124="optional-enabler"),COUNTIFS($A$2:A124,A124,$F$2:F124,F124,$E$2:E124,E124)=1),1,0)</f>
        <v/>
      </c>
    </row>
    <row r="125">
      <c r="A125" s="46" t="inlineStr">
        <is>
          <t>S7.5</t>
        </is>
      </c>
      <c r="B125" s="15" t="inlineStr">
        <is>
          <t>Groundedness &amp; Hallucination Detection</t>
        </is>
      </c>
      <c r="C125" s="11" t="inlineStr">
        <is>
          <t>S7</t>
        </is>
      </c>
      <c r="D125" s="11" t="inlineStr">
        <is>
          <t>SVC</t>
        </is>
      </c>
      <c r="E125" s="47" t="inlineStr">
        <is>
          <t>required-enabler</t>
        </is>
      </c>
      <c r="F125" s="46" t="inlineStr">
        <is>
          <t>3.6</t>
        </is>
      </c>
      <c r="G125" s="46" t="inlineStr">
        <is>
          <t>3.6.5</t>
        </is>
      </c>
      <c r="H125" s="19">
        <f>IF(COUNTIFS($A$2:A125,A125,$F$2:F125,F125)=1,1,0)</f>
        <v/>
      </c>
      <c r="I125" s="19">
        <f>IF(AND(OR(E125="required-enabler",E125="optional-enabler"),COUNTIFS($A$2:A125,A125,$F$2:F125,F125,$E$2:E125,E125)=1),1,0)</f>
        <v/>
      </c>
    </row>
    <row r="126">
      <c r="A126" s="46" t="inlineStr">
        <is>
          <t>S7.6</t>
        </is>
      </c>
      <c r="B126" s="15" t="inlineStr">
        <is>
          <t>Topic &amp; Scope Enforcement</t>
        </is>
      </c>
      <c r="C126" s="11" t="inlineStr">
        <is>
          <t>S7</t>
        </is>
      </c>
      <c r="D126" s="11" t="inlineStr">
        <is>
          <t>SVC</t>
        </is>
      </c>
      <c r="E126" s="47" t="inlineStr">
        <is>
          <t>control-enforcer</t>
        </is>
      </c>
      <c r="F126" s="46" t="inlineStr">
        <is>
          <t>7.1</t>
        </is>
      </c>
      <c r="G126" s="46" t="inlineStr">
        <is>
          <t>7.1.6</t>
        </is>
      </c>
      <c r="H126" s="19">
        <f>IF(COUNTIFS($A$2:A126,A126,$F$2:F126,F126)=1,1,0)</f>
        <v/>
      </c>
      <c r="I126" s="19">
        <f>IF(AND(OR(E126="required-enabler",E126="optional-enabler"),COUNTIFS($A$2:A126,A126,$F$2:F126,F126,$E$2:E126,E126)=1),1,0)</f>
        <v/>
      </c>
    </row>
    <row r="127">
      <c r="A127" s="46" t="inlineStr">
        <is>
          <t>S7.6</t>
        </is>
      </c>
      <c r="B127" s="15" t="inlineStr">
        <is>
          <t>Topic &amp; Scope Enforcement</t>
        </is>
      </c>
      <c r="C127" s="11" t="inlineStr">
        <is>
          <t>S7</t>
        </is>
      </c>
      <c r="D127" s="11" t="inlineStr">
        <is>
          <t>SVC</t>
        </is>
      </c>
      <c r="E127" s="47" t="inlineStr">
        <is>
          <t>control-enforcer</t>
        </is>
      </c>
      <c r="F127" s="46" t="inlineStr">
        <is>
          <t>4.4</t>
        </is>
      </c>
      <c r="G127" s="46" t="inlineStr">
        <is>
          <t>4.4.5</t>
        </is>
      </c>
      <c r="H127" s="19">
        <f>IF(COUNTIFS($A$2:A127,A127,$F$2:F127,F127)=1,1,0)</f>
        <v/>
      </c>
      <c r="I127" s="19">
        <f>IF(AND(OR(E127="required-enabler",E127="optional-enabler"),COUNTIFS($A$2:A127,A127,$F$2:F127,F127,$E$2:E127,E127)=1),1,0)</f>
        <v/>
      </c>
    </row>
    <row r="128">
      <c r="A128" s="46" t="inlineStr">
        <is>
          <t>S7.7</t>
        </is>
      </c>
      <c r="B128" s="15" t="inlineStr">
        <is>
          <t>Protected Material &amp; IP Leakage Detection</t>
        </is>
      </c>
      <c r="C128" s="11" t="inlineStr">
        <is>
          <t>S7</t>
        </is>
      </c>
      <c r="D128" s="11" t="inlineStr">
        <is>
          <t>SVC</t>
        </is>
      </c>
      <c r="E128" s="47" t="inlineStr">
        <is>
          <t>control-enforcer</t>
        </is>
      </c>
      <c r="F128" s="46" t="inlineStr">
        <is>
          <t>7.6</t>
        </is>
      </c>
      <c r="G128" s="46" t="inlineStr">
        <is>
          <t>7.6.3</t>
        </is>
      </c>
      <c r="H128" s="19">
        <f>IF(COUNTIFS($A$2:A128,A128,$F$2:F128,F128)=1,1,0)</f>
        <v/>
      </c>
      <c r="I128" s="19">
        <f>IF(AND(OR(E128="required-enabler",E128="optional-enabler"),COUNTIFS($A$2:A128,A128,$F$2:F128,F128,$E$2:E128,E128)=1),1,0)</f>
        <v/>
      </c>
    </row>
    <row r="129">
      <c r="A129" s="46" t="inlineStr">
        <is>
          <t>S7.7</t>
        </is>
      </c>
      <c r="B129" s="15" t="inlineStr">
        <is>
          <t>Protected Material &amp; IP Leakage Detection</t>
        </is>
      </c>
      <c r="C129" s="11" t="inlineStr">
        <is>
          <t>S7</t>
        </is>
      </c>
      <c r="D129" s="11" t="inlineStr">
        <is>
          <t>SVC</t>
        </is>
      </c>
      <c r="E129" s="47" t="inlineStr">
        <is>
          <t>control-enforcer</t>
        </is>
      </c>
      <c r="F129" s="46" t="inlineStr">
        <is>
          <t>7.5</t>
        </is>
      </c>
      <c r="G129" s="46" t="inlineStr">
        <is>
          <t>7.5.4</t>
        </is>
      </c>
      <c r="H129" s="19">
        <f>IF(COUNTIFS($A$2:A129,A129,$F$2:F129,F129)=1,1,0)</f>
        <v/>
      </c>
      <c r="I129" s="19">
        <f>IF(AND(OR(E129="required-enabler",E129="optional-enabler"),COUNTIFS($A$2:A129,A129,$F$2:F129,F129,$E$2:E129,E129)=1),1,0)</f>
        <v/>
      </c>
    </row>
    <row r="130">
      <c r="A130" s="46" t="inlineStr">
        <is>
          <t>S7.8</t>
        </is>
      </c>
      <c r="B130" s="15" t="inlineStr">
        <is>
          <t>Agent Action &amp; Task Adherence Monitoring</t>
        </is>
      </c>
      <c r="C130" s="11" t="inlineStr">
        <is>
          <t>S7</t>
        </is>
      </c>
      <c r="D130" s="11" t="inlineStr">
        <is>
          <t>SVC</t>
        </is>
      </c>
      <c r="E130" s="47" t="inlineStr">
        <is>
          <t>control-enforcer</t>
        </is>
      </c>
      <c r="F130" s="46" t="inlineStr">
        <is>
          <t>7.2</t>
        </is>
      </c>
      <c r="G130" s="46" t="inlineStr">
        <is>
          <t>7.2.3</t>
        </is>
      </c>
      <c r="H130" s="19">
        <f>IF(COUNTIFS($A$2:A130,A130,$F$2:F130,F130)=1,1,0)</f>
        <v/>
      </c>
      <c r="I130" s="19">
        <f>IF(AND(OR(E130="required-enabler",E130="optional-enabler"),COUNTIFS($A$2:A130,A130,$F$2:F130,F130,$E$2:E130,E130)=1),1,0)</f>
        <v/>
      </c>
    </row>
    <row r="131">
      <c r="A131" s="46" t="inlineStr">
        <is>
          <t>S7.8</t>
        </is>
      </c>
      <c r="B131" s="15" t="inlineStr">
        <is>
          <t>Agent Action &amp; Task Adherence Monitoring</t>
        </is>
      </c>
      <c r="C131" s="11" t="inlineStr">
        <is>
          <t>S7</t>
        </is>
      </c>
      <c r="D131" s="11" t="inlineStr">
        <is>
          <t>SVC</t>
        </is>
      </c>
      <c r="E131" s="47" t="inlineStr">
        <is>
          <t>control-enforcer</t>
        </is>
      </c>
      <c r="F131" s="46" t="inlineStr">
        <is>
          <t>6.2</t>
        </is>
      </c>
      <c r="G131" s="46" t="inlineStr">
        <is>
          <t>6.2.3</t>
        </is>
      </c>
      <c r="H131" s="19">
        <f>IF(COUNTIFS($A$2:A131,A131,$F$2:F131,F131)=1,1,0)</f>
        <v/>
      </c>
      <c r="I131" s="19">
        <f>IF(AND(OR(E131="required-enabler",E131="optional-enabler"),COUNTIFS($A$2:A131,A131,$F$2:F131,F131,$E$2:E131,E131)=1),1,0)</f>
        <v/>
      </c>
    </row>
    <row r="132">
      <c r="A132" s="46" t="inlineStr">
        <is>
          <t>S7.9</t>
        </is>
      </c>
      <c r="B132" s="15" t="inlineStr">
        <is>
          <t>Runtime Action Authorization &amp; Gating</t>
        </is>
      </c>
      <c r="C132" s="11" t="inlineStr">
        <is>
          <t>S7</t>
        </is>
      </c>
      <c r="D132" s="11" t="inlineStr">
        <is>
          <t>ABB</t>
        </is>
      </c>
      <c r="E132" s="47" t="inlineStr">
        <is>
          <t>control-enforcer</t>
        </is>
      </c>
      <c r="F132" s="46" t="inlineStr">
        <is>
          <t>7.4</t>
        </is>
      </c>
      <c r="G132" s="46" t="inlineStr">
        <is>
          <t>7.4.5</t>
        </is>
      </c>
      <c r="H132" s="19">
        <f>IF(COUNTIFS($A$2:A132,A132,$F$2:F132,F132)=1,1,0)</f>
        <v/>
      </c>
      <c r="I132" s="19">
        <f>IF(AND(OR(E132="required-enabler",E132="optional-enabler"),COUNTIFS($A$2:A132,A132,$F$2:F132,F132,$E$2:E132,E132)=1),1,0)</f>
        <v/>
      </c>
    </row>
    <row r="133">
      <c r="A133" s="46" t="inlineStr">
        <is>
          <t>S7.9</t>
        </is>
      </c>
      <c r="B133" s="15" t="inlineStr">
        <is>
          <t>Runtime Action Authorization &amp; Gating</t>
        </is>
      </c>
      <c r="C133" s="11" t="inlineStr">
        <is>
          <t>S7</t>
        </is>
      </c>
      <c r="D133" s="11" t="inlineStr">
        <is>
          <t>ABB</t>
        </is>
      </c>
      <c r="E133" s="47" t="inlineStr">
        <is>
          <t>control-enforcer</t>
        </is>
      </c>
      <c r="F133" s="46" t="inlineStr">
        <is>
          <t>4.4</t>
        </is>
      </c>
      <c r="G133" s="46" t="inlineStr">
        <is>
          <t>4.4.5</t>
        </is>
      </c>
      <c r="H133" s="19">
        <f>IF(COUNTIFS($A$2:A133,A133,$F$2:F133,F133)=1,1,0)</f>
        <v/>
      </c>
      <c r="I133" s="19">
        <f>IF(AND(OR(E133="required-enabler",E133="optional-enabler"),COUNTIFS($A$2:A133,A133,$F$2:F133,F133,$E$2:E133,E133)=1),1,0)</f>
        <v/>
      </c>
    </row>
    <row r="134">
      <c r="A134" s="46" t="inlineStr">
        <is>
          <t>S7.10</t>
        </is>
      </c>
      <c r="B134" s="15" t="inlineStr">
        <is>
          <t>Output Provenance &amp; Watermarking</t>
        </is>
      </c>
      <c r="C134" s="11" t="inlineStr">
        <is>
          <t>S7</t>
        </is>
      </c>
      <c r="D134" s="11" t="inlineStr">
        <is>
          <t>ABB</t>
        </is>
      </c>
      <c r="E134" s="47" t="inlineStr">
        <is>
          <t>control-enforcer</t>
        </is>
      </c>
      <c r="F134" s="46" t="inlineStr">
        <is>
          <t>7.2</t>
        </is>
      </c>
      <c r="G134" s="46" t="inlineStr">
        <is>
          <t>7.2.2</t>
        </is>
      </c>
      <c r="H134" s="19">
        <f>IF(COUNTIFS($A$2:A134,A134,$F$2:F134,F134)=1,1,0)</f>
        <v/>
      </c>
      <c r="I134" s="19">
        <f>IF(AND(OR(E134="required-enabler",E134="optional-enabler"),COUNTIFS($A$2:A134,A134,$F$2:F134,F134,$E$2:E134,E134)=1),1,0)</f>
        <v/>
      </c>
    </row>
    <row r="135">
      <c r="A135" s="46" t="inlineStr">
        <is>
          <t>S7.10</t>
        </is>
      </c>
      <c r="B135" s="15" t="inlineStr">
        <is>
          <t>Output Provenance &amp; Watermarking</t>
        </is>
      </c>
      <c r="C135" s="11" t="inlineStr">
        <is>
          <t>S7</t>
        </is>
      </c>
      <c r="D135" s="11" t="inlineStr">
        <is>
          <t>ABB</t>
        </is>
      </c>
      <c r="E135" s="47" t="inlineStr">
        <is>
          <t>control-enforcer</t>
        </is>
      </c>
      <c r="F135" s="46" t="inlineStr">
        <is>
          <t>7.6</t>
        </is>
      </c>
      <c r="G135" s="46" t="inlineStr">
        <is>
          <t>7.6.4</t>
        </is>
      </c>
      <c r="H135" s="19">
        <f>IF(COUNTIFS($A$2:A135,A135,$F$2:F135,F135)=1,1,0)</f>
        <v/>
      </c>
      <c r="I135" s="19">
        <f>IF(AND(OR(E135="required-enabler",E135="optional-enabler"),COUNTIFS($A$2:A135,A135,$F$2:F135,F135,$E$2:E135,E135)=1),1,0)</f>
        <v/>
      </c>
    </row>
    <row r="136">
      <c r="A136" s="46" t="inlineStr">
        <is>
          <t>S7.11</t>
        </is>
      </c>
      <c r="B136" s="15" t="inlineStr">
        <is>
          <t>Abuse &amp; Unbounded-Consumption Detection</t>
        </is>
      </c>
      <c r="C136" s="11" t="inlineStr">
        <is>
          <t>S7</t>
        </is>
      </c>
      <c r="D136" s="11" t="inlineStr">
        <is>
          <t>ABB</t>
        </is>
      </c>
      <c r="E136" s="47" t="inlineStr">
        <is>
          <t>control-enforcer</t>
        </is>
      </c>
      <c r="F136" s="46" t="inlineStr">
        <is>
          <t>7.4</t>
        </is>
      </c>
      <c r="G136" s="46" t="inlineStr">
        <is>
          <t>7.4.7</t>
        </is>
      </c>
      <c r="H136" s="19">
        <f>IF(COUNTIFS($A$2:A136,A136,$F$2:F136,F136)=1,1,0)</f>
        <v/>
      </c>
      <c r="I136" s="19">
        <f>IF(AND(OR(E136="required-enabler",E136="optional-enabler"),COUNTIFS($A$2:A136,A136,$F$2:F136,F136,$E$2:E136,E136)=1),1,0)</f>
        <v/>
      </c>
    </row>
    <row r="137">
      <c r="A137" s="46" t="inlineStr">
        <is>
          <t>S7.11</t>
        </is>
      </c>
      <c r="B137" s="15" t="inlineStr">
        <is>
          <t>Abuse &amp; Unbounded-Consumption Detection</t>
        </is>
      </c>
      <c r="C137" s="11" t="inlineStr">
        <is>
          <t>S7</t>
        </is>
      </c>
      <c r="D137" s="11" t="inlineStr">
        <is>
          <t>ABB</t>
        </is>
      </c>
      <c r="E137" s="47" t="inlineStr">
        <is>
          <t>operational-support</t>
        </is>
      </c>
      <c r="F137" s="46" t="inlineStr">
        <is>
          <t>6.5</t>
        </is>
      </c>
      <c r="G137" s="46" t="inlineStr">
        <is>
          <t>6.5.1</t>
        </is>
      </c>
      <c r="H137" s="19">
        <f>IF(COUNTIFS($A$2:A137,A137,$F$2:F137,F137)=1,1,0)</f>
        <v/>
      </c>
      <c r="I137" s="19">
        <f>IF(AND(OR(E137="required-enabler",E137="optional-enabler"),COUNTIFS($A$2:A137,A137,$F$2:F137,F137,$E$2:E137,E137)=1),1,0)</f>
        <v/>
      </c>
    </row>
    <row r="138">
      <c r="A138" s="46" t="inlineStr">
        <is>
          <t>S7.12</t>
        </is>
      </c>
      <c r="B138" s="15" t="inlineStr">
        <is>
          <t>AI-Channel Data Loss Prevention</t>
        </is>
      </c>
      <c r="C138" s="11" t="inlineStr">
        <is>
          <t>S7</t>
        </is>
      </c>
      <c r="D138" s="11" t="inlineStr">
        <is>
          <t>ABB</t>
        </is>
      </c>
      <c r="E138" s="47" t="inlineStr">
        <is>
          <t>control-enforcer</t>
        </is>
      </c>
      <c r="F138" s="46" t="inlineStr">
        <is>
          <t>7.5</t>
        </is>
      </c>
      <c r="G138" s="46" t="inlineStr">
        <is>
          <t>7.5.4</t>
        </is>
      </c>
      <c r="H138" s="19">
        <f>IF(COUNTIFS($A$2:A138,A138,$F$2:F138,F138)=1,1,0)</f>
        <v/>
      </c>
      <c r="I138" s="19">
        <f>IF(AND(OR(E138="required-enabler",E138="optional-enabler"),COUNTIFS($A$2:A138,A138,$F$2:F138,F138,$E$2:E138,E138)=1),1,0)</f>
        <v/>
      </c>
    </row>
    <row r="139">
      <c r="A139" s="46" t="inlineStr">
        <is>
          <t>S7.12</t>
        </is>
      </c>
      <c r="B139" s="15" t="inlineStr">
        <is>
          <t>AI-Channel Data Loss Prevention</t>
        </is>
      </c>
      <c r="C139" s="11" t="inlineStr">
        <is>
          <t>S7</t>
        </is>
      </c>
      <c r="D139" s="11" t="inlineStr">
        <is>
          <t>ABB</t>
        </is>
      </c>
      <c r="E139" s="47" t="inlineStr">
        <is>
          <t>control-enforcer</t>
        </is>
      </c>
      <c r="F139" s="46" t="inlineStr">
        <is>
          <t>7.4</t>
        </is>
      </c>
      <c r="G139" s="46" t="inlineStr">
        <is>
          <t>7.4.6</t>
        </is>
      </c>
      <c r="H139" s="19">
        <f>IF(COUNTIFS($A$2:A139,A139,$F$2:F139,F139)=1,1,0)</f>
        <v/>
      </c>
      <c r="I139" s="19">
        <f>IF(AND(OR(E139="required-enabler",E139="optional-enabler"),COUNTIFS($A$2:A139,A139,$F$2:F139,F139,$E$2:E139,E139)=1),1,0)</f>
        <v/>
      </c>
    </row>
    <row r="140">
      <c r="A140" s="46" t="inlineStr">
        <is>
          <t>S7.13</t>
        </is>
      </c>
      <c r="B140" s="15" t="inlineStr">
        <is>
          <t>Emergency Stop &amp; Capability Revocation</t>
        </is>
      </c>
      <c r="C140" s="11" t="inlineStr">
        <is>
          <t>S7</t>
        </is>
      </c>
      <c r="D140" s="11" t="inlineStr">
        <is>
          <t>SVC</t>
        </is>
      </c>
      <c r="E140" s="47" t="inlineStr">
        <is>
          <t>control-enforcer</t>
        </is>
      </c>
      <c r="F140" s="46" t="inlineStr">
        <is>
          <t>6.4</t>
        </is>
      </c>
      <c r="G140" s="46" t="inlineStr">
        <is>
          <t>6.4.2</t>
        </is>
      </c>
      <c r="H140" s="19">
        <f>IF(COUNTIFS($A$2:A140,A140,$F$2:F140,F140)=1,1,0)</f>
        <v/>
      </c>
      <c r="I140" s="19">
        <f>IF(AND(OR(E140="required-enabler",E140="optional-enabler"),COUNTIFS($A$2:A140,A140,$F$2:F140,F140,$E$2:E140,E140)=1),1,0)</f>
        <v/>
      </c>
    </row>
    <row r="141">
      <c r="A141" s="46" t="inlineStr">
        <is>
          <t>S7.13</t>
        </is>
      </c>
      <c r="B141" s="15" t="inlineStr">
        <is>
          <t>Emergency Stop &amp; Capability Revocation</t>
        </is>
      </c>
      <c r="C141" s="11" t="inlineStr">
        <is>
          <t>S7</t>
        </is>
      </c>
      <c r="D141" s="11" t="inlineStr">
        <is>
          <t>SVC</t>
        </is>
      </c>
      <c r="E141" s="47" t="inlineStr">
        <is>
          <t>control-enforcer</t>
        </is>
      </c>
      <c r="F141" s="46" t="inlineStr">
        <is>
          <t>7.4</t>
        </is>
      </c>
      <c r="G141" s="46" t="inlineStr">
        <is>
          <t>7.4.4</t>
        </is>
      </c>
      <c r="H141" s="19">
        <f>IF(COUNTIFS($A$2:A141,A141,$F$2:F141,F141)=1,1,0)</f>
        <v/>
      </c>
      <c r="I141" s="19">
        <f>IF(AND(OR(E141="required-enabler",E141="optional-enabler"),COUNTIFS($A$2:A141,A141,$F$2:F141,F141,$E$2:E141,E141)=1),1,0)</f>
        <v/>
      </c>
    </row>
    <row r="142">
      <c r="A142" s="46" t="inlineStr">
        <is>
          <t>S7.13</t>
        </is>
      </c>
      <c r="B142" s="15" t="inlineStr">
        <is>
          <t>Emergency Stop &amp; Capability Revocation</t>
        </is>
      </c>
      <c r="C142" s="11" t="inlineStr">
        <is>
          <t>S7</t>
        </is>
      </c>
      <c r="D142" s="11" t="inlineStr">
        <is>
          <t>SVC</t>
        </is>
      </c>
      <c r="E142" s="47" t="inlineStr">
        <is>
          <t>control-enforcer</t>
        </is>
      </c>
      <c r="F142" s="46" t="inlineStr">
        <is>
          <t>5.5</t>
        </is>
      </c>
      <c r="G142" s="46" t="inlineStr">
        <is>
          <t>5.5.3</t>
        </is>
      </c>
      <c r="H142" s="19">
        <f>IF(COUNTIFS($A$2:A142,A142,$F$2:F142,F142)=1,1,0)</f>
        <v/>
      </c>
      <c r="I142" s="19">
        <f>IF(AND(OR(E142="required-enabler",E142="optional-enabler"),COUNTIFS($A$2:A142,A142,$F$2:F142,F142,$E$2:E142,E142)=1),1,0)</f>
        <v/>
      </c>
    </row>
    <row r="143">
      <c r="A143" s="46" t="inlineStr">
        <is>
          <t>S7.14</t>
        </is>
      </c>
      <c r="B143" s="15" t="inlineStr">
        <is>
          <t>Adversarial Test Harness</t>
        </is>
      </c>
      <c r="C143" s="11" t="inlineStr">
        <is>
          <t>S7</t>
        </is>
      </c>
      <c r="D143" s="11" t="inlineStr">
        <is>
          <t>SVC</t>
        </is>
      </c>
      <c r="E143" s="47" t="inlineStr">
        <is>
          <t>evidence-provider</t>
        </is>
      </c>
      <c r="F143" s="46" t="inlineStr">
        <is>
          <t>7.4</t>
        </is>
      </c>
      <c r="G143" s="46" t="inlineStr">
        <is>
          <t>7.4.7</t>
        </is>
      </c>
      <c r="H143" s="19">
        <f>IF(COUNTIFS($A$2:A143,A143,$F$2:F143,F143)=1,1,0)</f>
        <v/>
      </c>
      <c r="I143" s="19">
        <f>IF(AND(OR(E143="required-enabler",E143="optional-enabler"),COUNTIFS($A$2:A143,A143,$F$2:F143,F143,$E$2:E143,E143)=1),1,0)</f>
        <v/>
      </c>
    </row>
    <row r="144">
      <c r="A144" s="46" t="inlineStr">
        <is>
          <t>S7.14</t>
        </is>
      </c>
      <c r="B144" s="15" t="inlineStr">
        <is>
          <t>Adversarial Test Harness</t>
        </is>
      </c>
      <c r="C144" s="11" t="inlineStr">
        <is>
          <t>S7</t>
        </is>
      </c>
      <c r="D144" s="11" t="inlineStr">
        <is>
          <t>SVC</t>
        </is>
      </c>
      <c r="E144" s="47" t="inlineStr">
        <is>
          <t>operational-support</t>
        </is>
      </c>
      <c r="F144" s="46" t="inlineStr">
        <is>
          <t>7.4</t>
        </is>
      </c>
      <c r="G144" s="46" t="inlineStr">
        <is>
          <t>7.4.1</t>
        </is>
      </c>
      <c r="H144" s="19">
        <f>IF(COUNTIFS($A$2:A144,A144,$F$2:F144,F144)=1,1,0)</f>
        <v/>
      </c>
      <c r="I144" s="19">
        <f>IF(AND(OR(E144="required-enabler",E144="optional-enabler"),COUNTIFS($A$2:A144,A144,$F$2:F144,F144,$E$2:E144,E144)=1),1,0)</f>
        <v/>
      </c>
    </row>
    <row r="145">
      <c r="A145" s="46" t="inlineStr">
        <is>
          <t>S8.1</t>
        </is>
      </c>
      <c r="B145" s="15" t="inlineStr">
        <is>
          <t>Model Catalog &amp; Marketplace</t>
        </is>
      </c>
      <c r="C145" s="11" t="inlineStr">
        <is>
          <t>S8</t>
        </is>
      </c>
      <c r="D145" s="11" t="inlineStr">
        <is>
          <t>ABB</t>
        </is>
      </c>
      <c r="E145" s="47" t="inlineStr">
        <is>
          <t>required-enabler</t>
        </is>
      </c>
      <c r="F145" s="46" t="inlineStr">
        <is>
          <t>5.2</t>
        </is>
      </c>
      <c r="G145" s="46" t="inlineStr">
        <is>
          <t>5.2.1</t>
        </is>
      </c>
      <c r="H145" s="19">
        <f>IF(COUNTIFS($A$2:A145,A145,$F$2:F145,F145)=1,1,0)</f>
        <v/>
      </c>
      <c r="I145" s="19">
        <f>IF(AND(OR(E145="required-enabler",E145="optional-enabler"),COUNTIFS($A$2:A145,A145,$F$2:F145,F145,$E$2:E145,E145)=1),1,0)</f>
        <v/>
      </c>
    </row>
    <row r="146">
      <c r="A146" s="46" t="inlineStr">
        <is>
          <t>S8.1</t>
        </is>
      </c>
      <c r="B146" s="15" t="inlineStr">
        <is>
          <t>Model Catalog &amp; Marketplace</t>
        </is>
      </c>
      <c r="C146" s="11" t="inlineStr">
        <is>
          <t>S8</t>
        </is>
      </c>
      <c r="D146" s="11" t="inlineStr">
        <is>
          <t>ABB</t>
        </is>
      </c>
      <c r="E146" s="47" t="inlineStr">
        <is>
          <t>required-enabler</t>
        </is>
      </c>
      <c r="F146" s="46" t="inlineStr">
        <is>
          <t>4.2</t>
        </is>
      </c>
      <c r="G146" s="46" t="inlineStr">
        <is>
          <t>4.2.1</t>
        </is>
      </c>
      <c r="H146" s="19">
        <f>IF(COUNTIFS($A$2:A146,A146,$F$2:F146,F146)=1,1,0)</f>
        <v/>
      </c>
      <c r="I146" s="19">
        <f>IF(AND(OR(E146="required-enabler",E146="optional-enabler"),COUNTIFS($A$2:A146,A146,$F$2:F146,F146,$E$2:E146,E146)=1),1,0)</f>
        <v/>
      </c>
    </row>
    <row r="147">
      <c r="A147" s="46" t="inlineStr">
        <is>
          <t>S8.2</t>
        </is>
      </c>
      <c r="B147" s="15" t="inlineStr">
        <is>
          <t>Model Registry &amp; Versioning</t>
        </is>
      </c>
      <c r="C147" s="11" t="inlineStr">
        <is>
          <t>S8</t>
        </is>
      </c>
      <c r="D147" s="11" t="inlineStr">
        <is>
          <t>ABB</t>
        </is>
      </c>
      <c r="E147" s="47" t="inlineStr">
        <is>
          <t>required-enabler</t>
        </is>
      </c>
      <c r="F147" s="46" t="inlineStr">
        <is>
          <t>4.2</t>
        </is>
      </c>
      <c r="G147" s="46" t="inlineStr">
        <is>
          <t>4.2.5</t>
        </is>
      </c>
      <c r="H147" s="19">
        <f>IF(COUNTIFS($A$2:A147,A147,$F$2:F147,F147)=1,1,0)</f>
        <v/>
      </c>
      <c r="I147" s="19">
        <f>IF(AND(OR(E147="required-enabler",E147="optional-enabler"),COUNTIFS($A$2:A147,A147,$F$2:F147,F147,$E$2:E147,E147)=1),1,0)</f>
        <v/>
      </c>
    </row>
    <row r="148">
      <c r="A148" s="46" t="inlineStr">
        <is>
          <t>S8.3</t>
        </is>
      </c>
      <c r="B148" s="15" t="inlineStr">
        <is>
          <t>Model Serving &amp; Inference Runtime</t>
        </is>
      </c>
      <c r="C148" s="11" t="inlineStr">
        <is>
          <t>S8</t>
        </is>
      </c>
      <c r="D148" s="11" t="inlineStr">
        <is>
          <t>SVC</t>
        </is>
      </c>
      <c r="E148" s="47" t="inlineStr">
        <is>
          <t>required-enabler</t>
        </is>
      </c>
      <c r="F148" s="46" t="inlineStr">
        <is>
          <t>6.1</t>
        </is>
      </c>
      <c r="G148" s="46" t="inlineStr">
        <is>
          <t>6.1.2</t>
        </is>
      </c>
      <c r="H148" s="19">
        <f>IF(COUNTIFS($A$2:A148,A148,$F$2:F148,F148)=1,1,0)</f>
        <v/>
      </c>
      <c r="I148" s="19">
        <f>IF(AND(OR(E148="required-enabler",E148="optional-enabler"),COUNTIFS($A$2:A148,A148,$F$2:F148,F148,$E$2:E148,E148)=1),1,0)</f>
        <v/>
      </c>
    </row>
    <row r="149">
      <c r="A149" s="46" t="inlineStr">
        <is>
          <t>S8.3</t>
        </is>
      </c>
      <c r="B149" s="15" t="inlineStr">
        <is>
          <t>Model Serving &amp; Inference Runtime</t>
        </is>
      </c>
      <c r="C149" s="11" t="inlineStr">
        <is>
          <t>S8</t>
        </is>
      </c>
      <c r="D149" s="11" t="inlineStr">
        <is>
          <t>SVC</t>
        </is>
      </c>
      <c r="E149" s="47" t="inlineStr">
        <is>
          <t>required-enabler</t>
        </is>
      </c>
      <c r="F149" s="46" t="inlineStr">
        <is>
          <t>5.1</t>
        </is>
      </c>
      <c r="G149" s="46" t="inlineStr">
        <is>
          <t>5.1.1</t>
        </is>
      </c>
      <c r="H149" s="19">
        <f>IF(COUNTIFS($A$2:A149,A149,$F$2:F149,F149)=1,1,0)</f>
        <v/>
      </c>
      <c r="I149" s="19">
        <f>IF(AND(OR(E149="required-enabler",E149="optional-enabler"),COUNTIFS($A$2:A149,A149,$F$2:F149,F149,$E$2:E149,E149)=1),1,0)</f>
        <v/>
      </c>
    </row>
    <row r="150">
      <c r="A150" s="46" t="inlineStr">
        <is>
          <t>S8.4</t>
        </is>
      </c>
      <c r="B150" s="15" t="inlineStr">
        <is>
          <t>Batch &amp; Asynchronous Inference</t>
        </is>
      </c>
      <c r="C150" s="11" t="inlineStr">
        <is>
          <t>S8</t>
        </is>
      </c>
      <c r="D150" s="11" t="inlineStr">
        <is>
          <t>SVC</t>
        </is>
      </c>
      <c r="E150" s="47" t="inlineStr">
        <is>
          <t>required-enabler</t>
        </is>
      </c>
      <c r="F150" s="46" t="inlineStr">
        <is>
          <t>6.1</t>
        </is>
      </c>
      <c r="G150" s="46" t="inlineStr">
        <is>
          <t>6.1.2</t>
        </is>
      </c>
      <c r="H150" s="19">
        <f>IF(COUNTIFS($A$2:A150,A150,$F$2:F150,F150)=1,1,0)</f>
        <v/>
      </c>
      <c r="I150" s="19">
        <f>IF(AND(OR(E150="required-enabler",E150="optional-enabler"),COUNTIFS($A$2:A150,A150,$F$2:F150,F150,$E$2:E150,E150)=1),1,0)</f>
        <v/>
      </c>
    </row>
    <row r="151">
      <c r="A151" s="46" t="inlineStr">
        <is>
          <t>S8.4</t>
        </is>
      </c>
      <c r="B151" s="15" t="inlineStr">
        <is>
          <t>Batch &amp; Asynchronous Inference</t>
        </is>
      </c>
      <c r="C151" s="11" t="inlineStr">
        <is>
          <t>S8</t>
        </is>
      </c>
      <c r="D151" s="11" t="inlineStr">
        <is>
          <t>SVC</t>
        </is>
      </c>
      <c r="E151" s="47" t="inlineStr">
        <is>
          <t>optional-enabler</t>
        </is>
      </c>
      <c r="F151" s="46" t="inlineStr">
        <is>
          <t>6.5</t>
        </is>
      </c>
      <c r="G151" s="46" t="inlineStr">
        <is>
          <t>6.5.4</t>
        </is>
      </c>
      <c r="H151" s="19">
        <f>IF(COUNTIFS($A$2:A151,A151,$F$2:F151,F151)=1,1,0)</f>
        <v/>
      </c>
      <c r="I151" s="19">
        <f>IF(AND(OR(E151="required-enabler",E151="optional-enabler"),COUNTIFS($A$2:A151,A151,$F$2:F151,F151,$E$2:E151,E151)=1),1,0)</f>
        <v/>
      </c>
    </row>
    <row r="152">
      <c r="A152" s="46" t="inlineStr">
        <is>
          <t>S8.5</t>
        </is>
      </c>
      <c r="B152" s="15" t="inlineStr">
        <is>
          <t>Fine-Tuning &amp; Adaptation</t>
        </is>
      </c>
      <c r="C152" s="11" t="inlineStr">
        <is>
          <t>S8</t>
        </is>
      </c>
      <c r="D152" s="11" t="inlineStr">
        <is>
          <t>SVC</t>
        </is>
      </c>
      <c r="E152" s="47" t="inlineStr">
        <is>
          <t>optional-enabler</t>
        </is>
      </c>
      <c r="F152" s="46" t="inlineStr">
        <is>
          <t>4.2</t>
        </is>
      </c>
      <c r="G152" s="46" t="inlineStr">
        <is>
          <t>4.2.2</t>
        </is>
      </c>
      <c r="H152" s="19">
        <f>IF(COUNTIFS($A$2:A152,A152,$F$2:F152,F152)=1,1,0)</f>
        <v/>
      </c>
      <c r="I152" s="19">
        <f>IF(AND(OR(E152="required-enabler",E152="optional-enabler"),COUNTIFS($A$2:A152,A152,$F$2:F152,F152,$E$2:E152,E152)=1),1,0)</f>
        <v/>
      </c>
    </row>
    <row r="153">
      <c r="A153" s="46" t="inlineStr">
        <is>
          <t>S8.6</t>
        </is>
      </c>
      <c r="B153" s="15" t="inlineStr">
        <is>
          <t>Model Distillation &amp; Compression</t>
        </is>
      </c>
      <c r="C153" s="11" t="inlineStr">
        <is>
          <t>S8</t>
        </is>
      </c>
      <c r="D153" s="11" t="inlineStr">
        <is>
          <t>SVC</t>
        </is>
      </c>
      <c r="E153" s="47" t="inlineStr">
        <is>
          <t>optional-enabler</t>
        </is>
      </c>
      <c r="F153" s="46" t="inlineStr">
        <is>
          <t>6.5</t>
        </is>
      </c>
      <c r="G153" s="46" t="inlineStr">
        <is>
          <t>6.5.4</t>
        </is>
      </c>
      <c r="H153" s="19">
        <f>IF(COUNTIFS($A$2:A153,A153,$F$2:F153,F153)=1,1,0)</f>
        <v/>
      </c>
      <c r="I153" s="19">
        <f>IF(AND(OR(E153="required-enabler",E153="optional-enabler"),COUNTIFS($A$2:A153,A153,$F$2:F153,F153,$E$2:E153,E153)=1),1,0)</f>
        <v/>
      </c>
    </row>
    <row r="154">
      <c r="A154" s="46" t="inlineStr">
        <is>
          <t>S8.6</t>
        </is>
      </c>
      <c r="B154" s="15" t="inlineStr">
        <is>
          <t>Model Distillation &amp; Compression</t>
        </is>
      </c>
      <c r="C154" s="11" t="inlineStr">
        <is>
          <t>S8</t>
        </is>
      </c>
      <c r="D154" s="11" t="inlineStr">
        <is>
          <t>SVC</t>
        </is>
      </c>
      <c r="E154" s="47" t="inlineStr">
        <is>
          <t>optional-enabler</t>
        </is>
      </c>
      <c r="F154" s="46" t="inlineStr">
        <is>
          <t>4.2</t>
        </is>
      </c>
      <c r="G154" s="46" t="inlineStr">
        <is>
          <t>4.2.2</t>
        </is>
      </c>
      <c r="H154" s="19">
        <f>IF(COUNTIFS($A$2:A154,A154,$F$2:F154,F154)=1,1,0)</f>
        <v/>
      </c>
      <c r="I154" s="19">
        <f>IF(AND(OR(E154="required-enabler",E154="optional-enabler"),COUNTIFS($A$2:A154,A154,$F$2:F154,F154,$E$2:E154,E154)=1),1,0)</f>
        <v/>
      </c>
    </row>
    <row r="155">
      <c r="A155" s="46" t="inlineStr">
        <is>
          <t>S8.7</t>
        </is>
      </c>
      <c r="B155" s="15" t="inlineStr">
        <is>
          <t>Training &amp; Distributed Compute</t>
        </is>
      </c>
      <c r="C155" s="11" t="inlineStr">
        <is>
          <t>S8</t>
        </is>
      </c>
      <c r="D155" s="11" t="inlineStr">
        <is>
          <t>ABB</t>
        </is>
      </c>
      <c r="E155" s="47" t="inlineStr">
        <is>
          <t>required-enabler</t>
        </is>
      </c>
      <c r="F155" s="46" t="inlineStr">
        <is>
          <t>4.2</t>
        </is>
      </c>
      <c r="G155" s="46" t="inlineStr">
        <is>
          <t>4.2.3</t>
        </is>
      </c>
      <c r="H155" s="19">
        <f>IF(COUNTIFS($A$2:A155,A155,$F$2:F155,F155)=1,1,0)</f>
        <v/>
      </c>
      <c r="I155" s="19">
        <f>IF(AND(OR(E155="required-enabler",E155="optional-enabler"),COUNTIFS($A$2:A155,A155,$F$2:F155,F155,$E$2:E155,E155)=1),1,0)</f>
        <v/>
      </c>
    </row>
    <row r="156">
      <c r="A156" s="46" t="inlineStr">
        <is>
          <t>S8.7</t>
        </is>
      </c>
      <c r="B156" s="15" t="inlineStr">
        <is>
          <t>Training &amp; Distributed Compute</t>
        </is>
      </c>
      <c r="C156" s="11" t="inlineStr">
        <is>
          <t>S8</t>
        </is>
      </c>
      <c r="D156" s="11" t="inlineStr">
        <is>
          <t>ABB</t>
        </is>
      </c>
      <c r="E156" s="47" t="inlineStr">
        <is>
          <t>required-enabler</t>
        </is>
      </c>
      <c r="F156" s="46" t="inlineStr">
        <is>
          <t>5.4</t>
        </is>
      </c>
      <c r="G156" s="46" t="inlineStr">
        <is>
          <t>5.4.1</t>
        </is>
      </c>
      <c r="H156" s="19">
        <f>IF(COUNTIFS($A$2:A156,A156,$F$2:F156,F156)=1,1,0)</f>
        <v/>
      </c>
      <c r="I156" s="19">
        <f>IF(AND(OR(E156="required-enabler",E156="optional-enabler"),COUNTIFS($A$2:A156,A156,$F$2:F156,F156,$E$2:E156,E156)=1),1,0)</f>
        <v/>
      </c>
    </row>
    <row r="157">
      <c r="A157" s="46" t="inlineStr">
        <is>
          <t>S8.8</t>
        </is>
      </c>
      <c r="B157" s="15" t="inlineStr">
        <is>
          <t>Experiment Tracking</t>
        </is>
      </c>
      <c r="C157" s="11" t="inlineStr">
        <is>
          <t>S8</t>
        </is>
      </c>
      <c r="D157" s="11" t="inlineStr">
        <is>
          <t>ABB</t>
        </is>
      </c>
      <c r="E157" s="47" t="inlineStr">
        <is>
          <t>required-enabler</t>
        </is>
      </c>
      <c r="F157" s="46" t="inlineStr">
        <is>
          <t>4.2</t>
        </is>
      </c>
      <c r="G157" s="46" t="inlineStr">
        <is>
          <t>4.2.3</t>
        </is>
      </c>
      <c r="H157" s="19">
        <f>IF(COUNTIFS($A$2:A157,A157,$F$2:F157,F157)=1,1,0)</f>
        <v/>
      </c>
      <c r="I157" s="19">
        <f>IF(AND(OR(E157="required-enabler",E157="optional-enabler"),COUNTIFS($A$2:A157,A157,$F$2:F157,F157,$E$2:E157,E157)=1),1,0)</f>
        <v/>
      </c>
    </row>
    <row r="158">
      <c r="A158" s="46" t="inlineStr">
        <is>
          <t>S8.9</t>
        </is>
      </c>
      <c r="B158" s="15" t="inlineStr">
        <is>
          <t>Feature Store</t>
        </is>
      </c>
      <c r="C158" s="11" t="inlineStr">
        <is>
          <t>S8</t>
        </is>
      </c>
      <c r="D158" s="11" t="inlineStr">
        <is>
          <t>ABB</t>
        </is>
      </c>
      <c r="E158" s="47" t="inlineStr">
        <is>
          <t>required-enabler</t>
        </is>
      </c>
      <c r="F158" s="46" t="inlineStr">
        <is>
          <t>3.7</t>
        </is>
      </c>
      <c r="G158" s="46" t="inlineStr">
        <is>
          <t>3.7.1</t>
        </is>
      </c>
      <c r="H158" s="19">
        <f>IF(COUNTIFS($A$2:A158,A158,$F$2:F158,F158)=1,1,0)</f>
        <v/>
      </c>
      <c r="I158" s="19">
        <f>IF(AND(OR(E158="required-enabler",E158="optional-enabler"),COUNTIFS($A$2:A158,A158,$F$2:F158,F158,$E$2:E158,E158)=1),1,0)</f>
        <v/>
      </c>
    </row>
    <row r="159">
      <c r="A159" s="46" t="inlineStr">
        <is>
          <t>S8.10</t>
        </is>
      </c>
      <c r="B159" s="15" t="inlineStr">
        <is>
          <t>Prompt Registry &amp; Versioning</t>
        </is>
      </c>
      <c r="C159" s="11" t="inlineStr">
        <is>
          <t>S8</t>
        </is>
      </c>
      <c r="D159" s="11" t="inlineStr">
        <is>
          <t>ABB</t>
        </is>
      </c>
      <c r="E159" s="47" t="inlineStr">
        <is>
          <t>required-enabler</t>
        </is>
      </c>
      <c r="F159" s="46" t="inlineStr">
        <is>
          <t>4.3</t>
        </is>
      </c>
      <c r="G159" s="46" t="inlineStr">
        <is>
          <t>4.3.2</t>
        </is>
      </c>
      <c r="H159" s="19">
        <f>IF(COUNTIFS($A$2:A159,A159,$F$2:F159,F159)=1,1,0)</f>
        <v/>
      </c>
      <c r="I159" s="19">
        <f>IF(AND(OR(E159="required-enabler",E159="optional-enabler"),COUNTIFS($A$2:A159,A159,$F$2:F159,F159,$E$2:E159,E159)=1),1,0)</f>
        <v/>
      </c>
    </row>
    <row r="160">
      <c r="A160" s="46" t="inlineStr">
        <is>
          <t>S8.11</t>
        </is>
      </c>
      <c r="B160" s="15" t="inlineStr">
        <is>
          <t>Dataset &amp; Corpus Management</t>
        </is>
      </c>
      <c r="C160" s="11" t="inlineStr">
        <is>
          <t>S8</t>
        </is>
      </c>
      <c r="D160" s="11" t="inlineStr">
        <is>
          <t>ABB</t>
        </is>
      </c>
      <c r="E160" s="47" t="inlineStr">
        <is>
          <t>required-enabler</t>
        </is>
      </c>
      <c r="F160" s="46" t="inlineStr">
        <is>
          <t>3.3</t>
        </is>
      </c>
      <c r="G160" s="46" t="inlineStr">
        <is>
          <t>3.3.5</t>
        </is>
      </c>
      <c r="H160" s="19">
        <f>IF(COUNTIFS($A$2:A160,A160,$F$2:F160,F160)=1,1,0)</f>
        <v/>
      </c>
      <c r="I160" s="19">
        <f>IF(AND(OR(E160="required-enabler",E160="optional-enabler"),COUNTIFS($A$2:A160,A160,$F$2:F160,F160,$E$2:E160,E160)=1),1,0)</f>
        <v/>
      </c>
    </row>
    <row r="161">
      <c r="A161" s="46" t="inlineStr">
        <is>
          <t>S8.11</t>
        </is>
      </c>
      <c r="B161" s="15" t="inlineStr">
        <is>
          <t>Dataset &amp; Corpus Management</t>
        </is>
      </c>
      <c r="C161" s="11" t="inlineStr">
        <is>
          <t>S8</t>
        </is>
      </c>
      <c r="D161" s="11" t="inlineStr">
        <is>
          <t>ABB</t>
        </is>
      </c>
      <c r="E161" s="47" t="inlineStr">
        <is>
          <t>required-enabler</t>
        </is>
      </c>
      <c r="F161" s="46" t="inlineStr">
        <is>
          <t>3.5</t>
        </is>
      </c>
      <c r="G161" s="46" t="inlineStr">
        <is>
          <t>3.5.1</t>
        </is>
      </c>
      <c r="H161" s="19">
        <f>IF(COUNTIFS($A$2:A161,A161,$F$2:F161,F161)=1,1,0)</f>
        <v/>
      </c>
      <c r="I161" s="19">
        <f>IF(AND(OR(E161="required-enabler",E161="optional-enabler"),COUNTIFS($A$2:A161,A161,$F$2:F161,F161,$E$2:E161,E161)=1),1,0)</f>
        <v/>
      </c>
    </row>
    <row r="162">
      <c r="A162" s="46" t="inlineStr">
        <is>
          <t>S8.12</t>
        </is>
      </c>
      <c r="B162" s="15" t="inlineStr">
        <is>
          <t>Data Labeling &amp; Annotation</t>
        </is>
      </c>
      <c r="C162" s="11" t="inlineStr">
        <is>
          <t>S8</t>
        </is>
      </c>
      <c r="D162" s="11" t="inlineStr">
        <is>
          <t>ABB</t>
        </is>
      </c>
      <c r="E162" s="47" t="inlineStr">
        <is>
          <t>required-enabler</t>
        </is>
      </c>
      <c r="F162" s="46" t="inlineStr">
        <is>
          <t>3.3</t>
        </is>
      </c>
      <c r="G162" s="46" t="inlineStr">
        <is>
          <t>3.3.4</t>
        </is>
      </c>
      <c r="H162" s="19">
        <f>IF(COUNTIFS($A$2:A162,A162,$F$2:F162,F162)=1,1,0)</f>
        <v/>
      </c>
      <c r="I162" s="19">
        <f>IF(AND(OR(E162="required-enabler",E162="optional-enabler"),COUNTIFS($A$2:A162,A162,$F$2:F162,F162,$E$2:E162,E162)=1),1,0)</f>
        <v/>
      </c>
    </row>
    <row r="163">
      <c r="A163" s="46" t="inlineStr">
        <is>
          <t>S8.13</t>
        </is>
      </c>
      <c r="B163" s="15" t="inlineStr">
        <is>
          <t>Data Pipeline &amp; Transformation</t>
        </is>
      </c>
      <c r="C163" s="11" t="inlineStr">
        <is>
          <t>S8</t>
        </is>
      </c>
      <c r="D163" s="11" t="inlineStr">
        <is>
          <t>ABB</t>
        </is>
      </c>
      <c r="E163" s="47" t="inlineStr">
        <is>
          <t>required-enabler</t>
        </is>
      </c>
      <c r="F163" s="46" t="inlineStr">
        <is>
          <t>3.3</t>
        </is>
      </c>
      <c r="G163" s="46" t="inlineStr">
        <is>
          <t>3.3.2</t>
        </is>
      </c>
      <c r="H163" s="19">
        <f>IF(COUNTIFS($A$2:A163,A163,$F$2:F163,F163)=1,1,0)</f>
        <v/>
      </c>
      <c r="I163" s="19">
        <f>IF(AND(OR(E163="required-enabler",E163="optional-enabler"),COUNTIFS($A$2:A163,A163,$F$2:F163,F163,$E$2:E163,E163)=1),1,0)</f>
        <v/>
      </c>
    </row>
    <row r="164">
      <c r="A164" s="46" t="inlineStr">
        <is>
          <t>S8.13</t>
        </is>
      </c>
      <c r="B164" s="15" t="inlineStr">
        <is>
          <t>Data Pipeline &amp; Transformation</t>
        </is>
      </c>
      <c r="C164" s="11" t="inlineStr">
        <is>
          <t>S8</t>
        </is>
      </c>
      <c r="D164" s="11" t="inlineStr">
        <is>
          <t>ABB</t>
        </is>
      </c>
      <c r="E164" s="47" t="inlineStr">
        <is>
          <t>required-enabler</t>
        </is>
      </c>
      <c r="F164" s="46" t="inlineStr">
        <is>
          <t>3.2</t>
        </is>
      </c>
      <c r="G164" s="46" t="inlineStr">
        <is>
          <t>3.2.1</t>
        </is>
      </c>
      <c r="H164" s="19">
        <f>IF(COUNTIFS($A$2:A164,A164,$F$2:F164,F164)=1,1,0)</f>
        <v/>
      </c>
      <c r="I164" s="19">
        <f>IF(AND(OR(E164="required-enabler",E164="optional-enabler"),COUNTIFS($A$2:A164,A164,$F$2:F164,F164,$E$2:E164,E164)=1),1,0)</f>
        <v/>
      </c>
    </row>
    <row r="165">
      <c r="A165" s="46" t="inlineStr">
        <is>
          <t>S8.14</t>
        </is>
      </c>
      <c r="B165" s="15" t="inlineStr">
        <is>
          <t>Metadata, Catalog &amp; Lineage</t>
        </is>
      </c>
      <c r="C165" s="11" t="inlineStr">
        <is>
          <t>S8</t>
        </is>
      </c>
      <c r="D165" s="11" t="inlineStr">
        <is>
          <t>ABB</t>
        </is>
      </c>
      <c r="E165" s="47" t="inlineStr">
        <is>
          <t>required-enabler</t>
        </is>
      </c>
      <c r="F165" s="46" t="inlineStr">
        <is>
          <t>3.4</t>
        </is>
      </c>
      <c r="G165" s="46" t="inlineStr">
        <is>
          <t>3.4.1</t>
        </is>
      </c>
      <c r="H165" s="19">
        <f>IF(COUNTIFS($A$2:A165,A165,$F$2:F165,F165)=1,1,0)</f>
        <v/>
      </c>
      <c r="I165" s="19">
        <f>IF(AND(OR(E165="required-enabler",E165="optional-enabler"),COUNTIFS($A$2:A165,A165,$F$2:F165,F165,$E$2:E165,E165)=1),1,0)</f>
        <v/>
      </c>
    </row>
    <row r="166">
      <c r="A166" s="46" t="inlineStr">
        <is>
          <t>S8.14</t>
        </is>
      </c>
      <c r="B166" s="15" t="inlineStr">
        <is>
          <t>Metadata, Catalog &amp; Lineage</t>
        </is>
      </c>
      <c r="C166" s="11" t="inlineStr">
        <is>
          <t>S8</t>
        </is>
      </c>
      <c r="D166" s="11" t="inlineStr">
        <is>
          <t>ABB</t>
        </is>
      </c>
      <c r="E166" s="47" t="inlineStr">
        <is>
          <t>required-enabler</t>
        </is>
      </c>
      <c r="F166" s="46" t="inlineStr">
        <is>
          <t>3.4</t>
        </is>
      </c>
      <c r="G166" s="46" t="inlineStr">
        <is>
          <t>3.4.3</t>
        </is>
      </c>
      <c r="H166" s="19">
        <f>IF(COUNTIFS($A$2:A166,A166,$F$2:F166,F166)=1,1,0)</f>
        <v/>
      </c>
      <c r="I166" s="19">
        <f>IF(AND(OR(E166="required-enabler",E166="optional-enabler"),COUNTIFS($A$2:A166,A166,$F$2:F166,F166,$E$2:E166,E166)=1),1,0)</f>
        <v/>
      </c>
    </row>
    <row r="167">
      <c r="A167" s="46" t="inlineStr">
        <is>
          <t>S8.14</t>
        </is>
      </c>
      <c r="B167" s="15" t="inlineStr">
        <is>
          <t>Metadata, Catalog &amp; Lineage</t>
        </is>
      </c>
      <c r="C167" s="11" t="inlineStr">
        <is>
          <t>S8</t>
        </is>
      </c>
      <c r="D167" s="11" t="inlineStr">
        <is>
          <t>ABB</t>
        </is>
      </c>
      <c r="E167" s="47" t="inlineStr">
        <is>
          <t>required-enabler</t>
        </is>
      </c>
      <c r="F167" s="46" t="inlineStr">
        <is>
          <t>3.4</t>
        </is>
      </c>
      <c r="G167" s="46" t="inlineStr">
        <is>
          <t>3.4.2</t>
        </is>
      </c>
      <c r="H167" s="19">
        <f>IF(COUNTIFS($A$2:A167,A167,$F$2:F167,F167)=1,1,0)</f>
        <v/>
      </c>
      <c r="I167" s="19">
        <f>IF(AND(OR(E167="required-enabler",E167="optional-enabler"),COUNTIFS($A$2:A167,A167,$F$2:F167,F167,$E$2:E167,E167)=1),1,0)</f>
        <v/>
      </c>
    </row>
    <row r="168">
      <c r="A168" s="46" t="inlineStr">
        <is>
          <t>S8.15</t>
        </is>
      </c>
      <c r="B168" s="15" t="inlineStr">
        <is>
          <t>Evaluation Harness &amp; Benchmarking</t>
        </is>
      </c>
      <c r="C168" s="11" t="inlineStr">
        <is>
          <t>S8</t>
        </is>
      </c>
      <c r="D168" s="11" t="inlineStr">
        <is>
          <t>SVC</t>
        </is>
      </c>
      <c r="E168" s="47" t="inlineStr">
        <is>
          <t>required-enabler</t>
        </is>
      </c>
      <c r="F168" s="46" t="inlineStr">
        <is>
          <t>4.6</t>
        </is>
      </c>
      <c r="G168" s="46" t="inlineStr">
        <is>
          <t>4.6.2</t>
        </is>
      </c>
      <c r="H168" s="19">
        <f>IF(COUNTIFS($A$2:A168,A168,$F$2:F168,F168)=1,1,0)</f>
        <v/>
      </c>
      <c r="I168" s="19">
        <f>IF(AND(OR(E168="required-enabler",E168="optional-enabler"),COUNTIFS($A$2:A168,A168,$F$2:F168,F168,$E$2:E168,E168)=1),1,0)</f>
        <v/>
      </c>
    </row>
    <row r="169">
      <c r="A169" s="46" t="inlineStr">
        <is>
          <t>S8.15</t>
        </is>
      </c>
      <c r="B169" s="15" t="inlineStr">
        <is>
          <t>Evaluation Harness &amp; Benchmarking</t>
        </is>
      </c>
      <c r="C169" s="11" t="inlineStr">
        <is>
          <t>S8</t>
        </is>
      </c>
      <c r="D169" s="11" t="inlineStr">
        <is>
          <t>SVC</t>
        </is>
      </c>
      <c r="E169" s="47" t="inlineStr">
        <is>
          <t>required-enabler</t>
        </is>
      </c>
      <c r="F169" s="46" t="inlineStr">
        <is>
          <t>4.6</t>
        </is>
      </c>
      <c r="G169" s="46" t="inlineStr">
        <is>
          <t>4.6.3</t>
        </is>
      </c>
      <c r="H169" s="19">
        <f>IF(COUNTIFS($A$2:A169,A169,$F$2:F169,F169)=1,1,0)</f>
        <v/>
      </c>
      <c r="I169" s="19">
        <f>IF(AND(OR(E169="required-enabler",E169="optional-enabler"),COUNTIFS($A$2:A169,A169,$F$2:F169,F169,$E$2:E169,E169)=1),1,0)</f>
        <v/>
      </c>
    </row>
    <row r="170">
      <c r="A170" s="46" t="inlineStr">
        <is>
          <t>S8.16</t>
        </is>
      </c>
      <c r="B170" s="15" t="inlineStr">
        <is>
          <t>Edge &amp; On-Device Inference</t>
        </is>
      </c>
      <c r="C170" s="11" t="inlineStr">
        <is>
          <t>S8</t>
        </is>
      </c>
      <c r="D170" s="11" t="inlineStr">
        <is>
          <t>SVC</t>
        </is>
      </c>
      <c r="E170" s="47" t="inlineStr">
        <is>
          <t>required-enabler</t>
        </is>
      </c>
      <c r="F170" s="46" t="inlineStr">
        <is>
          <t>5.4</t>
        </is>
      </c>
      <c r="G170" s="46" t="inlineStr">
        <is>
          <t>5.4.5</t>
        </is>
      </c>
      <c r="H170" s="19">
        <f>IF(COUNTIFS($A$2:A170,A170,$F$2:F170,F170)=1,1,0)</f>
        <v/>
      </c>
      <c r="I170" s="19">
        <f>IF(AND(OR(E170="required-enabler",E170="optional-enabler"),COUNTIFS($A$2:A170,A170,$F$2:F170,F170,$E$2:E170,E170)=1),1,0)</f>
        <v/>
      </c>
    </row>
    <row r="171">
      <c r="A171" s="46" t="inlineStr">
        <is>
          <t>S8.16</t>
        </is>
      </c>
      <c r="B171" s="15" t="inlineStr">
        <is>
          <t>Edge &amp; On-Device Inference</t>
        </is>
      </c>
      <c r="C171" s="11" t="inlineStr">
        <is>
          <t>S8</t>
        </is>
      </c>
      <c r="D171" s="11" t="inlineStr">
        <is>
          <t>SVC</t>
        </is>
      </c>
      <c r="E171" s="47" t="inlineStr">
        <is>
          <t>required-enabler</t>
        </is>
      </c>
      <c r="F171" s="46" t="inlineStr">
        <is>
          <t>6.1</t>
        </is>
      </c>
      <c r="G171" s="46" t="inlineStr">
        <is>
          <t>6.1.2</t>
        </is>
      </c>
      <c r="H171" s="19">
        <f>IF(COUNTIFS($A$2:A171,A171,$F$2:F171,F171)=1,1,0)</f>
        <v/>
      </c>
      <c r="I171" s="19">
        <f>IF(AND(OR(E171="required-enabler",E171="optional-enabler"),COUNTIFS($A$2:A171,A171,$F$2:F171,F171,$E$2:E171,E171)=1),1,0)</f>
        <v/>
      </c>
    </row>
    <row r="172">
      <c r="A172" s="46" t="inlineStr">
        <is>
          <t>S8.17</t>
        </is>
      </c>
      <c r="B172" s="15" t="inlineStr">
        <is>
          <t>Sovereign &amp; Isolated Deployment</t>
        </is>
      </c>
      <c r="C172" s="11" t="inlineStr">
        <is>
          <t>S8</t>
        </is>
      </c>
      <c r="D172" s="11" t="inlineStr">
        <is>
          <t>ABB</t>
        </is>
      </c>
      <c r="E172" s="47" t="inlineStr">
        <is>
          <t>required-enabler</t>
        </is>
      </c>
      <c r="F172" s="46" t="inlineStr">
        <is>
          <t>3.1</t>
        </is>
      </c>
      <c r="G172" s="46" t="inlineStr">
        <is>
          <t>3.1.5</t>
        </is>
      </c>
      <c r="H172" s="19">
        <f>IF(COUNTIFS($A$2:A172,A172,$F$2:F172,F172)=1,1,0)</f>
        <v/>
      </c>
      <c r="I172" s="19">
        <f>IF(AND(OR(E172="required-enabler",E172="optional-enabler"),COUNTIFS($A$2:A172,A172,$F$2:F172,F172,$E$2:E172,E172)=1),1,0)</f>
        <v/>
      </c>
    </row>
    <row r="173">
      <c r="A173" s="46" t="inlineStr">
        <is>
          <t>S8.17</t>
        </is>
      </c>
      <c r="B173" s="15" t="inlineStr">
        <is>
          <t>Sovereign &amp; Isolated Deployment</t>
        </is>
      </c>
      <c r="C173" s="11" t="inlineStr">
        <is>
          <t>S8</t>
        </is>
      </c>
      <c r="D173" s="11" t="inlineStr">
        <is>
          <t>ABB</t>
        </is>
      </c>
      <c r="E173" s="47" t="inlineStr">
        <is>
          <t>required-enabler</t>
        </is>
      </c>
      <c r="F173" s="46" t="inlineStr">
        <is>
          <t>5.4</t>
        </is>
      </c>
      <c r="G173" s="46" t="inlineStr">
        <is>
          <t>5.4.4</t>
        </is>
      </c>
      <c r="H173" s="19">
        <f>IF(COUNTIFS($A$2:A173,A173,$F$2:F173,F173)=1,1,0)</f>
        <v/>
      </c>
      <c r="I173" s="19">
        <f>IF(AND(OR(E173="required-enabler",E173="optional-enabler"),COUNTIFS($A$2:A173,A173,$F$2:F173,F173,$E$2:E173,E173)=1),1,0)</f>
        <v/>
      </c>
    </row>
    <row r="174">
      <c r="A174" s="46" t="inlineStr">
        <is>
          <t>S8.18</t>
        </is>
      </c>
      <c r="B174" s="15" t="inlineStr">
        <is>
          <t>Model &amp; Artifact Integrity Verification</t>
        </is>
      </c>
      <c r="C174" s="11" t="inlineStr">
        <is>
          <t>S8</t>
        </is>
      </c>
      <c r="D174" s="11" t="inlineStr">
        <is>
          <t>SVC</t>
        </is>
      </c>
      <c r="E174" s="47" t="inlineStr">
        <is>
          <t>required-enabler</t>
        </is>
      </c>
      <c r="F174" s="46" t="inlineStr">
        <is>
          <t>7.4</t>
        </is>
      </c>
      <c r="G174" s="46" t="inlineStr">
        <is>
          <t>7.4.2</t>
        </is>
      </c>
      <c r="H174" s="19">
        <f>IF(COUNTIFS($A$2:A174,A174,$F$2:F174,F174)=1,1,0)</f>
        <v/>
      </c>
      <c r="I174" s="19">
        <f>IF(AND(OR(E174="required-enabler",E174="optional-enabler"),COUNTIFS($A$2:A174,A174,$F$2:F174,F174,$E$2:E174,E174)=1),1,0)</f>
        <v/>
      </c>
    </row>
    <row r="175">
      <c r="A175" s="46" t="inlineStr">
        <is>
          <t>S8.18</t>
        </is>
      </c>
      <c r="B175" s="15" t="inlineStr">
        <is>
          <t>Model &amp; Artifact Integrity Verification</t>
        </is>
      </c>
      <c r="C175" s="11" t="inlineStr">
        <is>
          <t>S8</t>
        </is>
      </c>
      <c r="D175" s="11" t="inlineStr">
        <is>
          <t>SVC</t>
        </is>
      </c>
      <c r="E175" s="47" t="inlineStr">
        <is>
          <t>operational-support</t>
        </is>
      </c>
      <c r="F175" s="46" t="inlineStr">
        <is>
          <t>4.2</t>
        </is>
      </c>
      <c r="G175" s="46" t="inlineStr">
        <is>
          <t>4.2.5</t>
        </is>
      </c>
      <c r="H175" s="19">
        <f>IF(COUNTIFS($A$2:A175,A175,$F$2:F175,F175)=1,1,0)</f>
        <v/>
      </c>
      <c r="I175" s="19">
        <f>IF(AND(OR(E175="required-enabler",E175="optional-enabler"),COUNTIFS($A$2:A175,A175,$F$2:F175,F175,$E$2:E175,E175)=1),1,0)</f>
        <v/>
      </c>
    </row>
    <row r="176">
      <c r="A176" s="46" t="inlineStr">
        <is>
          <t>S8.19</t>
        </is>
      </c>
      <c r="B176" s="15" t="inlineStr">
        <is>
          <t>Subject Data Location &amp; Purge</t>
        </is>
      </c>
      <c r="C176" s="11" t="inlineStr">
        <is>
          <t>S8</t>
        </is>
      </c>
      <c r="D176" s="11" t="inlineStr">
        <is>
          <t>SVC</t>
        </is>
      </c>
      <c r="E176" s="47" t="inlineStr">
        <is>
          <t>required-enabler</t>
        </is>
      </c>
      <c r="F176" s="46" t="inlineStr">
        <is>
          <t>7.5</t>
        </is>
      </c>
      <c r="G176" s="46" t="inlineStr">
        <is>
          <t>7.5.3</t>
        </is>
      </c>
      <c r="H176" s="19">
        <f>IF(COUNTIFS($A$2:A176,A176,$F$2:F176,F176)=1,1,0)</f>
        <v/>
      </c>
      <c r="I176" s="19">
        <f>IF(AND(OR(E176="required-enabler",E176="optional-enabler"),COUNTIFS($A$2:A176,A176,$F$2:F176,F176,$E$2:E176,E176)=1),1,0)</f>
        <v/>
      </c>
    </row>
    <row r="177">
      <c r="A177" s="46" t="inlineStr">
        <is>
          <t>S8.19</t>
        </is>
      </c>
      <c r="B177" s="15" t="inlineStr">
        <is>
          <t>Subject Data Location &amp; Purge</t>
        </is>
      </c>
      <c r="C177" s="11" t="inlineStr">
        <is>
          <t>S8</t>
        </is>
      </c>
      <c r="D177" s="11" t="inlineStr">
        <is>
          <t>SVC</t>
        </is>
      </c>
      <c r="E177" s="47" t="inlineStr">
        <is>
          <t>required-enabler</t>
        </is>
      </c>
      <c r="F177" s="46" t="inlineStr">
        <is>
          <t>3.1</t>
        </is>
      </c>
      <c r="G177" s="46" t="inlineStr">
        <is>
          <t>3.1.4</t>
        </is>
      </c>
      <c r="H177" s="19">
        <f>IF(COUNTIFS($A$2:A177,A177,$F$2:F177,F177)=1,1,0)</f>
        <v/>
      </c>
      <c r="I177" s="19">
        <f>IF(AND(OR(E177="required-enabler",E177="optional-enabler"),COUNTIFS($A$2:A177,A177,$F$2:F177,F177,$E$2:E177,E177)=1),1,0)</f>
        <v/>
      </c>
    </row>
    <row r="178">
      <c r="A178" s="46" t="inlineStr">
        <is>
          <t>S8.20</t>
        </is>
      </c>
      <c r="B178" s="15" t="inlineStr">
        <is>
          <t>Isolated Workspace &amp; Network Provisioning</t>
        </is>
      </c>
      <c r="C178" s="11" t="inlineStr">
        <is>
          <t>S8</t>
        </is>
      </c>
      <c r="D178" s="11" t="inlineStr">
        <is>
          <t>ABB</t>
        </is>
      </c>
      <c r="E178" s="47" t="inlineStr">
        <is>
          <t>required-enabler</t>
        </is>
      </c>
      <c r="F178" s="46" t="inlineStr">
        <is>
          <t>5.3</t>
        </is>
      </c>
      <c r="G178" s="46" t="inlineStr">
        <is>
          <t>5.3.2</t>
        </is>
      </c>
      <c r="H178" s="19">
        <f>IF(COUNTIFS($A$2:A178,A178,$F$2:F178,F178)=1,1,0)</f>
        <v/>
      </c>
      <c r="I178" s="19">
        <f>IF(AND(OR(E178="required-enabler",E178="optional-enabler"),COUNTIFS($A$2:A178,A178,$F$2:F178,F178,$E$2:E178,E178)=1),1,0)</f>
        <v/>
      </c>
    </row>
    <row r="179">
      <c r="A179" s="46" t="inlineStr">
        <is>
          <t>S8.20</t>
        </is>
      </c>
      <c r="B179" s="15" t="inlineStr">
        <is>
          <t>Isolated Workspace &amp; Network Provisioning</t>
        </is>
      </c>
      <c r="C179" s="11" t="inlineStr">
        <is>
          <t>S8</t>
        </is>
      </c>
      <c r="D179" s="11" t="inlineStr">
        <is>
          <t>ABB</t>
        </is>
      </c>
      <c r="E179" s="47" t="inlineStr">
        <is>
          <t>required-enabler</t>
        </is>
      </c>
      <c r="F179" s="46" t="inlineStr">
        <is>
          <t>5.3</t>
        </is>
      </c>
      <c r="G179" s="46" t="inlineStr">
        <is>
          <t>5.3.3</t>
        </is>
      </c>
      <c r="H179" s="19">
        <f>IF(COUNTIFS($A$2:A179,A179,$F$2:F179,F179)=1,1,0)</f>
        <v/>
      </c>
      <c r="I179" s="19">
        <f>IF(AND(OR(E179="required-enabler",E179="optional-enabler"),COUNTIFS($A$2:A179,A179,$F$2:F179,F179,$E$2:E179,E179)=1),1,0)</f>
        <v/>
      </c>
    </row>
    <row r="180">
      <c r="A180" s="46" t="inlineStr">
        <is>
          <t>S8.20</t>
        </is>
      </c>
      <c r="B180" s="15" t="inlineStr">
        <is>
          <t>Isolated Workspace &amp; Network Provisioning</t>
        </is>
      </c>
      <c r="C180" s="11" t="inlineStr">
        <is>
          <t>S8</t>
        </is>
      </c>
      <c r="D180" s="11" t="inlineStr">
        <is>
          <t>ABB</t>
        </is>
      </c>
      <c r="E180" s="47" t="inlineStr">
        <is>
          <t>required-enabler</t>
        </is>
      </c>
      <c r="F180" s="46" t="inlineStr">
        <is>
          <t>5.3</t>
        </is>
      </c>
      <c r="G180" s="46" t="inlineStr">
        <is>
          <t>5.3.4</t>
        </is>
      </c>
      <c r="H180" s="19">
        <f>IF(COUNTIFS($A$2:A180,A180,$F$2:F180,F180)=1,1,0)</f>
        <v/>
      </c>
      <c r="I180" s="19">
        <f>IF(AND(OR(E180="required-enabler",E180="optional-enabler"),COUNTIFS($A$2:A180,A180,$F$2:F180,F180,$E$2:E180,E180)=1),1,0)</f>
        <v/>
      </c>
    </row>
    <row r="181">
      <c r="A181" s="46" t="inlineStr">
        <is>
          <t>S8.21</t>
        </is>
      </c>
      <c r="B181" s="15" t="inlineStr">
        <is>
          <t>Model Documentation Generation</t>
        </is>
      </c>
      <c r="C181" s="11" t="inlineStr">
        <is>
          <t>S8</t>
        </is>
      </c>
      <c r="D181" s="11" t="inlineStr">
        <is>
          <t>SVC</t>
        </is>
      </c>
      <c r="E181" s="47" t="inlineStr">
        <is>
          <t>required-enabler</t>
        </is>
      </c>
      <c r="F181" s="46" t="inlineStr">
        <is>
          <t>4.2</t>
        </is>
      </c>
      <c r="G181" s="46" t="inlineStr">
        <is>
          <t>4.2.4</t>
        </is>
      </c>
      <c r="H181" s="19">
        <f>IF(COUNTIFS($A$2:A181,A181,$F$2:F181,F181)=1,1,0)</f>
        <v/>
      </c>
      <c r="I181" s="19">
        <f>IF(AND(OR(E181="required-enabler",E181="optional-enabler"),COUNTIFS($A$2:A181,A181,$F$2:F181,F181,$E$2:E181,E181)=1),1,0)</f>
        <v/>
      </c>
    </row>
    <row r="182">
      <c r="A182" s="46" t="inlineStr">
        <is>
          <t>S8.21</t>
        </is>
      </c>
      <c r="B182" s="15" t="inlineStr">
        <is>
          <t>Model Documentation Generation</t>
        </is>
      </c>
      <c r="C182" s="11" t="inlineStr">
        <is>
          <t>S8</t>
        </is>
      </c>
      <c r="D182" s="11" t="inlineStr">
        <is>
          <t>SVC</t>
        </is>
      </c>
      <c r="E182" s="47" t="inlineStr">
        <is>
          <t>evidence-provider</t>
        </is>
      </c>
      <c r="F182" s="46" t="inlineStr">
        <is>
          <t>7.2</t>
        </is>
      </c>
      <c r="G182" s="46" t="inlineStr">
        <is>
          <t>7.2.2</t>
        </is>
      </c>
      <c r="H182" s="19">
        <f>IF(COUNTIFS($A$2:A182,A182,$F$2:F182,F182)=1,1,0)</f>
        <v/>
      </c>
      <c r="I182" s="19">
        <f>IF(AND(OR(E182="required-enabler",E182="optional-enabler"),COUNTIFS($A$2:A182,A182,$F$2:F182,F182,$E$2:E182,E182)=1),1,0)</f>
        <v/>
      </c>
    </row>
    <row r="183">
      <c r="A183" s="46" t="inlineStr">
        <is>
          <t>S8.22</t>
        </is>
      </c>
      <c r="B183" s="15" t="inlineStr">
        <is>
          <t>Permitted-Use &amp; Consent Metadata</t>
        </is>
      </c>
      <c r="C183" s="11" t="inlineStr">
        <is>
          <t>S8</t>
        </is>
      </c>
      <c r="D183" s="11" t="inlineStr">
        <is>
          <t>ABB</t>
        </is>
      </c>
      <c r="E183" s="47" t="inlineStr">
        <is>
          <t>required-enabler</t>
        </is>
      </c>
      <c r="F183" s="46" t="inlineStr">
        <is>
          <t>3.2</t>
        </is>
      </c>
      <c r="G183" s="46" t="inlineStr">
        <is>
          <t>3.2.2</t>
        </is>
      </c>
      <c r="H183" s="19">
        <f>IF(COUNTIFS($A$2:A183,A183,$F$2:F183,F183)=1,1,0)</f>
        <v/>
      </c>
      <c r="I183" s="19">
        <f>IF(AND(OR(E183="required-enabler",E183="optional-enabler"),COUNTIFS($A$2:A183,A183,$F$2:F183,F183,$E$2:E183,E183)=1),1,0)</f>
        <v/>
      </c>
    </row>
    <row r="184">
      <c r="A184" s="46" t="inlineStr">
        <is>
          <t>S8.22</t>
        </is>
      </c>
      <c r="B184" s="15" t="inlineStr">
        <is>
          <t>Permitted-Use &amp; Consent Metadata</t>
        </is>
      </c>
      <c r="C184" s="11" t="inlineStr">
        <is>
          <t>S8</t>
        </is>
      </c>
      <c r="D184" s="11" t="inlineStr">
        <is>
          <t>ABB</t>
        </is>
      </c>
      <c r="E184" s="47" t="inlineStr">
        <is>
          <t>required-enabler</t>
        </is>
      </c>
      <c r="F184" s="46" t="inlineStr">
        <is>
          <t>3.2</t>
        </is>
      </c>
      <c r="G184" s="46" t="inlineStr">
        <is>
          <t>3.2.4</t>
        </is>
      </c>
      <c r="H184" s="19">
        <f>IF(COUNTIFS($A$2:A184,A184,$F$2:F184,F184)=1,1,0)</f>
        <v/>
      </c>
      <c r="I184" s="19">
        <f>IF(AND(OR(E184="required-enabler",E184="optional-enabler"),COUNTIFS($A$2:A184,A184,$F$2:F184,F184,$E$2:E184,E184)=1),1,0)</f>
        <v/>
      </c>
    </row>
    <row r="185">
      <c r="A185" s="46" t="inlineStr">
        <is>
          <t>S8.23</t>
        </is>
      </c>
      <c r="B185" s="15" t="inlineStr">
        <is>
          <t>Architecture Repository &amp; Decision Records</t>
        </is>
      </c>
      <c r="C185" s="11" t="inlineStr">
        <is>
          <t>S8</t>
        </is>
      </c>
      <c r="D185" s="11" t="inlineStr">
        <is>
          <t>ABB</t>
        </is>
      </c>
      <c r="E185" s="47" t="inlineStr">
        <is>
          <t>required-enabler</t>
        </is>
      </c>
      <c r="F185" s="46" t="inlineStr">
        <is>
          <t>4.1</t>
        </is>
      </c>
      <c r="G185" s="46" t="inlineStr">
        <is>
          <t>4.1.3</t>
        </is>
      </c>
      <c r="H185" s="19">
        <f>IF(COUNTIFS($A$2:A185,A185,$F$2:F185,F185)=1,1,0)</f>
        <v/>
      </c>
      <c r="I185" s="19">
        <f>IF(AND(OR(E185="required-enabler",E185="optional-enabler"),COUNTIFS($A$2:A185,A185,$F$2:F185,F185,$E$2:E185,E185)=1),1,0)</f>
        <v/>
      </c>
    </row>
    <row r="186">
      <c r="A186" s="46" t="inlineStr">
        <is>
          <t>S8.23</t>
        </is>
      </c>
      <c r="B186" s="15" t="inlineStr">
        <is>
          <t>Architecture Repository &amp; Decision Records</t>
        </is>
      </c>
      <c r="C186" s="11" t="inlineStr">
        <is>
          <t>S8</t>
        </is>
      </c>
      <c r="D186" s="11" t="inlineStr">
        <is>
          <t>ABB</t>
        </is>
      </c>
      <c r="E186" s="47" t="inlineStr">
        <is>
          <t>required-enabler</t>
        </is>
      </c>
      <c r="F186" s="46" t="inlineStr">
        <is>
          <t>4.1</t>
        </is>
      </c>
      <c r="G186" s="46" t="inlineStr">
        <is>
          <t>4.1.6</t>
        </is>
      </c>
      <c r="H186" s="19">
        <f>IF(COUNTIFS($A$2:A186,A186,$F$2:F186,F186)=1,1,0)</f>
        <v/>
      </c>
      <c r="I186" s="19">
        <f>IF(AND(OR(E186="required-enabler",E186="optional-enabler"),COUNTIFS($A$2:A186,A186,$F$2:F186,F186,$E$2:E186,E186)=1),1,0)</f>
        <v/>
      </c>
    </row>
    <row r="187">
      <c r="A187" s="46" t="inlineStr">
        <is>
          <t>S8.24</t>
        </is>
      </c>
      <c r="B187" s="15" t="inlineStr">
        <is>
          <t>Conformance Test Harness</t>
        </is>
      </c>
      <c r="C187" s="11" t="inlineStr">
        <is>
          <t>S8</t>
        </is>
      </c>
      <c r="D187" s="11" t="inlineStr">
        <is>
          <t>SVC</t>
        </is>
      </c>
      <c r="E187" s="47" t="inlineStr">
        <is>
          <t>evidence-provider</t>
        </is>
      </c>
      <c r="F187" s="46" t="inlineStr">
        <is>
          <t>4.1</t>
        </is>
      </c>
      <c r="G187" s="46" t="inlineStr">
        <is>
          <t>4.1.7</t>
        </is>
      </c>
      <c r="H187" s="19">
        <f>IF(COUNTIFS($A$2:A187,A187,$F$2:F187,F187)=1,1,0)</f>
        <v/>
      </c>
      <c r="I187" s="19">
        <f>IF(AND(OR(E187="required-enabler",E187="optional-enabler"),COUNTIFS($A$2:A187,A187,$F$2:F187,F187,$E$2:E187,E187)=1),1,0)</f>
        <v/>
      </c>
    </row>
    <row r="188">
      <c r="A188" s="46" t="inlineStr">
        <is>
          <t>S8.24</t>
        </is>
      </c>
      <c r="B188" s="15" t="inlineStr">
        <is>
          <t>Conformance Test Harness</t>
        </is>
      </c>
      <c r="C188" s="11" t="inlineStr">
        <is>
          <t>S8</t>
        </is>
      </c>
      <c r="D188" s="11" t="inlineStr">
        <is>
          <t>SVC</t>
        </is>
      </c>
      <c r="E188" s="47" t="inlineStr">
        <is>
          <t>operational-support</t>
        </is>
      </c>
      <c r="F188" s="46" t="inlineStr">
        <is>
          <t>4.6</t>
        </is>
      </c>
      <c r="G188" s="46" t="inlineStr">
        <is>
          <t>4.6.3</t>
        </is>
      </c>
      <c r="H188" s="19">
        <f>IF(COUNTIFS($A$2:A188,A188,$F$2:F188,F188)=1,1,0)</f>
        <v/>
      </c>
      <c r="I188" s="19">
        <f>IF(AND(OR(E188="required-enabler",E188="optional-enabler"),COUNTIFS($A$2:A188,A188,$F$2:F188,F188,$E$2:E188,E188)=1),1,0)</f>
        <v/>
      </c>
    </row>
    <row r="189">
      <c r="A189" s="46" t="inlineStr">
        <is>
          <t>S9.1</t>
        </is>
      </c>
      <c r="B189" s="15" t="inlineStr">
        <is>
          <t>Trace Instrumentation &amp; Context Propagation</t>
        </is>
      </c>
      <c r="C189" s="11" t="inlineStr">
        <is>
          <t>S9</t>
        </is>
      </c>
      <c r="D189" s="11" t="inlineStr">
        <is>
          <t>ABB</t>
        </is>
      </c>
      <c r="E189" s="47" t="inlineStr">
        <is>
          <t>operational-support</t>
        </is>
      </c>
      <c r="F189" s="46" t="inlineStr">
        <is>
          <t>6.2</t>
        </is>
      </c>
      <c r="G189" s="46" t="inlineStr">
        <is>
          <t>6.2.1</t>
        </is>
      </c>
      <c r="H189" s="19">
        <f>IF(COUNTIFS($A$2:A189,A189,$F$2:F189,F189)=1,1,0)</f>
        <v/>
      </c>
      <c r="I189" s="19">
        <f>IF(AND(OR(E189="required-enabler",E189="optional-enabler"),COUNTIFS($A$2:A189,A189,$F$2:F189,F189,$E$2:E189,E189)=1),1,0)</f>
        <v/>
      </c>
    </row>
    <row r="190">
      <c r="A190" s="46" t="inlineStr">
        <is>
          <t>S9.1</t>
        </is>
      </c>
      <c r="B190" s="15" t="inlineStr">
        <is>
          <t>Trace Instrumentation &amp; Context Propagation</t>
        </is>
      </c>
      <c r="C190" s="11" t="inlineStr">
        <is>
          <t>S9</t>
        </is>
      </c>
      <c r="D190" s="11" t="inlineStr">
        <is>
          <t>ABB</t>
        </is>
      </c>
      <c r="E190" s="47" t="inlineStr">
        <is>
          <t>operational-support</t>
        </is>
      </c>
      <c r="F190" s="46" t="inlineStr">
        <is>
          <t>6.2</t>
        </is>
      </c>
      <c r="G190" s="46" t="inlineStr">
        <is>
          <t>6.2.2</t>
        </is>
      </c>
      <c r="H190" s="19">
        <f>IF(COUNTIFS($A$2:A190,A190,$F$2:F190,F190)=1,1,0)</f>
        <v/>
      </c>
      <c r="I190" s="19">
        <f>IF(AND(OR(E190="required-enabler",E190="optional-enabler"),COUNTIFS($A$2:A190,A190,$F$2:F190,F190,$E$2:E190,E190)=1),1,0)</f>
        <v/>
      </c>
    </row>
    <row r="191">
      <c r="A191" s="46" t="inlineStr">
        <is>
          <t>S9.2</t>
        </is>
      </c>
      <c r="B191" s="15" t="inlineStr">
        <is>
          <t>Interaction &amp; Prompt Logging</t>
        </is>
      </c>
      <c r="C191" s="11" t="inlineStr">
        <is>
          <t>S9</t>
        </is>
      </c>
      <c r="D191" s="11" t="inlineStr">
        <is>
          <t>ABB</t>
        </is>
      </c>
      <c r="E191" s="47" t="inlineStr">
        <is>
          <t>operational-support</t>
        </is>
      </c>
      <c r="F191" s="46" t="inlineStr">
        <is>
          <t>6.2</t>
        </is>
      </c>
      <c r="G191" s="46" t="inlineStr">
        <is>
          <t>6.2.2</t>
        </is>
      </c>
      <c r="H191" s="19">
        <f>IF(COUNTIFS($A$2:A191,A191,$F$2:F191,F191)=1,1,0)</f>
        <v/>
      </c>
      <c r="I191" s="19">
        <f>IF(AND(OR(E191="required-enabler",E191="optional-enabler"),COUNTIFS($A$2:A191,A191,$F$2:F191,F191,$E$2:E191,E191)=1),1,0)</f>
        <v/>
      </c>
    </row>
    <row r="192">
      <c r="A192" s="46" t="inlineStr">
        <is>
          <t>S9.2</t>
        </is>
      </c>
      <c r="B192" s="15" t="inlineStr">
        <is>
          <t>Interaction &amp; Prompt Logging</t>
        </is>
      </c>
      <c r="C192" s="11" t="inlineStr">
        <is>
          <t>S9</t>
        </is>
      </c>
      <c r="D192" s="11" t="inlineStr">
        <is>
          <t>ABB</t>
        </is>
      </c>
      <c r="E192" s="47" t="inlineStr">
        <is>
          <t>evidence-provider</t>
        </is>
      </c>
      <c r="F192" s="46" t="inlineStr">
        <is>
          <t>7.8</t>
        </is>
      </c>
      <c r="G192" s="46" t="inlineStr">
        <is>
          <t>7.8.2</t>
        </is>
      </c>
      <c r="H192" s="19">
        <f>IF(COUNTIFS($A$2:A192,A192,$F$2:F192,F192)=1,1,0)</f>
        <v/>
      </c>
      <c r="I192" s="19">
        <f>IF(AND(OR(E192="required-enabler",E192="optional-enabler"),COUNTIFS($A$2:A192,A192,$F$2:F192,F192,$E$2:E192,E192)=1),1,0)</f>
        <v/>
      </c>
    </row>
    <row r="193">
      <c r="A193" s="46" t="inlineStr">
        <is>
          <t>S9.3</t>
        </is>
      </c>
      <c r="B193" s="15" t="inlineStr">
        <is>
          <t>Agent Action &amp; Tool-Call Auditing</t>
        </is>
      </c>
      <c r="C193" s="11" t="inlineStr">
        <is>
          <t>S9</t>
        </is>
      </c>
      <c r="D193" s="11" t="inlineStr">
        <is>
          <t>ABB</t>
        </is>
      </c>
      <c r="E193" s="47" t="inlineStr">
        <is>
          <t>operational-support</t>
        </is>
      </c>
      <c r="F193" s="46" t="inlineStr">
        <is>
          <t>6.2</t>
        </is>
      </c>
      <c r="G193" s="46" t="inlineStr">
        <is>
          <t>6.2.3</t>
        </is>
      </c>
      <c r="H193" s="19">
        <f>IF(COUNTIFS($A$2:A193,A193,$F$2:F193,F193)=1,1,0)</f>
        <v/>
      </c>
      <c r="I193" s="19">
        <f>IF(AND(OR(E193="required-enabler",E193="optional-enabler"),COUNTIFS($A$2:A193,A193,$F$2:F193,F193,$E$2:E193,E193)=1),1,0)</f>
        <v/>
      </c>
    </row>
    <row r="194">
      <c r="A194" s="46" t="inlineStr">
        <is>
          <t>S9.3</t>
        </is>
      </c>
      <c r="B194" s="15" t="inlineStr">
        <is>
          <t>Agent Action &amp; Tool-Call Auditing</t>
        </is>
      </c>
      <c r="C194" s="11" t="inlineStr">
        <is>
          <t>S9</t>
        </is>
      </c>
      <c r="D194" s="11" t="inlineStr">
        <is>
          <t>ABB</t>
        </is>
      </c>
      <c r="E194" s="47" t="inlineStr">
        <is>
          <t>evidence-provider</t>
        </is>
      </c>
      <c r="F194" s="46" t="inlineStr">
        <is>
          <t>7.8</t>
        </is>
      </c>
      <c r="G194" s="46" t="inlineStr">
        <is>
          <t>7.8.2</t>
        </is>
      </c>
      <c r="H194" s="19">
        <f>IF(COUNTIFS($A$2:A194,A194,$F$2:F194,F194)=1,1,0)</f>
        <v/>
      </c>
      <c r="I194" s="19">
        <f>IF(AND(OR(E194="required-enabler",E194="optional-enabler"),COUNTIFS($A$2:A194,A194,$F$2:F194,F194,$E$2:E194,E194)=1),1,0)</f>
        <v/>
      </c>
    </row>
    <row r="195">
      <c r="A195" s="46" t="inlineStr">
        <is>
          <t>S9.4</t>
        </is>
      </c>
      <c r="B195" s="15" t="inlineStr">
        <is>
          <t>Token &amp; Consumption Metering</t>
        </is>
      </c>
      <c r="C195" s="11" t="inlineStr">
        <is>
          <t>S9</t>
        </is>
      </c>
      <c r="D195" s="11" t="inlineStr">
        <is>
          <t>ABB</t>
        </is>
      </c>
      <c r="E195" s="47" t="inlineStr">
        <is>
          <t>operational-support</t>
        </is>
      </c>
      <c r="F195" s="46" t="inlineStr">
        <is>
          <t>6.5</t>
        </is>
      </c>
      <c r="G195" s="46" t="inlineStr">
        <is>
          <t>6.5.1</t>
        </is>
      </c>
      <c r="H195" s="19">
        <f>IF(COUNTIFS($A$2:A195,A195,$F$2:F195,F195)=1,1,0)</f>
        <v/>
      </c>
      <c r="I195" s="19">
        <f>IF(AND(OR(E195="required-enabler",E195="optional-enabler"),COUNTIFS($A$2:A195,A195,$F$2:F195,F195,$E$2:E195,E195)=1),1,0)</f>
        <v/>
      </c>
    </row>
    <row r="196">
      <c r="A196" s="46" t="inlineStr">
        <is>
          <t>S9.5</t>
        </is>
      </c>
      <c r="B196" s="15" t="inlineStr">
        <is>
          <t>Cost Attribution &amp; Showback</t>
        </is>
      </c>
      <c r="C196" s="11" t="inlineStr">
        <is>
          <t>S9</t>
        </is>
      </c>
      <c r="D196" s="11" t="inlineStr">
        <is>
          <t>ABB</t>
        </is>
      </c>
      <c r="E196" s="47" t="inlineStr">
        <is>
          <t>operational-support</t>
        </is>
      </c>
      <c r="F196" s="46" t="inlineStr">
        <is>
          <t>6.5</t>
        </is>
      </c>
      <c r="G196" s="46" t="inlineStr">
        <is>
          <t>6.5.1</t>
        </is>
      </c>
      <c r="H196" s="19">
        <f>IF(COUNTIFS($A$2:A196,A196,$F$2:F196,F196)=1,1,0)</f>
        <v/>
      </c>
      <c r="I196" s="19">
        <f>IF(AND(OR(E196="required-enabler",E196="optional-enabler"),COUNTIFS($A$2:A196,A196,$F$2:F196,F196,$E$2:E196,E196)=1),1,0)</f>
        <v/>
      </c>
    </row>
    <row r="197">
      <c r="A197" s="46" t="inlineStr">
        <is>
          <t>S9.5</t>
        </is>
      </c>
      <c r="B197" s="15" t="inlineStr">
        <is>
          <t>Cost Attribution &amp; Showback</t>
        </is>
      </c>
      <c r="C197" s="11" t="inlineStr">
        <is>
          <t>S9</t>
        </is>
      </c>
      <c r="D197" s="11" t="inlineStr">
        <is>
          <t>ABB</t>
        </is>
      </c>
      <c r="E197" s="47" t="inlineStr">
        <is>
          <t>operational-support</t>
        </is>
      </c>
      <c r="F197" s="46" t="inlineStr">
        <is>
          <t>6.5</t>
        </is>
      </c>
      <c r="G197" s="46" t="inlineStr">
        <is>
          <t>6.5.3</t>
        </is>
      </c>
      <c r="H197" s="19">
        <f>IF(COUNTIFS($A$2:A197,A197,$F$2:F197,F197)=1,1,0)</f>
        <v/>
      </c>
      <c r="I197" s="19">
        <f>IF(AND(OR(E197="required-enabler",E197="optional-enabler"),COUNTIFS($A$2:A197,A197,$F$2:F197,F197,$E$2:E197,E197)=1),1,0)</f>
        <v/>
      </c>
    </row>
    <row r="198">
      <c r="A198" s="46" t="inlineStr">
        <is>
          <t>S9.6</t>
        </is>
      </c>
      <c r="B198" s="15" t="inlineStr">
        <is>
          <t>Production Evaluation &amp; Online Scoring</t>
        </is>
      </c>
      <c r="C198" s="11" t="inlineStr">
        <is>
          <t>S9</t>
        </is>
      </c>
      <c r="D198" s="11" t="inlineStr">
        <is>
          <t>SVC</t>
        </is>
      </c>
      <c r="E198" s="47" t="inlineStr">
        <is>
          <t>evidence-provider</t>
        </is>
      </c>
      <c r="F198" s="46" t="inlineStr">
        <is>
          <t>6.3</t>
        </is>
      </c>
      <c r="G198" s="46" t="inlineStr">
        <is>
          <t>6.3.1</t>
        </is>
      </c>
      <c r="H198" s="19">
        <f>IF(COUNTIFS($A$2:A198,A198,$F$2:F198,F198)=1,1,0)</f>
        <v/>
      </c>
      <c r="I198" s="19">
        <f>IF(AND(OR(E198="required-enabler",E198="optional-enabler"),COUNTIFS($A$2:A198,A198,$F$2:F198,F198,$E$2:E198,E198)=1),1,0)</f>
        <v/>
      </c>
    </row>
    <row r="199">
      <c r="A199" s="46" t="inlineStr">
        <is>
          <t>S9.6</t>
        </is>
      </c>
      <c r="B199" s="15" t="inlineStr">
        <is>
          <t>Production Evaluation &amp; Online Scoring</t>
        </is>
      </c>
      <c r="C199" s="11" t="inlineStr">
        <is>
          <t>S9</t>
        </is>
      </c>
      <c r="D199" s="11" t="inlineStr">
        <is>
          <t>SVC</t>
        </is>
      </c>
      <c r="E199" s="47" t="inlineStr">
        <is>
          <t>operational-support</t>
        </is>
      </c>
      <c r="F199" s="46" t="inlineStr">
        <is>
          <t>4.6</t>
        </is>
      </c>
      <c r="G199" s="46" t="inlineStr">
        <is>
          <t>4.6.3</t>
        </is>
      </c>
      <c r="H199" s="19">
        <f>IF(COUNTIFS($A$2:A199,A199,$F$2:F199,F199)=1,1,0)</f>
        <v/>
      </c>
      <c r="I199" s="19">
        <f>IF(AND(OR(E199="required-enabler",E199="optional-enabler"),COUNTIFS($A$2:A199,A199,$F$2:F199,F199,$E$2:E199,E199)=1),1,0)</f>
        <v/>
      </c>
    </row>
    <row r="200">
      <c r="A200" s="46" t="inlineStr">
        <is>
          <t>S9.7</t>
        </is>
      </c>
      <c r="B200" s="15" t="inlineStr">
        <is>
          <t>Drift Detection</t>
        </is>
      </c>
      <c r="C200" s="11" t="inlineStr">
        <is>
          <t>S9</t>
        </is>
      </c>
      <c r="D200" s="11" t="inlineStr">
        <is>
          <t>SVC</t>
        </is>
      </c>
      <c r="E200" s="47" t="inlineStr">
        <is>
          <t>evidence-provider</t>
        </is>
      </c>
      <c r="F200" s="46" t="inlineStr">
        <is>
          <t>6.3</t>
        </is>
      </c>
      <c r="G200" s="46" t="inlineStr">
        <is>
          <t>6.3.2</t>
        </is>
      </c>
      <c r="H200" s="19">
        <f>IF(COUNTIFS($A$2:A200,A200,$F$2:F200,F200)=1,1,0)</f>
        <v/>
      </c>
      <c r="I200" s="19">
        <f>IF(AND(OR(E200="required-enabler",E200="optional-enabler"),COUNTIFS($A$2:A200,A200,$F$2:F200,F200,$E$2:E200,E200)=1),1,0)</f>
        <v/>
      </c>
    </row>
    <row r="201">
      <c r="A201" s="46" t="inlineStr">
        <is>
          <t>S9.8</t>
        </is>
      </c>
      <c r="B201" s="15" t="inlineStr">
        <is>
          <t>Bias &amp; Fairness Monitoring</t>
        </is>
      </c>
      <c r="C201" s="11" t="inlineStr">
        <is>
          <t>S9</t>
        </is>
      </c>
      <c r="D201" s="11" t="inlineStr">
        <is>
          <t>SVC</t>
        </is>
      </c>
      <c r="E201" s="47" t="inlineStr">
        <is>
          <t>evidence-provider</t>
        </is>
      </c>
      <c r="F201" s="46" t="inlineStr">
        <is>
          <t>6.3</t>
        </is>
      </c>
      <c r="G201" s="46" t="inlineStr">
        <is>
          <t>6.3.3</t>
        </is>
      </c>
      <c r="H201" s="19">
        <f>IF(COUNTIFS($A$2:A201,A201,$F$2:F201,F201)=1,1,0)</f>
        <v/>
      </c>
      <c r="I201" s="19">
        <f>IF(AND(OR(E201="required-enabler",E201="optional-enabler"),COUNTIFS($A$2:A201,A201,$F$2:F201,F201,$E$2:E201,E201)=1),1,0)</f>
        <v/>
      </c>
    </row>
    <row r="202">
      <c r="A202" s="46" t="inlineStr">
        <is>
          <t>S9.8</t>
        </is>
      </c>
      <c r="B202" s="15" t="inlineStr">
        <is>
          <t>Bias &amp; Fairness Monitoring</t>
        </is>
      </c>
      <c r="C202" s="11" t="inlineStr">
        <is>
          <t>S9</t>
        </is>
      </c>
      <c r="D202" s="11" t="inlineStr">
        <is>
          <t>SVC</t>
        </is>
      </c>
      <c r="E202" s="47" t="inlineStr">
        <is>
          <t>evidence-provider</t>
        </is>
      </c>
      <c r="F202" s="46" t="inlineStr">
        <is>
          <t>7.2</t>
        </is>
      </c>
      <c r="G202" s="46" t="inlineStr">
        <is>
          <t>7.2.1</t>
        </is>
      </c>
      <c r="H202" s="19">
        <f>IF(COUNTIFS($A$2:A202,A202,$F$2:F202,F202)=1,1,0)</f>
        <v/>
      </c>
      <c r="I202" s="19">
        <f>IF(AND(OR(E202="required-enabler",E202="optional-enabler"),COUNTIFS($A$2:A202,A202,$F$2:F202,F202,$E$2:E202,E202)=1),1,0)</f>
        <v/>
      </c>
    </row>
    <row r="203">
      <c r="A203" s="46" t="inlineStr">
        <is>
          <t>S9.9</t>
        </is>
      </c>
      <c r="B203" s="15" t="inlineStr">
        <is>
          <t>Feedback Capture</t>
        </is>
      </c>
      <c r="C203" s="11" t="inlineStr">
        <is>
          <t>S9</t>
        </is>
      </c>
      <c r="D203" s="11" t="inlineStr">
        <is>
          <t>ABB</t>
        </is>
      </c>
      <c r="E203" s="47" t="inlineStr">
        <is>
          <t>evidence-provider</t>
        </is>
      </c>
      <c r="F203" s="46" t="inlineStr">
        <is>
          <t>6.3</t>
        </is>
      </c>
      <c r="G203" s="46" t="inlineStr">
        <is>
          <t>6.3.4</t>
        </is>
      </c>
      <c r="H203" s="19">
        <f>IF(COUNTIFS($A$2:A203,A203,$F$2:F203,F203)=1,1,0)</f>
        <v/>
      </c>
      <c r="I203" s="19">
        <f>IF(AND(OR(E203="required-enabler",E203="optional-enabler"),COUNTIFS($A$2:A203,A203,$F$2:F203,F203,$E$2:E203,E203)=1),1,0)</f>
        <v/>
      </c>
    </row>
    <row r="204">
      <c r="A204" s="46" t="inlineStr">
        <is>
          <t>S9.9</t>
        </is>
      </c>
      <c r="B204" s="15" t="inlineStr">
        <is>
          <t>Feedback Capture</t>
        </is>
      </c>
      <c r="C204" s="11" t="inlineStr">
        <is>
          <t>S9</t>
        </is>
      </c>
      <c r="D204" s="11" t="inlineStr">
        <is>
          <t>ABB</t>
        </is>
      </c>
      <c r="E204" s="47" t="inlineStr">
        <is>
          <t>operational-support</t>
        </is>
      </c>
      <c r="F204" s="46" t="inlineStr">
        <is>
          <t>2.3</t>
        </is>
      </c>
      <c r="G204" s="46" t="inlineStr">
        <is>
          <t>2.3.3</t>
        </is>
      </c>
      <c r="H204" s="19">
        <f>IF(COUNTIFS($A$2:A204,A204,$F$2:F204,F204)=1,1,0)</f>
        <v/>
      </c>
      <c r="I204" s="19">
        <f>IF(AND(OR(E204="required-enabler",E204="optional-enabler"),COUNTIFS($A$2:A204,A204,$F$2:F204,F204,$E$2:E204,E204)=1),1,0)</f>
        <v/>
      </c>
    </row>
    <row r="205">
      <c r="A205" s="46" t="inlineStr">
        <is>
          <t>S9.10</t>
        </is>
      </c>
      <c r="B205" s="15" t="inlineStr">
        <is>
          <t>Alerting &amp; Service Level Management</t>
        </is>
      </c>
      <c r="C205" s="11" t="inlineStr">
        <is>
          <t>S9</t>
        </is>
      </c>
      <c r="D205" s="11" t="inlineStr">
        <is>
          <t>ABB</t>
        </is>
      </c>
      <c r="E205" s="47" t="inlineStr">
        <is>
          <t>operational-support</t>
        </is>
      </c>
      <c r="F205" s="46" t="inlineStr">
        <is>
          <t>6.2</t>
        </is>
      </c>
      <c r="G205" s="46" t="inlineStr">
        <is>
          <t>6.2.4</t>
        </is>
      </c>
      <c r="H205" s="19">
        <f>IF(COUNTIFS($A$2:A205,A205,$F$2:F205,F205)=1,1,0)</f>
        <v/>
      </c>
      <c r="I205" s="19">
        <f>IF(AND(OR(E205="required-enabler",E205="optional-enabler"),COUNTIFS($A$2:A205,A205,$F$2:F205,F205,$E$2:E205,E205)=1),1,0)</f>
        <v/>
      </c>
    </row>
    <row r="206">
      <c r="A206" s="46" t="inlineStr">
        <is>
          <t>S9.10</t>
        </is>
      </c>
      <c r="B206" s="15" t="inlineStr">
        <is>
          <t>Alerting &amp; Service Level Management</t>
        </is>
      </c>
      <c r="C206" s="11" t="inlineStr">
        <is>
          <t>S9</t>
        </is>
      </c>
      <c r="D206" s="11" t="inlineStr">
        <is>
          <t>ABB</t>
        </is>
      </c>
      <c r="E206" s="47" t="inlineStr">
        <is>
          <t>operational-support</t>
        </is>
      </c>
      <c r="F206" s="46" t="inlineStr">
        <is>
          <t>6.1</t>
        </is>
      </c>
      <c r="G206" s="46" t="inlineStr">
        <is>
          <t>6.1.4</t>
        </is>
      </c>
      <c r="H206" s="19">
        <f>IF(COUNTIFS($A$2:A206,A206,$F$2:F206,F206)=1,1,0)</f>
        <v/>
      </c>
      <c r="I206" s="19">
        <f>IF(AND(OR(E206="required-enabler",E206="optional-enabler"),COUNTIFS($A$2:A206,A206,$F$2:F206,F206,$E$2:E206,E206)=1),1,0)</f>
        <v/>
      </c>
    </row>
    <row r="207">
      <c r="A207" s="46" t="inlineStr">
        <is>
          <t>S9.11</t>
        </is>
      </c>
      <c r="B207" s="15" t="inlineStr">
        <is>
          <t>Fleet &amp; Agent Inventory Telemetry</t>
        </is>
      </c>
      <c r="C207" s="11" t="inlineStr">
        <is>
          <t>S9</t>
        </is>
      </c>
      <c r="D207" s="11" t="inlineStr">
        <is>
          <t>ABB</t>
        </is>
      </c>
      <c r="E207" s="47" t="inlineStr">
        <is>
          <t>required-enabler</t>
        </is>
      </c>
      <c r="F207" s="46" t="inlineStr">
        <is>
          <t>7.7</t>
        </is>
      </c>
      <c r="G207" s="46" t="inlineStr">
        <is>
          <t>7.7.4</t>
        </is>
      </c>
      <c r="H207" s="19">
        <f>IF(COUNTIFS($A$2:A207,A207,$F$2:F207,F207)=1,1,0)</f>
        <v/>
      </c>
      <c r="I207" s="19">
        <f>IF(AND(OR(E207="required-enabler",E207="optional-enabler"),COUNTIFS($A$2:A207,A207,$F$2:F207,F207,$E$2:E207,E207)=1),1,0)</f>
        <v/>
      </c>
    </row>
    <row r="208">
      <c r="A208" s="46" t="inlineStr">
        <is>
          <t>S9.11</t>
        </is>
      </c>
      <c r="B208" s="15" t="inlineStr">
        <is>
          <t>Fleet &amp; Agent Inventory Telemetry</t>
        </is>
      </c>
      <c r="C208" s="11" t="inlineStr">
        <is>
          <t>S9</t>
        </is>
      </c>
      <c r="D208" s="11" t="inlineStr">
        <is>
          <t>ABB</t>
        </is>
      </c>
      <c r="E208" s="47" t="inlineStr">
        <is>
          <t>evidence-provider</t>
        </is>
      </c>
      <c r="F208" s="46" t="inlineStr">
        <is>
          <t>7.7</t>
        </is>
      </c>
      <c r="G208" s="46" t="inlineStr">
        <is>
          <t>7.7.5</t>
        </is>
      </c>
      <c r="H208" s="19">
        <f>IF(COUNTIFS($A$2:A208,A208,$F$2:F208,F208)=1,1,0)</f>
        <v/>
      </c>
      <c r="I208" s="19">
        <f>IF(AND(OR(E208="required-enabler",E208="optional-enabler"),COUNTIFS($A$2:A208,A208,$F$2:F208,F208,$E$2:E208,E208)=1),1,0)</f>
        <v/>
      </c>
    </row>
    <row r="209">
      <c r="A209" s="46" t="inlineStr">
        <is>
          <t>S9.12</t>
        </is>
      </c>
      <c r="B209" s="15" t="inlineStr">
        <is>
          <t>Immutable Audit Trail</t>
        </is>
      </c>
      <c r="C209" s="11" t="inlineStr">
        <is>
          <t>S9</t>
        </is>
      </c>
      <c r="D209" s="11" t="inlineStr">
        <is>
          <t>ABB</t>
        </is>
      </c>
      <c r="E209" s="47" t="inlineStr">
        <is>
          <t>evidence-provider</t>
        </is>
      </c>
      <c r="F209" s="46" t="inlineStr">
        <is>
          <t>7.8</t>
        </is>
      </c>
      <c r="G209" s="46" t="inlineStr">
        <is>
          <t>7.8.2</t>
        </is>
      </c>
      <c r="H209" s="19">
        <f>IF(COUNTIFS($A$2:A209,A209,$F$2:F209,F209)=1,1,0)</f>
        <v/>
      </c>
      <c r="I209" s="19">
        <f>IF(AND(OR(E209="required-enabler",E209="optional-enabler"),COUNTIFS($A$2:A209,A209,$F$2:F209,F209,$E$2:E209,E209)=1),1,0)</f>
        <v/>
      </c>
    </row>
    <row r="210">
      <c r="A210" s="46" t="inlineStr">
        <is>
          <t>S9.12</t>
        </is>
      </c>
      <c r="B210" s="15" t="inlineStr">
        <is>
          <t>Immutable Audit Trail</t>
        </is>
      </c>
      <c r="C210" s="11" t="inlineStr">
        <is>
          <t>S9</t>
        </is>
      </c>
      <c r="D210" s="11" t="inlineStr">
        <is>
          <t>ABB</t>
        </is>
      </c>
      <c r="E210" s="47" t="inlineStr">
        <is>
          <t>evidence-provider</t>
        </is>
      </c>
      <c r="F210" s="46" t="inlineStr">
        <is>
          <t>7.8</t>
        </is>
      </c>
      <c r="G210" s="46" t="inlineStr">
        <is>
          <t>7.8.1</t>
        </is>
      </c>
      <c r="H210" s="19">
        <f>IF(COUNTIFS($A$2:A210,A210,$F$2:F210,F210)=1,1,0)</f>
        <v/>
      </c>
      <c r="I210" s="19">
        <f>IF(AND(OR(E210="required-enabler",E210="optional-enabler"),COUNTIFS($A$2:A210,A210,$F$2:F210,F210,$E$2:E210,E210)=1),1,0)</f>
        <v/>
      </c>
    </row>
    <row r="211">
      <c r="A211" s="46" t="inlineStr">
        <is>
          <t>S9.13</t>
        </is>
      </c>
      <c r="B211" s="15" t="inlineStr">
        <is>
          <t>Energy &amp; Emissions Metering</t>
        </is>
      </c>
      <c r="C211" s="11" t="inlineStr">
        <is>
          <t>S9</t>
        </is>
      </c>
      <c r="D211" s="11" t="inlineStr">
        <is>
          <t>ABB</t>
        </is>
      </c>
      <c r="E211" s="47" t="inlineStr">
        <is>
          <t>evidence-provider</t>
        </is>
      </c>
      <c r="F211" s="46" t="inlineStr">
        <is>
          <t>7.2</t>
        </is>
      </c>
      <c r="G211" s="46" t="inlineStr">
        <is>
          <t>7.2.5</t>
        </is>
      </c>
      <c r="H211" s="19">
        <f>IF(COUNTIFS($A$2:A211,A211,$F$2:F211,F211)=1,1,0)</f>
        <v/>
      </c>
      <c r="I211" s="19">
        <f>IF(AND(OR(E211="required-enabler",E211="optional-enabler"),COUNTIFS($A$2:A211,A211,$F$2:F211,F211,$E$2:E211,E211)=1),1,0)</f>
        <v/>
      </c>
    </row>
    <row r="212">
      <c r="A212" s="46" t="inlineStr">
        <is>
          <t>S9.13</t>
        </is>
      </c>
      <c r="B212" s="15" t="inlineStr">
        <is>
          <t>Energy &amp; Emissions Metering</t>
        </is>
      </c>
      <c r="C212" s="11" t="inlineStr">
        <is>
          <t>S9</t>
        </is>
      </c>
      <c r="D212" s="11" t="inlineStr">
        <is>
          <t>ABB</t>
        </is>
      </c>
      <c r="E212" s="47" t="inlineStr">
        <is>
          <t>operational-support</t>
        </is>
      </c>
      <c r="F212" s="46" t="inlineStr">
        <is>
          <t>6.5</t>
        </is>
      </c>
      <c r="G212" s="46" t="inlineStr">
        <is>
          <t>6.5.1</t>
        </is>
      </c>
      <c r="H212" s="19">
        <f>IF(COUNTIFS($A$2:A212,A212,$F$2:F212,F212)=1,1,0)</f>
        <v/>
      </c>
      <c r="I212" s="19">
        <f>IF(AND(OR(E212="required-enabler",E212="optional-enabler"),COUNTIFS($A$2:A212,A212,$F$2:F212,F212,$E$2:E212,E212)=1),1,0)</f>
        <v/>
      </c>
    </row>
    <row r="213">
      <c r="A213" s="46" t="inlineStr">
        <is>
          <t>S9.14</t>
        </is>
      </c>
      <c r="B213" s="15" t="inlineStr">
        <is>
          <t>Telemetry Collection Pipeline</t>
        </is>
      </c>
      <c r="C213" s="11" t="inlineStr">
        <is>
          <t>S9</t>
        </is>
      </c>
      <c r="D213" s="11" t="inlineStr">
        <is>
          <t>ABB</t>
        </is>
      </c>
      <c r="E213" s="47" t="inlineStr">
        <is>
          <t>operational-support</t>
        </is>
      </c>
      <c r="F213" s="46" t="inlineStr">
        <is>
          <t>6.2</t>
        </is>
      </c>
      <c r="G213" s="46" t="inlineStr">
        <is>
          <t>6.2.1</t>
        </is>
      </c>
      <c r="H213" s="19">
        <f>IF(COUNTIFS($A$2:A213,A213,$F$2:F213,F213)=1,1,0)</f>
        <v/>
      </c>
      <c r="I213" s="19">
        <f>IF(AND(OR(E213="required-enabler",E213="optional-enabler"),COUNTIFS($A$2:A213,A213,$F$2:F213,F213,$E$2:E213,E213)=1),1,0)</f>
        <v/>
      </c>
    </row>
    <row r="214">
      <c r="A214" s="46" t="inlineStr">
        <is>
          <t>S9.15</t>
        </is>
      </c>
      <c r="B214" s="15" t="inlineStr">
        <is>
          <t>Protected Telemetry &amp; Evidence Store</t>
        </is>
      </c>
      <c r="C214" s="11" t="inlineStr">
        <is>
          <t>S9</t>
        </is>
      </c>
      <c r="D214" s="11" t="inlineStr">
        <is>
          <t>ABB</t>
        </is>
      </c>
      <c r="E214" s="47" t="inlineStr">
        <is>
          <t>evidence-provider</t>
        </is>
      </c>
      <c r="F214" s="46" t="inlineStr">
        <is>
          <t>7.8</t>
        </is>
      </c>
      <c r="G214" s="46" t="inlineStr">
        <is>
          <t>7.8.2</t>
        </is>
      </c>
      <c r="H214" s="19">
        <f>IF(COUNTIFS($A$2:A214,A214,$F$2:F214,F214)=1,1,0)</f>
        <v/>
      </c>
      <c r="I214" s="19">
        <f>IF(AND(OR(E214="required-enabler",E214="optional-enabler"),COUNTIFS($A$2:A214,A214,$F$2:F214,F214,$E$2:E214,E214)=1),1,0)</f>
        <v/>
      </c>
    </row>
    <row r="215">
      <c r="A215" s="46" t="inlineStr">
        <is>
          <t>S9.15</t>
        </is>
      </c>
      <c r="B215" s="15" t="inlineStr">
        <is>
          <t>Protected Telemetry &amp; Evidence Store</t>
        </is>
      </c>
      <c r="C215" s="11" t="inlineStr">
        <is>
          <t>S9</t>
        </is>
      </c>
      <c r="D215" s="11" t="inlineStr">
        <is>
          <t>ABB</t>
        </is>
      </c>
      <c r="E215" s="47" t="inlineStr">
        <is>
          <t>operational-support</t>
        </is>
      </c>
      <c r="F215" s="46" t="inlineStr">
        <is>
          <t>6.2</t>
        </is>
      </c>
      <c r="G215" s="46" t="inlineStr">
        <is>
          <t>6.2.2</t>
        </is>
      </c>
      <c r="H215" s="19">
        <f>IF(COUNTIFS($A$2:A215,A215,$F$2:F215,F215)=1,1,0)</f>
        <v/>
      </c>
      <c r="I215" s="19">
        <f>IF(AND(OR(E215="required-enabler",E215="optional-enabler"),COUNTIFS($A$2:A215,A215,$F$2:F215,F215,$E$2:E215,E215)=1),1,0)</f>
        <v/>
      </c>
    </row>
  </sheetData>
  <autoFilter ref="A1:I2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26" customWidth="1" min="3" max="3"/>
    <col width="50" customWidth="1" min="4" max="4"/>
    <col width="50" customWidth="1" min="5" max="5"/>
    <col width="22" customWidth="1" min="6" max="6"/>
    <col width="30" customWidth="1" min="7" max="7"/>
  </cols>
  <sheetData>
    <row r="1" ht="32" customHeight="1">
      <c r="A1" s="10" t="inlineStr">
        <is>
          <t>Applies to</t>
        </is>
      </c>
      <c r="B1" s="10" t="inlineStr">
        <is>
          <t>Name</t>
        </is>
      </c>
      <c r="C1" s="10" t="inlineStr">
        <is>
          <t>Instrument</t>
        </is>
      </c>
      <c r="D1" s="10" t="inlineStr">
        <is>
          <t>Subject</t>
        </is>
      </c>
      <c r="E1" s="10" t="inlineStr">
        <is>
          <t>Status</t>
        </is>
      </c>
      <c r="F1" s="10" t="inlineStr">
        <is>
          <t>Legal owner</t>
        </is>
      </c>
      <c r="G1" s="10" t="inlineStr">
        <is>
          <t>Determination</t>
        </is>
      </c>
    </row>
    <row r="2" ht="30" customHeight="1">
      <c r="A2" s="15" t="inlineStr">
        <is>
          <t>7.6</t>
        </is>
      </c>
      <c r="B2" s="13" t="inlineStr">
        <is>
          <t>Legal, Regulatory &amp; Contractual Compliance for AI</t>
        </is>
      </c>
      <c r="C2" s="48" t="inlineStr">
        <is>
          <t>EU AI Act</t>
        </is>
      </c>
      <c r="D2" s="15" t="inlineStr">
        <is>
          <t>Provider / deployer role determination (see 7.6.6)</t>
        </is>
      </c>
      <c r="E2" s="14" t="inlineStr">
        <is>
          <t>candidate - applicability not determined (see 7.6.5)</t>
        </is>
      </c>
      <c r="F2" s="20" t="n"/>
      <c r="G2" s="20" t="n"/>
    </row>
    <row r="3" ht="30" customHeight="1">
      <c r="A3" s="15" t="inlineStr">
        <is>
          <t>2.2</t>
        </is>
      </c>
      <c r="B3" s="13" t="inlineStr">
        <is>
          <t>Feasibility &amp; Impact Assessment</t>
        </is>
      </c>
      <c r="C3" s="48" t="inlineStr">
        <is>
          <t>EU AI Act</t>
        </is>
      </c>
      <c r="D3" s="15" t="inlineStr">
        <is>
          <t>Fundamental rights impact assessment</t>
        </is>
      </c>
      <c r="E3" s="14" t="inlineStr">
        <is>
          <t>candidate - applicability not determined (see 7.6.5)</t>
        </is>
      </c>
      <c r="F3" s="20" t="n"/>
      <c r="G3" s="20" t="n"/>
    </row>
    <row r="4" ht="30" customHeight="1">
      <c r="A4" s="15" t="inlineStr">
        <is>
          <t>2.5</t>
        </is>
      </c>
      <c r="B4" s="13" t="inlineStr">
        <is>
          <t>Human-AI Interaction &amp; Oversight Design</t>
        </is>
      </c>
      <c r="C4" s="48" t="inlineStr">
        <is>
          <t>EU AI Act Art. 14</t>
        </is>
      </c>
      <c r="D4" s="15" t="inlineStr">
        <is>
          <t>Human oversight</t>
        </is>
      </c>
      <c r="E4" s="14" t="inlineStr">
        <is>
          <t>candidate - applicability not determined (see 7.6.5)</t>
        </is>
      </c>
      <c r="F4" s="20" t="n"/>
      <c r="G4" s="20" t="n"/>
    </row>
    <row r="5" ht="30" customHeight="1">
      <c r="A5" s="15" t="inlineStr">
        <is>
          <t>3.1</t>
        </is>
      </c>
      <c r="B5" s="13" t="inlineStr">
        <is>
          <t>Data Governance &amp; Stewardship for AI</t>
        </is>
      </c>
      <c r="C5" s="48" t="inlineStr">
        <is>
          <t>EU AI Act Art. 10</t>
        </is>
      </c>
      <c r="D5" s="15" t="inlineStr">
        <is>
          <t>Data and data governance</t>
        </is>
      </c>
      <c r="E5" s="14" t="inlineStr">
        <is>
          <t>candidate - applicability not determined (see 7.6.5)</t>
        </is>
      </c>
      <c r="F5" s="20" t="n"/>
      <c r="G5" s="20" t="n"/>
    </row>
    <row r="6" ht="30" customHeight="1">
      <c r="A6" s="15" t="inlineStr">
        <is>
          <t>3.2</t>
        </is>
      </c>
      <c r="B6" s="13" t="inlineStr">
        <is>
          <t>Data Sourcing, Licensing &amp; Provenance</t>
        </is>
      </c>
      <c r="C6" s="48" t="inlineStr">
        <is>
          <t>EU AI Act Art. 10</t>
        </is>
      </c>
      <c r="D6" s="15" t="inlineStr">
        <is>
          <t>Data and data governance</t>
        </is>
      </c>
      <c r="E6" s="14" t="inlineStr">
        <is>
          <t>candidate - applicability not determined (see 7.6.5)</t>
        </is>
      </c>
      <c r="F6" s="20" t="n"/>
      <c r="G6" s="20" t="n"/>
    </row>
    <row r="7" ht="30" customHeight="1">
      <c r="A7" s="15" t="inlineStr">
        <is>
          <t>3.3</t>
        </is>
      </c>
      <c r="B7" s="13" t="inlineStr">
        <is>
          <t>Data Quality &amp; Preparation</t>
        </is>
      </c>
      <c r="C7" s="48" t="inlineStr">
        <is>
          <t>EU AI Act Art. 10</t>
        </is>
      </c>
      <c r="D7" s="15" t="inlineStr">
        <is>
          <t>Data and data governance</t>
        </is>
      </c>
      <c r="E7" s="14" t="inlineStr">
        <is>
          <t>candidate - applicability not determined (see 7.6.5)</t>
        </is>
      </c>
      <c r="F7" s="20" t="n"/>
      <c r="G7" s="20" t="n"/>
    </row>
    <row r="8" ht="30" customHeight="1">
      <c r="A8" s="15" t="inlineStr">
        <is>
          <t>4.6</t>
        </is>
      </c>
      <c r="B8" s="13" t="inlineStr">
        <is>
          <t>Evaluation &amp; Testing</t>
        </is>
      </c>
      <c r="C8" s="48" t="inlineStr">
        <is>
          <t>EU AI Act Art. 15</t>
        </is>
      </c>
      <c r="D8" s="15" t="inlineStr">
        <is>
          <t>Accuracy, robustness, cybersecurity</t>
        </is>
      </c>
      <c r="E8" s="14" t="inlineStr">
        <is>
          <t>candidate - applicability not determined (see 7.6.5)</t>
        </is>
      </c>
      <c r="F8" s="20" t="n"/>
      <c r="G8" s="20" t="n"/>
    </row>
    <row r="9" ht="30" customHeight="1">
      <c r="A9" s="15" t="inlineStr">
        <is>
          <t>6.3</t>
        </is>
      </c>
      <c r="B9" s="13" t="inlineStr">
        <is>
          <t>Continuous Evaluation, Drift &amp; Quality Management</t>
        </is>
      </c>
      <c r="C9" s="48" t="inlineStr">
        <is>
          <t>EU AI Act Art. 72</t>
        </is>
      </c>
      <c r="D9" s="15" t="inlineStr">
        <is>
          <t>Post-market monitoring - PROVIDER obligation</t>
        </is>
      </c>
      <c r="E9" s="14" t="inlineStr">
        <is>
          <t>candidate - applicability not determined (see 7.6.5)</t>
        </is>
      </c>
      <c r="F9" s="20" t="n"/>
      <c r="G9" s="20" t="n"/>
    </row>
    <row r="10" ht="30" customHeight="1">
      <c r="A10" s="15" t="inlineStr">
        <is>
          <t>6.4</t>
        </is>
      </c>
      <c r="B10" s="13" t="inlineStr">
        <is>
          <t>AI Incident &amp; Problem Management</t>
        </is>
      </c>
      <c r="C10" s="48" t="inlineStr">
        <is>
          <t>EU AI Act Art. 73</t>
        </is>
      </c>
      <c r="D10" s="15" t="inlineStr">
        <is>
          <t>Serious incident reporting - PROVIDER obligation</t>
        </is>
      </c>
      <c r="E10" s="14" t="inlineStr">
        <is>
          <t>candidate - applicability not determined (see 7.6.5)</t>
        </is>
      </c>
      <c r="F10" s="20" t="n"/>
      <c r="G10" s="20" t="n"/>
    </row>
    <row r="11" ht="30" customHeight="1">
      <c r="A11" s="15" t="inlineStr">
        <is>
          <t>7.6</t>
        </is>
      </c>
      <c r="B11" s="13" t="inlineStr">
        <is>
          <t>Legal, Regulatory &amp; Contractual Compliance</t>
        </is>
      </c>
      <c r="C11" s="48" t="inlineStr">
        <is>
          <t>EU AI Act</t>
        </is>
      </c>
      <c r="D11" s="15" t="inlineStr">
        <is>
          <t>General</t>
        </is>
      </c>
      <c r="E11" s="14" t="inlineStr">
        <is>
          <t>candidate - applicability not determined (see 7.6.5)</t>
        </is>
      </c>
      <c r="F11" s="20" t="n"/>
      <c r="G11" s="20" t="n"/>
    </row>
    <row r="12" ht="30" customHeight="1">
      <c r="A12" s="15" t="inlineStr">
        <is>
          <t>7.7</t>
        </is>
      </c>
      <c r="B12" s="13" t="inlineStr">
        <is>
          <t>AI System &amp; Agent Inventory Management</t>
        </is>
      </c>
      <c r="C12" s="48" t="inlineStr">
        <is>
          <t>EU AI Act Art. 49</t>
        </is>
      </c>
      <c r="D12" s="15" t="inlineStr">
        <is>
          <t>Registration - PROVIDER and public-authority deployer only</t>
        </is>
      </c>
      <c r="E12" s="14" t="inlineStr">
        <is>
          <t>candidate - applicability not determined (see 7.6.5)</t>
        </is>
      </c>
      <c r="F12" s="20" t="n"/>
      <c r="G12" s="20" t="n"/>
    </row>
    <row r="13" ht="30" customHeight="1">
      <c r="A13" s="15" t="inlineStr">
        <is>
          <t>8.3</t>
        </is>
      </c>
      <c r="B13" s="13" t="inlineStr">
        <is>
          <t>AI Literacy &amp; Awareness</t>
        </is>
      </c>
      <c r="C13" s="48" t="inlineStr">
        <is>
          <t>EU AI Act Art. 4</t>
        </is>
      </c>
      <c r="D13" s="15" t="inlineStr">
        <is>
          <t>AI literacy</t>
        </is>
      </c>
      <c r="E13" s="14" t="inlineStr">
        <is>
          <t>candidate - applicability not determined (see 7.6.5)</t>
        </is>
      </c>
      <c r="F13" s="20" t="n"/>
      <c r="G13" s="20" t="n"/>
    </row>
    <row r="14" ht="30" customHeight="1">
      <c r="A14" s="15" t="inlineStr">
        <is>
          <t>service:S1.12</t>
        </is>
      </c>
      <c r="B14" s="13" t="inlineStr">
        <is>
          <t>Face Detection &amp; Recognition</t>
        </is>
      </c>
      <c r="C14" s="48" t="inlineStr">
        <is>
          <t>EU AI Act Annex III (biometric identification)</t>
        </is>
      </c>
      <c r="D14" s="15" t="inlineStr"/>
      <c r="E14" s="14" t="inlineStr">
        <is>
          <t>candidate - applicability not determined (see 7.6.5)</t>
        </is>
      </c>
      <c r="F14" s="20" t="n"/>
      <c r="G14" s="20" t="n"/>
    </row>
    <row r="15" ht="30" customHeight="1">
      <c r="A15" s="15" t="inlineStr">
        <is>
          <t>service:S5.10</t>
        </is>
      </c>
      <c r="B15" s="13" t="inlineStr">
        <is>
          <t>Human-in-the-Loop Interrupt &amp; Approval</t>
        </is>
      </c>
      <c r="C15" s="48" t="inlineStr">
        <is>
          <t>EU AI Act Art. 14</t>
        </is>
      </c>
      <c r="D15" s="15" t="inlineStr"/>
      <c r="E15" s="14" t="inlineStr">
        <is>
          <t>candidate - applicability not determined (see 7.6.5)</t>
        </is>
      </c>
      <c r="F15" s="20" t="n"/>
      <c r="G15" s="20" t="n"/>
    </row>
    <row r="16" ht="30" customHeight="1">
      <c r="A16" s="15" t="inlineStr">
        <is>
          <t>service:S7.10</t>
        </is>
      </c>
      <c r="B16" s="13" t="inlineStr">
        <is>
          <t>Output Provenance &amp; Watermarking</t>
        </is>
      </c>
      <c r="C16" s="48" t="inlineStr">
        <is>
          <t>EU AI Act Art. 50</t>
        </is>
      </c>
      <c r="D16" s="15" t="inlineStr"/>
      <c r="E16" s="14" t="inlineStr">
        <is>
          <t>candidate - applicability not determined (see 7.6.5)</t>
        </is>
      </c>
      <c r="F16" s="20" t="n"/>
      <c r="G16" s="20" t="n"/>
    </row>
    <row r="17" ht="30" customHeight="1">
      <c r="A17" s="15" t="inlineStr">
        <is>
          <t>service:S9.2</t>
        </is>
      </c>
      <c r="B17" s="13" t="inlineStr">
        <is>
          <t>Interaction &amp; Prompt Logging</t>
        </is>
      </c>
      <c r="C17" s="48" t="inlineStr">
        <is>
          <t>EU AI Act Art. 12 (logging)</t>
        </is>
      </c>
      <c r="D17" s="15" t="inlineStr"/>
      <c r="E17" s="14" t="inlineStr">
        <is>
          <t>candidate - applicability not determined (see 7.6.5)</t>
        </is>
      </c>
      <c r="F17" s="20" t="n"/>
      <c r="G17" s="20" t="n"/>
    </row>
    <row r="18" ht="30" customHeight="1">
      <c r="A18" s="15" t="inlineStr">
        <is>
          <t>service:S9.6</t>
        </is>
      </c>
      <c r="B18" s="13" t="inlineStr">
        <is>
          <t>Production Evaluation &amp; Online Scoring</t>
        </is>
      </c>
      <c r="C18" s="48" t="inlineStr">
        <is>
          <t>EU AI Act Art. 72 (post-market monitoring)</t>
        </is>
      </c>
      <c r="D18" s="15" t="inlineStr"/>
      <c r="E18" s="14" t="inlineStr">
        <is>
          <t>candidate - applicability not determined (see 7.6.5)</t>
        </is>
      </c>
      <c r="F18" s="20" t="n"/>
      <c r="G18" s="20" t="n"/>
    </row>
    <row r="19" ht="30" customHeight="1">
      <c r="A19" s="15" t="inlineStr">
        <is>
          <t>service:S9.11</t>
        </is>
      </c>
      <c r="B19" s="13" t="inlineStr">
        <is>
          <t>Fleet &amp; Agent Inventory Telemetry</t>
        </is>
      </c>
      <c r="C19" s="48" t="inlineStr">
        <is>
          <t>EU AI Act Art. 49</t>
        </is>
      </c>
      <c r="D19" s="15" t="inlineStr"/>
      <c r="E19" s="14" t="inlineStr">
        <is>
          <t>candidate - applicability not determined (see 7.6.5)</t>
        </is>
      </c>
      <c r="F19" s="20" t="n"/>
      <c r="G19" s="20" t="n"/>
    </row>
    <row r="21" ht="46" customHeight="1">
      <c r="A21" s="22" t="inlineStr">
        <is>
          <t>Statutory references were removed from capability provenance and held here. NOTHING in this workbook asserts that any regulation binds the institution. Capability 7.6.6 Regulatory Role Determination is the prerequisite: Articles 49, 72 and 73 of the EU AI Act are PROVIDER obligations and on the use cases contemplated here the institution would be a deployer. This register is owned by Legal, not by Enterprise Architecture.</t>
        </is>
      </c>
    </row>
  </sheetData>
  <autoFilter ref="A1:G19"/>
  <mergeCells count="1">
    <mergeCell ref="A21:G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0" customWidth="1" min="1" max="1"/>
    <col width="12" customWidth="1" min="2" max="2"/>
    <col width="7" customWidth="1" min="3" max="3"/>
    <col width="12" customWidth="1" min="4" max="4"/>
    <col width="38" customWidth="1" min="5" max="5"/>
    <col width="13" customWidth="1" min="6" max="6"/>
    <col width="8" customWidth="1" min="7" max="7"/>
    <col width="26" customWidth="1" min="8" max="8"/>
    <col width="24" customWidth="1" min="9" max="9"/>
    <col width="38" customWidth="1" min="10" max="10"/>
    <col width="12" customWidth="1" min="11" max="11"/>
    <col width="18" customWidth="1" min="12" max="12"/>
    <col width="18" customWidth="1" min="13" max="13"/>
  </cols>
  <sheetData>
    <row r="1" ht="32" customHeight="1">
      <c r="A1" s="10" t="inlineStr">
        <is>
          <t>Capability</t>
        </is>
      </c>
      <c r="B1" s="10" t="inlineStr">
        <is>
          <t>Rubric ver.</t>
        </is>
      </c>
      <c r="C1" s="10" t="inlineStr">
        <is>
          <t>Level</t>
        </is>
      </c>
      <c r="D1" s="10" t="inlineStr">
        <is>
          <t>Criterion ID</t>
        </is>
      </c>
      <c r="E1" s="10" t="inlineStr">
        <is>
          <t>Criterion</t>
        </is>
      </c>
      <c r="F1" s="10" t="inlineStr">
        <is>
          <t>Status</t>
        </is>
      </c>
      <c r="G1" s="10" t="inlineStr">
        <is>
          <t>Gate</t>
        </is>
      </c>
      <c r="H1" s="10" t="inlineStr">
        <is>
          <t>Applicability trigger</t>
        </is>
      </c>
      <c r="I1" s="10" t="inlineStr">
        <is>
          <t>Evidence type</t>
        </is>
      </c>
      <c r="J1" s="10" t="inlineStr">
        <is>
          <t>Sufficiency rule</t>
        </is>
      </c>
      <c r="K1" s="10" t="inlineStr">
        <is>
          <t>Caps maturity</t>
        </is>
      </c>
      <c r="L1" s="10" t="inlineStr">
        <is>
          <t>Assessor</t>
        </is>
      </c>
      <c r="M1" s="10" t="inlineStr">
        <is>
          <t>Approver</t>
        </is>
      </c>
    </row>
    <row r="2" ht="34" customHeight="1">
      <c r="A2" s="15" t="inlineStr">
        <is>
          <t>3.6</t>
        </is>
      </c>
      <c r="B2" s="15" t="inlineStr">
        <is>
          <t>v0.5-draft</t>
        </is>
      </c>
      <c r="C2" s="15" t="n">
        <v>2</v>
      </c>
      <c r="D2" s="15" t="inlineStr">
        <is>
          <t>3.6.1</t>
        </is>
      </c>
      <c r="E2" s="15" t="inlineStr">
        <is>
          <t>Retrieval Service Provision</t>
        </is>
      </c>
      <c r="F2" s="49" t="inlineStr">
        <is>
          <t>mandatory</t>
        </is>
      </c>
      <c r="G2" s="15" t="inlineStr">
        <is>
          <t>AND</t>
        </is>
      </c>
      <c r="H2" s="15" t="inlineStr">
        <is>
          <t>Always</t>
        </is>
      </c>
      <c r="I2" s="15" t="inlineStr">
        <is>
          <t>Service description + two named consuming teams</t>
        </is>
      </c>
      <c r="J2" s="15" t="inlineStr">
        <is>
          <t>Operating &gt;= 1 quarter in &gt;= 2 scopes</t>
        </is>
      </c>
      <c r="K2" s="15" t="inlineStr">
        <is>
          <t>No</t>
        </is>
      </c>
      <c r="L2" s="50" t="inlineStr"/>
      <c r="M2" s="50" t="inlineStr"/>
    </row>
    <row r="3" ht="34" customHeight="1">
      <c r="A3" s="15" t="inlineStr">
        <is>
          <t>3.6</t>
        </is>
      </c>
      <c r="B3" s="15" t="inlineStr">
        <is>
          <t>v0.5-draft</t>
        </is>
      </c>
      <c r="C3" s="15" t="n">
        <v>3</v>
      </c>
      <c r="D3" s="15" t="inlineStr">
        <is>
          <t>3.6.2</t>
        </is>
      </c>
      <c r="E3" s="15" t="inlineStr">
        <is>
          <t>Access-Trimmed Retrieval Enforcement</t>
        </is>
      </c>
      <c r="F3" s="49" t="inlineStr">
        <is>
          <t>mandatory</t>
        </is>
      </c>
      <c r="G3" s="15" t="inlineStr">
        <is>
          <t>AND</t>
        </is>
      </c>
      <c r="H3" s="15" t="inlineStr">
        <is>
          <t>Corpus contains access-restricted content</t>
        </is>
      </c>
      <c r="I3" s="15" t="inlineStr">
        <is>
          <t>ACL regression test results</t>
        </is>
      </c>
      <c r="J3" s="15" t="inlineStr">
        <is>
          <t>Sampled conformance across all indexed sources, within 6 months</t>
        </is>
      </c>
      <c r="K3" s="49" t="inlineStr">
        <is>
          <t>YES - essential control</t>
        </is>
      </c>
      <c r="L3" s="50" t="inlineStr"/>
      <c r="M3" s="50" t="inlineStr"/>
    </row>
    <row r="4" ht="34" customHeight="1">
      <c r="A4" s="15" t="inlineStr">
        <is>
          <t>3.6</t>
        </is>
      </c>
      <c r="B4" s="15" t="inlineStr">
        <is>
          <t>v0.5-draft</t>
        </is>
      </c>
      <c r="C4" s="15" t="n">
        <v>3</v>
      </c>
      <c r="D4" s="15" t="inlineStr">
        <is>
          <t>3.6.5</t>
        </is>
      </c>
      <c r="E4" s="15" t="inlineStr">
        <is>
          <t>Citation, Grounding &amp; Traceability</t>
        </is>
      </c>
      <c r="F4" s="49" t="inlineStr">
        <is>
          <t>mandatory</t>
        </is>
      </c>
      <c r="G4" s="15" t="inlineStr">
        <is>
          <t>AND</t>
        </is>
      </c>
      <c r="H4" s="15" t="inlineStr">
        <is>
          <t>Output used in decision support</t>
        </is>
      </c>
      <c r="I4" s="15" t="inlineStr">
        <is>
          <t>Citation accuracy measurement</t>
        </is>
      </c>
      <c r="J4" s="15" t="inlineStr">
        <is>
          <t>Benchmark run within 6 months</t>
        </is>
      </c>
      <c r="K4" s="15" t="inlineStr">
        <is>
          <t>No</t>
        </is>
      </c>
      <c r="L4" s="50" t="inlineStr"/>
      <c r="M4" s="50" t="inlineStr"/>
    </row>
    <row r="5" ht="34" customHeight="1">
      <c r="A5" s="15" t="inlineStr">
        <is>
          <t>3.6</t>
        </is>
      </c>
      <c r="B5" s="15" t="inlineStr">
        <is>
          <t>v0.5-draft</t>
        </is>
      </c>
      <c r="C5" s="15" t="n">
        <v>4</v>
      </c>
      <c r="D5" s="15" t="inlineStr">
        <is>
          <t>3.6.3</t>
        </is>
      </c>
      <c r="E5" s="15" t="inlineStr">
        <is>
          <t>Retrieval Quality Evaluation &amp; Tuning</t>
        </is>
      </c>
      <c r="F5" s="49" t="inlineStr">
        <is>
          <t>mandatory</t>
        </is>
      </c>
      <c r="G5" s="15" t="inlineStr">
        <is>
          <t>AND</t>
        </is>
      </c>
      <c r="H5" s="15" t="inlineStr">
        <is>
          <t>Always</t>
        </is>
      </c>
      <c r="I5" s="15" t="inlineStr">
        <is>
          <t>Relevance benchmark with thresholds</t>
        </is>
      </c>
      <c r="J5" s="15" t="inlineStr">
        <is>
          <t>Breaches tracked over &gt;= 2 quarters</t>
        </is>
      </c>
      <c r="K5" s="15" t="inlineStr">
        <is>
          <t>No</t>
        </is>
      </c>
      <c r="L5" s="50" t="inlineStr"/>
      <c r="M5" s="50" t="inlineStr"/>
    </row>
    <row r="6" ht="34" customHeight="1">
      <c r="A6" s="15" t="inlineStr">
        <is>
          <t>3.6</t>
        </is>
      </c>
      <c r="B6" s="15" t="inlineStr">
        <is>
          <t>v0.5-draft</t>
        </is>
      </c>
      <c r="C6" s="15" t="n">
        <v>4</v>
      </c>
      <c r="D6" s="15" t="inlineStr">
        <is>
          <t>3.6.4</t>
        </is>
      </c>
      <c r="E6" s="15" t="inlineStr">
        <is>
          <t>Multi-Source Federation &amp; Ranking</t>
        </is>
      </c>
      <c r="F6" s="15" t="inlineStr">
        <is>
          <t>conditional</t>
        </is>
      </c>
      <c r="G6" s="15" t="inlineStr">
        <is>
          <t>OR</t>
        </is>
      </c>
      <c r="H6" s="15" t="inlineStr">
        <is>
          <t>More than one authoritative repository in scope</t>
        </is>
      </c>
      <c r="I6" s="15" t="inlineStr">
        <is>
          <t>Federation coverage report</t>
        </is>
      </c>
      <c r="J6" s="15" t="inlineStr">
        <is>
          <t>Covers all in-scope repositories</t>
        </is>
      </c>
      <c r="K6" s="15" t="inlineStr">
        <is>
          <t>No</t>
        </is>
      </c>
      <c r="L6" s="50" t="inlineStr"/>
      <c r="M6" s="50" t="inlineStr"/>
    </row>
    <row r="7" ht="34" customHeight="1">
      <c r="A7" s="15" t="inlineStr">
        <is>
          <t>3.6</t>
        </is>
      </c>
      <c r="B7" s="15" t="inlineStr">
        <is>
          <t>v0.5-draft</t>
        </is>
      </c>
      <c r="C7" s="15" t="n">
        <v>5</v>
      </c>
      <c r="D7" s="15" t="inlineStr">
        <is>
          <t>-</t>
        </is>
      </c>
      <c r="E7" s="15" t="inlineStr">
        <is>
          <t>Evidence-driven improvement cycle completed</t>
        </is>
      </c>
      <c r="F7" s="49" t="inlineStr">
        <is>
          <t>mandatory</t>
        </is>
      </c>
      <c r="G7" s="15" t="inlineStr">
        <is>
          <t>AND</t>
        </is>
      </c>
      <c r="H7" s="15" t="inlineStr">
        <is>
          <t>Always</t>
        </is>
      </c>
      <c r="I7" s="15" t="inlineStr">
        <is>
          <t>Trend + action + verified benefit</t>
        </is>
      </c>
      <c r="J7" s="15" t="inlineStr">
        <is>
          <t>One full cycle closed and verified</t>
        </is>
      </c>
      <c r="K7" s="15" t="inlineStr">
        <is>
          <t>No</t>
        </is>
      </c>
      <c r="L7" s="50" t="inlineStr"/>
      <c r="M7" s="50" t="inlineStr"/>
    </row>
    <row r="9" ht="58" customHeight="1">
      <c r="A9" s="22" t="inlineStr">
        <is>
          <t>ONE worked rubric. Forty-nine more are required before an enterprise baseline. The rating is the highest level for which every applicable MANDATORY criterion at that level AND ALL LOWER LEVELS is met by valid evidence. Conditional criteria enter the gate only when their trigger is true. Enhancing criteria never compensate for an unmet mandatory gate. Only a criterion marked 'caps maturity' may hold a rating down on control grounds. Until a capability has an approved rubric its rating is provisional and must be labelled so.</t>
        </is>
      </c>
    </row>
  </sheetData>
  <mergeCells count="1">
    <mergeCell ref="A9:M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44" customWidth="1" min="3" max="3"/>
    <col width="26" customWidth="1" min="4" max="4"/>
    <col width="64" customWidth="1" min="5" max="5"/>
    <col width="26" customWidth="1" min="6" max="6"/>
    <col width="66" customWidth="1" min="7" max="7"/>
  </cols>
  <sheetData>
    <row r="1" ht="32" customHeight="1">
      <c r="A1" s="10" t="inlineStr">
        <is>
          <t>Asset ID</t>
        </is>
      </c>
      <c r="B1" s="10" t="inlineStr">
        <is>
          <t>Type</t>
        </is>
      </c>
      <c r="C1" s="10" t="inlineStr">
        <is>
          <t>Name</t>
        </is>
      </c>
      <c r="D1" s="10" t="inlineStr">
        <is>
          <t>Status</t>
        </is>
      </c>
      <c r="E1" s="10" t="inlineStr">
        <is>
          <t>Location</t>
        </is>
      </c>
      <c r="F1" s="10" t="inlineStr">
        <is>
          <t>Used by</t>
        </is>
      </c>
      <c r="G1" s="10" t="inlineStr">
        <is>
          <t>Note</t>
        </is>
      </c>
    </row>
    <row r="2" ht="34" customHeight="1">
      <c r="A2" s="12" t="inlineStr">
        <is>
          <t>STD-01</t>
        </is>
      </c>
      <c r="B2" s="11" t="inlineStr">
        <is>
          <t>Standard</t>
        </is>
      </c>
      <c r="C2" s="13" t="inlineStr">
        <is>
          <t>Tech Stack - AI</t>
        </is>
      </c>
      <c r="D2" s="51" t="inlineStr">
        <is>
          <t>Published</t>
        </is>
      </c>
      <c r="E2" s="52" t="inlineStr">
        <is>
          <t>https://ezws.iadb.org/getdocument.aspx?docnum=EZIDB0000557-1067528196-22</t>
        </is>
      </c>
      <c r="F2" s="53" t="inlineStr">
        <is>
          <t>REAL-007</t>
        </is>
      </c>
      <c r="G2" s="14" t="inlineStr">
        <is>
          <t>Defines the approved AI technology stack.</t>
        </is>
      </c>
    </row>
    <row r="3" ht="34" customHeight="1">
      <c r="A3" s="12" t="inlineStr">
        <is>
          <t>STD-02</t>
        </is>
      </c>
      <c r="B3" s="11" t="inlineStr">
        <is>
          <t>Standard</t>
        </is>
      </c>
      <c r="C3" s="13" t="inlineStr">
        <is>
          <t>Custom MCP Server Standard</t>
        </is>
      </c>
      <c r="D3" s="51" t="inlineStr">
        <is>
          <t>Published</t>
        </is>
      </c>
      <c r="E3" s="52" t="inlineStr">
        <is>
          <t>https://ezws.iadb.org/getdocument.aspx?docnum=EZIDB0000557-1067528196-18</t>
        </is>
      </c>
      <c r="F3" s="53" t="inlineStr">
        <is>
          <t>REAL-003</t>
        </is>
      </c>
      <c r="G3" s="14" t="inlineStr"/>
    </row>
    <row r="4" ht="34" customHeight="1">
      <c r="A4" s="12" t="inlineStr">
        <is>
          <t>STD-03</t>
        </is>
      </c>
      <c r="B4" s="11" t="inlineStr">
        <is>
          <t>Standard</t>
        </is>
      </c>
      <c r="C4" s="13" t="inlineStr">
        <is>
          <t>Microsoft Foundry Standard</t>
        </is>
      </c>
      <c r="D4" s="51" t="inlineStr">
        <is>
          <t>Published</t>
        </is>
      </c>
      <c r="E4" s="52" t="inlineStr">
        <is>
          <t>https://ezws.iadb.org/getdocument.aspx?docnum=EZIDB0000557-1067528196-957</t>
        </is>
      </c>
      <c r="F4" s="53" t="inlineStr">
        <is>
          <t>REAL-001, REAL-002</t>
        </is>
      </c>
      <c r="G4" s="14" t="inlineStr">
        <is>
          <t>Covers platform deployment.</t>
        </is>
      </c>
    </row>
    <row r="5" ht="34" customHeight="1">
      <c r="A5" s="12" t="inlineStr">
        <is>
          <t>STD-04</t>
        </is>
      </c>
      <c r="B5" s="11" t="inlineStr">
        <is>
          <t>Standard</t>
        </is>
      </c>
      <c r="C5" s="13" t="inlineStr">
        <is>
          <t>Azure AI Search Standard</t>
        </is>
      </c>
      <c r="D5" s="51" t="inlineStr">
        <is>
          <t>Published</t>
        </is>
      </c>
      <c r="E5" s="52" t="inlineStr">
        <is>
          <t>https://ezws.iadb.org/getdocument.aspx?docnum=EZIDB0000557-1067528196-726</t>
        </is>
      </c>
      <c r="F5" s="53" t="inlineStr">
        <is>
          <t>REAL-004, REAL-005</t>
        </is>
      </c>
      <c r="G5" s="14" t="inlineStr"/>
    </row>
    <row r="6" ht="34" customHeight="1">
      <c r="A6" s="12" t="inlineStr">
        <is>
          <t>STD-05</t>
        </is>
      </c>
      <c r="B6" s="11" t="inlineStr">
        <is>
          <t>Standard</t>
        </is>
      </c>
      <c r="C6" s="13" t="inlineStr">
        <is>
          <t>Azure Document Intelligence Standard</t>
        </is>
      </c>
      <c r="D6" s="51" t="inlineStr">
        <is>
          <t>Published</t>
        </is>
      </c>
      <c r="E6" s="52" t="inlineStr">
        <is>
          <t>https://ezws.iadb.org/getdocument.aspx?docnum=EZIDB0000557-1067528196-105</t>
        </is>
      </c>
      <c r="F6" s="53" t="inlineStr">
        <is>
          <t>REAL-006</t>
        </is>
      </c>
      <c r="G6" s="14" t="inlineStr"/>
    </row>
    <row r="7" ht="34" customHeight="1">
      <c r="A7" s="12" t="inlineStr">
        <is>
          <t>STD-06</t>
        </is>
      </c>
      <c r="B7" s="11" t="inlineStr">
        <is>
          <t>Standard</t>
        </is>
      </c>
      <c r="C7" s="13" t="inlineStr">
        <is>
          <t>AI Agent Decision Tree</t>
        </is>
      </c>
      <c r="D7" s="51" t="inlineStr">
        <is>
          <t>Published</t>
        </is>
      </c>
      <c r="E7" s="52" t="inlineStr">
        <is>
          <t>https://ezws.iadb.org/getdocument.aspx?docnum=EZIDB0000557-1067528196-110</t>
        </is>
      </c>
      <c r="F7" s="53" t="inlineStr">
        <is>
          <t>REAL-002, REAL-008</t>
        </is>
      </c>
      <c r="G7" s="14" t="inlineStr">
        <is>
          <t>Decision aid for whether and what kind of agent is appropriate.</t>
        </is>
      </c>
    </row>
    <row r="8" ht="34" customHeight="1">
      <c r="A8" s="12" t="inlineStr">
        <is>
          <t>STD-07</t>
        </is>
      </c>
      <c r="B8" s="11" t="inlineStr">
        <is>
          <t>Standard</t>
        </is>
      </c>
      <c r="C8" s="13" t="inlineStr">
        <is>
          <t>Foundry Agents Standard</t>
        </is>
      </c>
      <c r="D8" s="54" t="inlineStr">
        <is>
          <t>Pre-release</t>
        </is>
      </c>
      <c r="E8" s="15" t="inlineStr"/>
      <c r="F8" s="53" t="inlineStr">
        <is>
          <t>REAL-002</t>
        </is>
      </c>
      <c r="G8" s="14" t="inlineStr">
        <is>
          <t>PRE-RELEASE. Releasing this is one of two steps that move agent provisioning from readiness 3 to 4.</t>
        </is>
      </c>
    </row>
    <row r="9" ht="34" customHeight="1">
      <c r="A9" s="12" t="inlineStr">
        <is>
          <t>RA-01</t>
        </is>
      </c>
      <c r="B9" s="11" t="inlineStr">
        <is>
          <t>Reference architecture</t>
        </is>
      </c>
      <c r="C9" s="13" t="inlineStr">
        <is>
          <t>Custom MCP Server Reference Architecture</t>
        </is>
      </c>
      <c r="D9" s="51" t="inlineStr">
        <is>
          <t>Published</t>
        </is>
      </c>
      <c r="E9" s="52" t="inlineStr">
        <is>
          <t>https://iadb.leanix.net/IADBProduction/diagrams/dataflow/e1b8ef3c-f669-45ec-8f0e-aeee58780f8a</t>
        </is>
      </c>
      <c r="F9" s="53" t="inlineStr">
        <is>
          <t>REAL-003</t>
        </is>
      </c>
      <c r="G9" s="14" t="inlineStr"/>
    </row>
    <row r="10" ht="34" customHeight="1">
      <c r="A10" s="12" t="inlineStr">
        <is>
          <t>RA-02</t>
        </is>
      </c>
      <c r="B10" s="11" t="inlineStr">
        <is>
          <t>Reference architecture</t>
        </is>
      </c>
      <c r="C10" s="13" t="inlineStr">
        <is>
          <t>Microsoft Foundry Reference Architecture</t>
        </is>
      </c>
      <c r="D10" s="51" t="inlineStr">
        <is>
          <t>Published</t>
        </is>
      </c>
      <c r="E10" s="52" t="inlineStr">
        <is>
          <t>https://iadb.leanix.net/IADBProduction/diagrams/freedraw/27c7c109-7da7-4c2f-b248-eeab47f07238</t>
        </is>
      </c>
      <c r="F10" s="53" t="inlineStr">
        <is>
          <t>REAL-001, REAL-002</t>
        </is>
      </c>
      <c r="G10" s="14" t="inlineStr"/>
    </row>
    <row r="11" ht="34" customHeight="1">
      <c r="A11" s="12" t="inlineStr">
        <is>
          <t>RA-03</t>
        </is>
      </c>
      <c r="B11" s="11" t="inlineStr">
        <is>
          <t>Reference architecture</t>
        </is>
      </c>
      <c r="C11" s="13" t="inlineStr">
        <is>
          <t>Azure AI Search Reference Architecture</t>
        </is>
      </c>
      <c r="D11" s="51" t="inlineStr">
        <is>
          <t>Published</t>
        </is>
      </c>
      <c r="E11" s="52" t="inlineStr">
        <is>
          <t>https://iadb.leanix.net/IADBProduction/diagrams/freedraw/be67338a-33a5-49cb-95ed-13360102ff0e</t>
        </is>
      </c>
      <c r="F11" s="53" t="inlineStr">
        <is>
          <t>REAL-004, REAL-005</t>
        </is>
      </c>
      <c r="G11" s="14" t="inlineStr"/>
    </row>
    <row r="12" ht="34" customHeight="1">
      <c r="A12" s="12" t="inlineStr">
        <is>
          <t>RA-04</t>
        </is>
      </c>
      <c r="B12" s="11" t="inlineStr">
        <is>
          <t>Reference architecture</t>
        </is>
      </c>
      <c r="C12" s="13" t="inlineStr">
        <is>
          <t>Azure Document Intelligence Reference Architecture</t>
        </is>
      </c>
      <c r="D12" s="51" t="inlineStr">
        <is>
          <t>Published</t>
        </is>
      </c>
      <c r="E12" s="52" t="inlineStr">
        <is>
          <t>https://iadb.leanix.net/IADBProduction/diagrams/dataflow/6379d8b3-20c7-421e-a555-8ba35e9e2b6e</t>
        </is>
      </c>
      <c r="F12" s="53" t="inlineStr">
        <is>
          <t>REAL-006</t>
        </is>
      </c>
      <c r="G12" s="14" t="inlineStr"/>
    </row>
    <row r="13" ht="34" customHeight="1">
      <c r="A13" s="12" t="inlineStr">
        <is>
          <t>RA-05</t>
        </is>
      </c>
      <c r="B13" s="11" t="inlineStr">
        <is>
          <t>Reference architecture</t>
        </is>
      </c>
      <c r="C13" s="13" t="inlineStr">
        <is>
          <t>Foundry Agents Reference Architecture</t>
        </is>
      </c>
      <c r="D13" s="54" t="inlineStr">
        <is>
          <t>Pre-release</t>
        </is>
      </c>
      <c r="E13" s="15" t="inlineStr"/>
      <c r="F13" s="53" t="inlineStr">
        <is>
          <t>REAL-002</t>
        </is>
      </c>
      <c r="G13" s="14" t="inlineStr">
        <is>
          <t>PRE-RELEASE. The second of the two steps to readiness 4 for agent provisioning.</t>
        </is>
      </c>
    </row>
    <row r="14" ht="34" customHeight="1">
      <c r="A14" s="12" t="inlineStr">
        <is>
          <t>TPL-01</t>
        </is>
      </c>
      <c r="B14" s="11" t="inlineStr">
        <is>
          <t>Template</t>
        </is>
      </c>
      <c r="C14" s="13" t="inlineStr">
        <is>
          <t>MCP Server Template v1 (C# / .NET)</t>
        </is>
      </c>
      <c r="D14" s="51" t="inlineStr">
        <is>
          <t>In use</t>
        </is>
      </c>
      <c r="E14" s="15" t="inlineStr"/>
      <c r="F14" s="53" t="inlineStr">
        <is>
          <t>REAL-003</t>
        </is>
      </c>
      <c r="G14" s="14" t="inlineStr">
        <is>
          <t>Built by EA, shared with the AI MVP team. Used to build all custom MCP servers on that project and serves as the blueprint for other teams. Implements the SUPERSEDED MCP specification.</t>
        </is>
      </c>
    </row>
    <row r="15" ht="34" customHeight="1">
      <c r="A15" s="12" t="inlineStr">
        <is>
          <t>TPL-02</t>
        </is>
      </c>
      <c r="B15" s="11" t="inlineStr">
        <is>
          <t>Template</t>
        </is>
      </c>
      <c r="C15" s="13" t="inlineStr">
        <is>
          <t>MCP Server Template v2 (C# / .NET)</t>
        </is>
      </c>
      <c r="D15" s="54" t="inlineStr">
        <is>
          <t>Built, not yet distributed</t>
        </is>
      </c>
      <c r="E15" s="15" t="inlineStr"/>
      <c r="F15" s="53" t="inlineStr">
        <is>
          <t>REAL-003</t>
        </is>
      </c>
      <c r="G15" s="14" t="inlineStr">
        <is>
          <t>Implements the MCP specification released July 2026. To be shared across the organization. Every server built from v1 needs a migration plan inside the deprecation window.</t>
        </is>
      </c>
    </row>
    <row r="16" ht="34" customHeight="1">
      <c r="A16" s="12" t="inlineStr">
        <is>
          <t>IAC-01</t>
        </is>
      </c>
      <c r="B16" s="11" t="inlineStr">
        <is>
          <t>IaC module</t>
        </is>
      </c>
      <c r="C16" s="13" t="inlineStr">
        <is>
          <t>Container App Environment</t>
        </is>
      </c>
      <c r="D16" s="55" t="inlineStr">
        <is>
          <t>In review by DX</t>
        </is>
      </c>
      <c r="E16" s="52" t="inlineStr">
        <is>
          <t>https://github.com/dx-developer-platform/terraform.az-iac-core-modules/pull/16</t>
        </is>
      </c>
      <c r="F16" s="53" t="inlineStr">
        <is>
          <t>REAL-003</t>
        </is>
      </c>
      <c r="G16" s="14" t="inlineStr">
        <is>
          <t>PR open. Not yet published by DX.</t>
        </is>
      </c>
    </row>
    <row r="17" ht="34" customHeight="1">
      <c r="A17" s="12" t="inlineStr">
        <is>
          <t>IAC-02</t>
        </is>
      </c>
      <c r="B17" s="11" t="inlineStr">
        <is>
          <t>IaC module</t>
        </is>
      </c>
      <c r="C17" s="13" t="inlineStr">
        <is>
          <t>Container Apps</t>
        </is>
      </c>
      <c r="D17" s="51" t="inlineStr">
        <is>
          <t>Published (JFrog)</t>
        </is>
      </c>
      <c r="E17" s="52" t="inlineStr">
        <is>
          <t>https://github.com/dx-developer-platform/terraform.az-iac-core-modules/pull/17</t>
        </is>
      </c>
      <c r="F17" s="53" t="inlineStr">
        <is>
          <t>REAL-002, REAL-003</t>
        </is>
      </c>
      <c r="G17" s="14" t="inlineStr"/>
    </row>
    <row r="18" ht="34" customHeight="1">
      <c r="A18" s="12" t="inlineStr">
        <is>
          <t>IAC-03</t>
        </is>
      </c>
      <c r="B18" s="11" t="inlineStr">
        <is>
          <t>IaC module</t>
        </is>
      </c>
      <c r="C18" s="13" t="inlineStr">
        <is>
          <t>Container Registry</t>
        </is>
      </c>
      <c r="D18" s="55" t="inlineStr">
        <is>
          <t>In review by DX</t>
        </is>
      </c>
      <c r="E18" s="52" t="inlineStr">
        <is>
          <t>https://github.com/dx-developer-platform/terraform.az-iac-core-modules/pull/15</t>
        </is>
      </c>
      <c r="F18" s="53" t="inlineStr">
        <is>
          <t>REAL-003</t>
        </is>
      </c>
      <c r="G18" s="14" t="inlineStr">
        <is>
          <t>PR open. Not yet published by DX.</t>
        </is>
      </c>
    </row>
    <row r="19" ht="34" customHeight="1">
      <c r="A19" s="12" t="inlineStr">
        <is>
          <t>IAC-04</t>
        </is>
      </c>
      <c r="B19" s="11" t="inlineStr">
        <is>
          <t>IaC module</t>
        </is>
      </c>
      <c r="C19" s="13" t="inlineStr">
        <is>
          <t>Foundry Account</t>
        </is>
      </c>
      <c r="D19" s="51" t="inlineStr">
        <is>
          <t>Published (JFrog)</t>
        </is>
      </c>
      <c r="E19" s="52" t="inlineStr">
        <is>
          <t>https://github.com/dx-developer-platform/terraform.az-iac-core-modules/pull/18</t>
        </is>
      </c>
      <c r="F19" s="53" t="inlineStr">
        <is>
          <t>REAL-001, REAL-002</t>
        </is>
      </c>
      <c r="G19" s="14" t="inlineStr"/>
    </row>
    <row r="20" ht="34" customHeight="1">
      <c r="A20" s="12" t="inlineStr">
        <is>
          <t>IAC-05</t>
        </is>
      </c>
      <c r="B20" s="11" t="inlineStr">
        <is>
          <t>IaC module</t>
        </is>
      </c>
      <c r="C20" s="13" t="inlineStr">
        <is>
          <t>Foundry Project</t>
        </is>
      </c>
      <c r="D20" s="51" t="inlineStr">
        <is>
          <t>Published (JFrog)</t>
        </is>
      </c>
      <c r="E20" s="52" t="inlineStr">
        <is>
          <t>https://github.com/dx-developer-platform/terraform.az-iac-core-modules/pull/19</t>
        </is>
      </c>
      <c r="F20" s="53" t="inlineStr">
        <is>
          <t>REAL-001, REAL-002</t>
        </is>
      </c>
      <c r="G20" s="14" t="inlineStr"/>
    </row>
    <row r="21" ht="34" customHeight="1">
      <c r="A21" s="12" t="inlineStr">
        <is>
          <t>IAC-06</t>
        </is>
      </c>
      <c r="B21" s="11" t="inlineStr">
        <is>
          <t>IaC module</t>
        </is>
      </c>
      <c r="C21" s="13" t="inlineStr">
        <is>
          <t>AI Search (fix)</t>
        </is>
      </c>
      <c r="D21" s="51" t="inlineStr">
        <is>
          <t>Published (JFrog)</t>
        </is>
      </c>
      <c r="E21" s="52" t="inlineStr">
        <is>
          <t>https://github.com/dx-developer-platform/terraform.az-iac-core-modules/pull/20</t>
        </is>
      </c>
      <c r="F21" s="53" t="inlineStr">
        <is>
          <t>REAL-004</t>
        </is>
      </c>
      <c r="G21" s="14" t="inlineStr"/>
    </row>
    <row r="23" ht="46" customHeight="1">
      <c r="A23" s="22" t="inlineStr">
        <is>
          <t>The evidence layer. Every readiness level on sheet 2 and every generic tick on sheet 3 should trace to a row here. Status is the thing to watch: PRE-RELEASE and IN REVIEW assets do not establish readiness, they establish that readiness is one release away. Two Foundry Agents documents are pre-release; two Terraform modules sit in review with DX; MCP template v2 is built but not distributed. Those five rows are the cheapest roadmap items in the whole model.</t>
        </is>
      </c>
    </row>
  </sheetData>
  <autoFilter ref="A1:G21"/>
  <mergeCells count="1">
    <mergeCell ref="A23:G23"/>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2026-09-04T21:04:31Z</dcterms:created>
  <dcterms:modified xsi:type="dcterms:W3CDTF">2026-09-04T21:04:31Z</dcterms:modified>
</cp:coreProperties>
</file>