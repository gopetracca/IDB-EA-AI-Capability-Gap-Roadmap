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idbg.sharepoint.com/teams/ez-TTD-NSPM/20 Business Documentation/Enterprise and Finance/"/>
    </mc:Choice>
  </mc:AlternateContent>
  <xr:revisionPtr revIDLastSave="0" documentId="8_{4AE0584F-4B10-44D4-95BD-033BC2560174}" xr6:coauthVersionLast="47" xr6:coauthVersionMax="47" xr10:uidLastSave="{00000000-0000-0000-0000-000000000000}"/>
  <bookViews>
    <workbookView xWindow="28680" yWindow="-120" windowWidth="24240" windowHeight="13020" firstSheet="1" activeTab="1" xr2:uid="{B21114B3-9122-4277-9803-06A6622FDB6F}"/>
  </bookViews>
  <sheets>
    <sheet name="Operations" sheetId="2" r:id="rId1"/>
    <sheet name="Finance &amp; Enterprise" sheetId="1" r:id="rId2"/>
    <sheet name="Enablers" sheetId="3" r:id="rId3"/>
    <sheet name="Reviewed Product Fact Sheet" sheetId="4" r:id="rId4"/>
  </sheets>
  <definedNames>
    <definedName name="_xlnm._FilterDatabase" localSheetId="3" hidden="1">'Reviewed Product Fact Sheet'!$A$1:$M$1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7" i="4"/>
  <c r="M8" i="4"/>
  <c r="M11" i="4"/>
  <c r="M14" i="4"/>
  <c r="M16" i="4"/>
  <c r="M4" i="4"/>
  <c r="M9" i="4"/>
  <c r="M24" i="4"/>
  <c r="M5" i="4"/>
  <c r="M12" i="4"/>
  <c r="M18" i="4"/>
  <c r="M33" i="4"/>
  <c r="M19" i="4"/>
  <c r="M22" i="4"/>
  <c r="M25" i="4"/>
  <c r="M26" i="4"/>
  <c r="M28" i="4"/>
  <c r="M31" i="4"/>
  <c r="M32" i="4"/>
  <c r="M10" i="4"/>
  <c r="M20" i="4"/>
  <c r="M27" i="4"/>
  <c r="M2" i="4"/>
  <c r="M29" i="4"/>
  <c r="M13" i="4"/>
  <c r="M23" i="4"/>
  <c r="M15" i="4"/>
  <c r="M30" i="4"/>
  <c r="M6" i="4"/>
  <c r="M17" i="4"/>
  <c r="M21" i="4"/>
  <c r="L3" i="4"/>
  <c r="L7" i="4"/>
  <c r="L8" i="4"/>
  <c r="L11" i="4"/>
  <c r="L14" i="4"/>
  <c r="L16" i="4"/>
  <c r="L4" i="4"/>
  <c r="L9" i="4"/>
  <c r="L24" i="4"/>
  <c r="L5" i="4"/>
  <c r="L12" i="4"/>
  <c r="L18" i="4"/>
  <c r="L33" i="4"/>
  <c r="L19" i="4"/>
  <c r="L22" i="4"/>
  <c r="L25" i="4"/>
  <c r="L26" i="4"/>
  <c r="L28" i="4"/>
  <c r="L31" i="4"/>
  <c r="L32" i="4"/>
  <c r="L10" i="4"/>
  <c r="L20" i="4"/>
  <c r="L27" i="4"/>
  <c r="L2" i="4"/>
  <c r="L29" i="4"/>
  <c r="L13" i="4"/>
  <c r="L23" i="4"/>
  <c r="L15" i="4"/>
  <c r="L30" i="4"/>
  <c r="L6" i="4"/>
  <c r="L17" i="4"/>
  <c r="L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tc={02C90AFB-AC00-4900-BAD5-02AB2AF368C7}</author>
  </authors>
  <commentList>
    <comment ref="C7" authorId="0" shapeId="0" xr:uid="{02C90AFB-AC00-4900-BAD5-02AB2AF368C7}">
      <text>
        <t xml:space="preserve">[Threaded comment]
Your version of Excel allows you to read this threaded comment; however, any edits to it will get removed if the file is opened in a newer version of Excel. Learn more: https://go.microsoft.com/fwlink/?linkid=870924
Comment:
    We already have an assignment group for INC and WRK SAP SuccessFactors COE - HXM </t>
      </text>
    </comment>
  </commentList>
</comments>
</file>

<file path=xl/sharedStrings.xml><?xml version="1.0" encoding="utf-8"?>
<sst xmlns="http://schemas.openxmlformats.org/spreadsheetml/2006/main" count="1170" uniqueCount="572">
  <si>
    <t>Assigment Group</t>
  </si>
  <si>
    <t>Component</t>
  </si>
  <si>
    <t>Category</t>
  </si>
  <si>
    <t>Subcategory</t>
  </si>
  <si>
    <t>Product Family</t>
  </si>
  <si>
    <t xml:space="preserve">Applications 
</t>
  </si>
  <si>
    <t>(Microservice/Interfaces/Module)</t>
  </si>
  <si>
    <t>Product</t>
  </si>
  <si>
    <t>Capability</t>
  </si>
  <si>
    <t>Business Product Owner</t>
  </si>
  <si>
    <t>Technical Product Owner</t>
  </si>
  <si>
    <t>Jira Key</t>
  </si>
  <si>
    <t>Jira Board</t>
  </si>
  <si>
    <t>Has Description</t>
  </si>
  <si>
    <t>Operations</t>
  </si>
  <si>
    <t>SG Delta</t>
  </si>
  <si>
    <t>Impact Management</t>
  </si>
  <si>
    <t>Eduardo Fijnzylber</t>
  </si>
  <si>
    <t>Salazar Martin Gabriel</t>
  </si>
  <si>
    <t>IMMA</t>
  </si>
  <si>
    <t>https://iadb-ttd.atlassian.net/jira/software/c/projects/IMMA/</t>
  </si>
  <si>
    <t>Yes</t>
  </si>
  <si>
    <t>Results Matrix</t>
  </si>
  <si>
    <t>TBD</t>
  </si>
  <si>
    <t>Catalog of Indicators</t>
  </si>
  <si>
    <t>Cecilia Vidal</t>
  </si>
  <si>
    <t>Client Services</t>
  </si>
  <si>
    <t>Client Portal</t>
  </si>
  <si>
    <t>Theo Laguna</t>
  </si>
  <si>
    <t>CLIEN</t>
  </si>
  <si>
    <t>SISCOR</t>
  </si>
  <si>
    <t>Correspondence Management</t>
  </si>
  <si>
    <t>Fiduciary Management</t>
  </si>
  <si>
    <t>Robert Pierre</t>
  </si>
  <si>
    <t>CFI</t>
  </si>
  <si>
    <t>Fiduciary Interface</t>
  </si>
  <si>
    <t>Luca AI</t>
  </si>
  <si>
    <t>AI Assistant</t>
  </si>
  <si>
    <t>Knowledge Platform</t>
  </si>
  <si>
    <t>Knowledge Management</t>
  </si>
  <si>
    <t>Florencia Baudino</t>
  </si>
  <si>
    <t>Javier Fernandez Sanchez</t>
  </si>
  <si>
    <t>KNP</t>
  </si>
  <si>
    <t>https://iadb-ttd.atlassian.net/jira/software/c/projects/KNP</t>
  </si>
  <si>
    <t>lessons learned writing assistant</t>
  </si>
  <si>
    <t>David Zepeda</t>
  </si>
  <si>
    <t>IE Evaluation Tracker</t>
  </si>
  <si>
    <t>Magdalena Rosseti</t>
  </si>
  <si>
    <t>Evidence Gap MAP</t>
  </si>
  <si>
    <t>Camilo Acosta</t>
  </si>
  <si>
    <t>Learning Data HUB</t>
  </si>
  <si>
    <t>IDB Learning</t>
  </si>
  <si>
    <t>Caludia Useche</t>
  </si>
  <si>
    <t>https://iadb-ttd.atlassian.net/jira/software/c/projects/IL</t>
  </si>
  <si>
    <t>Course Portal</t>
  </si>
  <si>
    <t xml:space="preserve">Meira </t>
  </si>
  <si>
    <t>Stella Porto</t>
  </si>
  <si>
    <t>Moodle</t>
  </si>
  <si>
    <t>EDX</t>
  </si>
  <si>
    <t>Rodrigo Morosoli</t>
  </si>
  <si>
    <t>Coursera</t>
  </si>
  <si>
    <t>Publishing Workflow</t>
  </si>
  <si>
    <t>Digital Library</t>
  </si>
  <si>
    <t>Kyle Strand</t>
  </si>
  <si>
    <t>https://iadb-ttd.atlassian.net/jira/software/c/projects/DL/list</t>
  </si>
  <si>
    <t>Catalogo de Publicaciones</t>
  </si>
  <si>
    <t>Open Data Portal</t>
  </si>
  <si>
    <t>Brandon Mora</t>
  </si>
  <si>
    <t>Knowledge Graph</t>
  </si>
  <si>
    <t>Knowledge Taxonomy</t>
  </si>
  <si>
    <t>Maite Arakaki</t>
  </si>
  <si>
    <t xml:space="preserve">Project Design </t>
  </si>
  <si>
    <t>Carlos Garcia</t>
  </si>
  <si>
    <t>PPD</t>
  </si>
  <si>
    <t>Programming</t>
  </si>
  <si>
    <t>Norma Fleitas</t>
  </si>
  <si>
    <t>Portfolio Management</t>
  </si>
  <si>
    <t>Geotagging</t>
  </si>
  <si>
    <t>No está priorizado para este año. No hay BPO</t>
  </si>
  <si>
    <t>Naily Contreras</t>
  </si>
  <si>
    <t>PMG</t>
  </si>
  <si>
    <t>https://iadb-ttd.atlassian.net/jira/software/c/projects/PMG/boards/1334</t>
  </si>
  <si>
    <t>Smart Porftolio</t>
  </si>
  <si>
    <t>Mariana Rosa Montegro (Licencia  de maternidad)</t>
  </si>
  <si>
    <t>Maria Isabel Gomez Pineda</t>
  </si>
  <si>
    <t>PM</t>
  </si>
  <si>
    <t>https://iadb-ttd.atlassian.net/jira/software/c/projects/PM/boards/443</t>
  </si>
  <si>
    <t>Project Risk</t>
  </si>
  <si>
    <t>ESG Compass</t>
  </si>
  <si>
    <t>María Isabel Gomez</t>
  </si>
  <si>
    <t>OPR</t>
  </si>
  <si>
    <t>https://iadb-ttd.atlassian.net/jira/software/c/projects/OPR/boards/1165</t>
  </si>
  <si>
    <t xml:space="preserve">Risk Screening Tool </t>
  </si>
  <si>
    <t xml:space="preserve">Jaime de los Santos </t>
  </si>
  <si>
    <t>RIMA</t>
  </si>
  <si>
    <t>https://iadb-ttd.atlassian.net/jira/software/c/projects/RIMA/boards/1331</t>
  </si>
  <si>
    <t>Core Services &amp; Operational Portal</t>
  </si>
  <si>
    <t>Operational Portal</t>
  </si>
  <si>
    <t xml:space="preserve">Natalia Benasso </t>
  </si>
  <si>
    <t>Daniel Aronne</t>
  </si>
  <si>
    <t>OP</t>
  </si>
  <si>
    <t>https://iadb-ttd.atlassian.net/jira/software/c/projects/OP/</t>
  </si>
  <si>
    <t>Resources Mobilization and Grants Management Budget Performance</t>
  </si>
  <si>
    <t>Performance</t>
  </si>
  <si>
    <t>Nicolas Moreno Montoya</t>
  </si>
  <si>
    <t>RM</t>
  </si>
  <si>
    <t>SAP</t>
  </si>
  <si>
    <t>Grants Master Data</t>
  </si>
  <si>
    <t>SAP Reporting</t>
  </si>
  <si>
    <t>Billing &amp; Collections</t>
  </si>
  <si>
    <t>Fees &amp; Returns</t>
  </si>
  <si>
    <t>GCM Reports</t>
  </si>
  <si>
    <t>GRF / ORC Budget Control</t>
  </si>
  <si>
    <t>Convergence (GCM)</t>
  </si>
  <si>
    <t>GCM Integrators</t>
  </si>
  <si>
    <t>Project Management</t>
  </si>
  <si>
    <t>PMP</t>
  </si>
  <si>
    <t>Component (Optional)</t>
  </si>
  <si>
    <t>Business Product Owner (Change Approver)</t>
  </si>
  <si>
    <t>Enterprise and Finance</t>
  </si>
  <si>
    <t>LFM</t>
  </si>
  <si>
    <t>Development Assets</t>
  </si>
  <si>
    <t>Accounting and Servicing</t>
  </si>
  <si>
    <t>Access/Security
Accounting
Audit
Arrears
BDU
Billing/Invoices
Collections
Disbursements
Fin Terms
Interfaces
Jobs
Master Data
Other</t>
  </si>
  <si>
    <t>Jaime Cabrera; Alejandro Leal</t>
  </si>
  <si>
    <t>Dunn, Steve</t>
  </si>
  <si>
    <t>DA</t>
  </si>
  <si>
    <t>https://iadb-ttd.atlassian.net/jira/software/c/projects/DA/boards/245</t>
  </si>
  <si>
    <t>Reporting</t>
  </si>
  <si>
    <t>Reports/Views</t>
  </si>
  <si>
    <t>SAP SuccessFactors</t>
  </si>
  <si>
    <t>People Management</t>
  </si>
  <si>
    <t>Talent Management</t>
  </si>
  <si>
    <t>Talent+ (SAP SuccessFactors)</t>
  </si>
  <si>
    <t>Leony, Larissa</t>
  </si>
  <si>
    <t>Majus Fernandez, Erick</t>
  </si>
  <si>
    <t>TM</t>
  </si>
  <si>
    <t>https://iadb-ttd.atlassian.net/jira/software/c/projects/TM/boards/2487</t>
  </si>
  <si>
    <t>Alcatraz</t>
  </si>
  <si>
    <t>Corporate  Workplace Place Solutions</t>
  </si>
  <si>
    <t>Workplace Solutions</t>
  </si>
  <si>
    <t>Workplace Management</t>
  </si>
  <si>
    <t>Herrera, Mariasol</t>
  </si>
  <si>
    <t>Carvajal Monge, Katherine Johanna</t>
  </si>
  <si>
    <t>TWS</t>
  </si>
  <si>
    <t>https://iadb-ttd.atlassian.net/jira/software/c/projects/TWS/boards/1277</t>
  </si>
  <si>
    <t>Quantum</t>
  </si>
  <si>
    <t>Cash &amp; Settlements</t>
  </si>
  <si>
    <t>Cash Reconciliation</t>
  </si>
  <si>
    <t>Estrada Vazquez, Alejandra Isabel</t>
  </si>
  <si>
    <t>Mauricio Angeles</t>
  </si>
  <si>
    <t>CAS</t>
  </si>
  <si>
    <t>https://iadb-ttd.atlassian.net/jira/software/c/projects/CAS/boards/94</t>
  </si>
  <si>
    <t>Swift</t>
  </si>
  <si>
    <t>Settlements (confimation and documentation)</t>
  </si>
  <si>
    <t>https://iadb-ttd.atlassian.net/jira/software/c/projects/CAS/boards/95</t>
  </si>
  <si>
    <t>Fedline</t>
  </si>
  <si>
    <t>Liquidity</t>
  </si>
  <si>
    <t>Summit</t>
  </si>
  <si>
    <t>Settlements</t>
  </si>
  <si>
    <t>Mutual Funds</t>
  </si>
  <si>
    <t>SSI Importer</t>
  </si>
  <si>
    <t xml:space="preserve">Treasury </t>
  </si>
  <si>
    <t>Treasury Risk Management</t>
  </si>
  <si>
    <t>Ruiz Garcia, F. Ramon; Ciecka, Peter</t>
  </si>
  <si>
    <t>Pizzirani, Rafael</t>
  </si>
  <si>
    <t>TREAS</t>
  </si>
  <si>
    <t>https://iadb-ttd.atlassian.net/jira/software/c/projects/TREAS/boards/1696</t>
  </si>
  <si>
    <t>SSI</t>
  </si>
  <si>
    <t>Frida</t>
  </si>
  <si>
    <t>COB Allocation</t>
  </si>
  <si>
    <t>Mutual funds</t>
  </si>
  <si>
    <t>File Converter</t>
  </si>
  <si>
    <t>EIS</t>
  </si>
  <si>
    <t>DailyPL Adjusments</t>
  </si>
  <si>
    <t>GLI</t>
  </si>
  <si>
    <t>Raiting Imports</t>
  </si>
  <si>
    <t>Financial Reporting</t>
  </si>
  <si>
    <t>Asset Accounting</t>
  </si>
  <si>
    <t>Kukreja, Rekha</t>
  </si>
  <si>
    <t xml:space="preserve">Morales Serrato, Paloma Libertad </t>
  </si>
  <si>
    <t>FR</t>
  </si>
  <si>
    <t>https://iadb-ttd.atlassian.net/jira/software/c/projects/FR/boards/1660</t>
  </si>
  <si>
    <t>Bank Accounting</t>
  </si>
  <si>
    <t>https://iadb-ttd.atlassian.net/jira/software/c/projects/FR/boards/1661</t>
  </si>
  <si>
    <t>GL Financial Statement Processsing</t>
  </si>
  <si>
    <t>https://iadb-ttd.atlassian.net/jira/software/c/projects/FR/boards/1662</t>
  </si>
  <si>
    <t>GL Administration &amp; Troubleshooting</t>
  </si>
  <si>
    <t>https://iadb-ttd.atlassian.net/jira/software/c/projects/FR/boards/1663</t>
  </si>
  <si>
    <t>GL Analytics &amp; Reportinhg</t>
  </si>
  <si>
    <t>https://iadb-ttd.atlassian.net/jira/software/c/projects/FR/boards/1664</t>
  </si>
  <si>
    <t>GL Financial Master Data</t>
  </si>
  <si>
    <t>https://iadb-ttd.atlassian.net/jira/software/c/projects/FR/boards/1665</t>
  </si>
  <si>
    <t>GL  Financial Closing</t>
  </si>
  <si>
    <t>https://iadb-ttd.atlassian.net/jira/software/c/projects/FR/boards/1666</t>
  </si>
  <si>
    <t>GL House Banks Management</t>
  </si>
  <si>
    <t>https://iadb-ttd.atlassian.net/jira/software/c/projects/FR/boards/1667</t>
  </si>
  <si>
    <t>GL Manage Journals</t>
  </si>
  <si>
    <t>https://iadb-ttd.atlassian.net/jira/software/c/projects/FR/boards/1668</t>
  </si>
  <si>
    <t>GL Payroll Posting</t>
  </si>
  <si>
    <t>https://iadb-ttd.atlassian.net/jira/software/c/projects/FR/boards/1669</t>
  </si>
  <si>
    <t>FR Integrations + TC Integrations</t>
  </si>
  <si>
    <t>https://iadb-ttd.atlassian.net/jira/software/c/projects/FR/boards/1670</t>
  </si>
  <si>
    <t>?</t>
  </si>
  <si>
    <t>Risk, Audit &amp; Compliance</t>
  </si>
  <si>
    <t>Oversight</t>
  </si>
  <si>
    <t>Audit</t>
  </si>
  <si>
    <t>Garay Fernandez, Luis Andres</t>
  </si>
  <si>
    <t>Yec Lay, Alexander A</t>
  </si>
  <si>
    <t>AO</t>
  </si>
  <si>
    <t>https://iadb-ttd.atlassian.net/jira/software/c/projects/AO/boards/868</t>
  </si>
  <si>
    <t>Compliance</t>
  </si>
  <si>
    <t>Van der Riet, Rex de Saint Jean</t>
  </si>
  <si>
    <t>CO</t>
  </si>
  <si>
    <t>https://iadb-ttd.atlassian.net/jira/software/c/projects/CO/boards/802</t>
  </si>
  <si>
    <t>Grievances</t>
  </si>
  <si>
    <t>https://iadb-ttd.atlassian.net/jira/software/c/projects/CO/boards/803</t>
  </si>
  <si>
    <t>ICAPA_DM</t>
  </si>
  <si>
    <t>Risk Financial and Non Financial</t>
  </si>
  <si>
    <t>ICAPA Datamart</t>
  </si>
  <si>
    <t>Marcelo Gordillo, Darwin</t>
  </si>
  <si>
    <t>Carranza Motta, Rossana Estela</t>
  </si>
  <si>
    <t>FNR</t>
  </si>
  <si>
    <t>https://iadb-ttd.atlassian.net/jira/software/c/projects/FNR/boards/1000</t>
  </si>
  <si>
    <t>DCRM</t>
  </si>
  <si>
    <t>VDIs</t>
  </si>
  <si>
    <t>Cieka, Peter</t>
  </si>
  <si>
    <t>MetricStream</t>
  </si>
  <si>
    <t>SaaS SSO</t>
  </si>
  <si>
    <t>Ricardo Martin</t>
  </si>
  <si>
    <t>MATLAB</t>
  </si>
  <si>
    <t>Infrastructure/Servers, MPS, WAS, Runtime</t>
  </si>
  <si>
    <t>Ian MacDonald</t>
  </si>
  <si>
    <t>ALM</t>
  </si>
  <si>
    <t>Data Interface App/SaaS SSO</t>
  </si>
  <si>
    <t>Cieka, Peter/Marcelo Gordillo, Darwin</t>
  </si>
  <si>
    <t>Applications 
(Microservice/Interfaces/Module)</t>
  </si>
  <si>
    <t>Enabler</t>
  </si>
  <si>
    <t>Enblers</t>
  </si>
  <si>
    <t>ServiceNow</t>
  </si>
  <si>
    <t>Business Process Management (BPM)</t>
  </si>
  <si>
    <t>BPM</t>
  </si>
  <si>
    <t>UiPath</t>
  </si>
  <si>
    <t>Power Platforms</t>
  </si>
  <si>
    <t>(Record Management System EzShare, Siscor, Enterprise Search )</t>
  </si>
  <si>
    <t xml:space="preserve">Content Management </t>
  </si>
  <si>
    <t>Record  Management</t>
  </si>
  <si>
    <t>CM</t>
  </si>
  <si>
    <t>Salesforce</t>
  </si>
  <si>
    <t>External Customer Management</t>
  </si>
  <si>
    <t>Marketing Cloud</t>
  </si>
  <si>
    <t>ECM</t>
  </si>
  <si>
    <t>CRM</t>
  </si>
  <si>
    <t>Drupal, Pantheon</t>
  </si>
  <si>
    <t>External Communications</t>
  </si>
  <si>
    <t>EEC</t>
  </si>
  <si>
    <t>My IDB, Intranet, Exchange, BananaTag, Viva Engage</t>
  </si>
  <si>
    <t xml:space="preserve">Employee Communications </t>
  </si>
  <si>
    <t>ICP</t>
  </si>
  <si>
    <t>Collaborations and Productivity</t>
  </si>
  <si>
    <t>Developer Platform (DX)</t>
  </si>
  <si>
    <t>DX</t>
  </si>
  <si>
    <t>Cloud Solutions</t>
  </si>
  <si>
    <t>(Biztalk, API Management, Enterprise Service Bus)</t>
  </si>
  <si>
    <t xml:space="preserve">Integrations </t>
  </si>
  <si>
    <t>INT</t>
  </si>
  <si>
    <t>AWS, Azure</t>
  </si>
  <si>
    <t>Cloud Operations</t>
  </si>
  <si>
    <t>Cloud Operations, Engineering and Security (ECOES)</t>
  </si>
  <si>
    <t>ECOES</t>
  </si>
  <si>
    <t>Cloud Strategy and Cost Management (ECSCM)</t>
  </si>
  <si>
    <t>ECSCM</t>
  </si>
  <si>
    <t>Enterprise Communications and Networking (Cloud) (EECNC)</t>
  </si>
  <si>
    <t>EECNC</t>
  </si>
  <si>
    <t>Digital Workplace Infrastructure (O365)</t>
  </si>
  <si>
    <t>DWI</t>
  </si>
  <si>
    <t>Identity and Access Management (Cloud) (EIAMC)</t>
  </si>
  <si>
    <t>EIAMC</t>
  </si>
  <si>
    <t>IT Risk (Compliance)</t>
  </si>
  <si>
    <t>ECOMP</t>
  </si>
  <si>
    <t>Automated Controls</t>
  </si>
  <si>
    <t>Comtinuos monitoring</t>
  </si>
  <si>
    <t>Cybersecurity</t>
  </si>
  <si>
    <t>Security Assurance</t>
  </si>
  <si>
    <t>ECYBER</t>
  </si>
  <si>
    <t>Enginnering Design</t>
  </si>
  <si>
    <t>Security Operations</t>
  </si>
  <si>
    <t>Data Management</t>
  </si>
  <si>
    <t>Business Intelligence</t>
  </si>
  <si>
    <t>DMP</t>
  </si>
  <si>
    <t>DB Admin</t>
  </si>
  <si>
    <t>Data Gov &amp; QA</t>
  </si>
  <si>
    <t>Data Pipelines and Analytics</t>
  </si>
  <si>
    <t>Artificial Intelligence</t>
  </si>
  <si>
    <t>AIP</t>
  </si>
  <si>
    <t>Enterprise Architecture</t>
  </si>
  <si>
    <t>Application Portfolio Management</t>
  </si>
  <si>
    <t>EEARCH</t>
  </si>
  <si>
    <t xml:space="preserve">Co-Design &amp; Architecture Support for Products </t>
  </si>
  <si>
    <t>Architecture Advisory</t>
  </si>
  <si>
    <t>Technology &amp; Architecture Standards</t>
  </si>
  <si>
    <t>Service Delivery</t>
  </si>
  <si>
    <t>SD</t>
  </si>
  <si>
    <t>Strategic Resource Management</t>
  </si>
  <si>
    <t>Budget Management</t>
  </si>
  <si>
    <t>Not Available</t>
  </si>
  <si>
    <t>Vendor Management</t>
  </si>
  <si>
    <t>CIO Office Support</t>
  </si>
  <si>
    <t>Resource Administration</t>
  </si>
  <si>
    <t>People Experience - IBT</t>
  </si>
  <si>
    <t>Communications</t>
  </si>
  <si>
    <t>IBT</t>
  </si>
  <si>
    <t>Change Management</t>
  </si>
  <si>
    <t>UX</t>
  </si>
  <si>
    <t>Innovation</t>
  </si>
  <si>
    <t>Strategic Portfolio Management</t>
  </si>
  <si>
    <t>Governance $ Controls</t>
  </si>
  <si>
    <t>NSPM</t>
  </si>
  <si>
    <t>ACoE</t>
  </si>
  <si>
    <t>Processes</t>
  </si>
  <si>
    <t>Digital Workplace Experience</t>
  </si>
  <si>
    <t>WebConference</t>
  </si>
  <si>
    <t>DW</t>
  </si>
  <si>
    <t>Roadmap Definition</t>
  </si>
  <si>
    <t>Onboarding Process</t>
  </si>
  <si>
    <t>Product or Enabler Name</t>
  </si>
  <si>
    <t>Family</t>
  </si>
  <si>
    <t>Description</t>
  </si>
  <si>
    <t>Function</t>
  </si>
  <si>
    <t xml:space="preserve">Jira Board </t>
  </si>
  <si>
    <t>Organizational Goals</t>
  </si>
  <si>
    <t>Responsible: (Product/Enabler Lead)</t>
  </si>
  <si>
    <t>Responsible: (Technical Lead/Technical Product Owner)</t>
  </si>
  <si>
    <t>Value Proposition 
(Problem / Opportunity Statement )</t>
  </si>
  <si>
    <t>Systems Used (Critical Integrations)</t>
  </si>
  <si>
    <t>Capabilities 
(Business Services)</t>
  </si>
  <si>
    <t>Has Description (Col H)</t>
  </si>
  <si>
    <t>PEro</t>
  </si>
  <si>
    <t>Adoption &amp; Experimentation Infrastructure</t>
  </si>
  <si>
    <t>Technology and Transformation in the Region</t>
  </si>
  <si>
    <t>This product delivers a secure and scalable cloud ecosystem—IDBCloud4LAC—designed to accelerate the adoption of digital solutions across Latin America and the Caribbean. It provides a trusted environment that enables Sector teams to support local governments and institutions in experimenting with and adopting digital tools without the infrastructure barriers that often delay delivery. The IDB is extending its support to the region by providing an environment for solutions to be put into production and operated until the local governments or entities are ready to take over. </t>
  </si>
  <si>
    <t>Pending</t>
  </si>
  <si>
    <t>Bolstering Sustainable Regional Growth: by providing the digital infrastructure needed to accelerate innovation, strengthen institutional capacity, and enhance the delivery of public services. Reduce Poverty and Inequality: by enabling governments and institutions to quickly deploy digital tools that improve the delivery of public services in areas such as education, health, food security, and gender equality. (These are also the business goals for the overall TTR Digital Interventions product family).
Reduce Poverty and Inequality: by enabling governments and institutions to quickly deploy digital tools that improve the delivery of public services in areas such as education, health, food security, and gender equality.</t>
  </si>
  <si>
    <t>LEEU@iadb.org</t>
  </si>
  <si>
    <t xml:space="preserve">Many institutions across LAC lack the technical infrastructure, capacity, or security controls to quickly deploy and manage digital solutions. As a result, innovative projects often face long delays, high costs, and elevated risks related to system performance, data protection, and sustainability. The product addresses the issue of developed solutions not being put into production due to lack of infrastructure or readiness by recipient institutions, leading to wasted effort and delayed impact (e.g., solutions taking years to go live). </t>
  </si>
  <si>
    <t>None</t>
  </si>
  <si>
    <t>Infrastructure enablement - Providing a secure and scalable cloud environment (IDBCloud4LAC) where digital solutions can be hosted, allowing acceleration of adoption without local infrastructure barriers. 
Security and Risk Mitigation - Solutions hosted on the platform comply with minimum security policies and controls, including hardening sites, setting up firewalls (e.g., Cloudflare), and monitoring for breaches or attacks to mitigate reputational risk.
Interoperability and Reusability - Promoting the development and use of interoperable and reusable digital solutions by creating independent infrastructures for each project to avoid affecting others. The platform is agnostic to technology, allowing solutions developed with various technologies (e.g., MySQL, Java) to be hosted. 
Monitoring and Management Tools - Providing centralized oversight of hosted solutions, monitoring usage, security, and analytics, and generating monthly reports on security attempts, backups, and site usage. 
Advisory and Support Services - Offering specialized advisory services to help teams design, deploy, and maintain high-quality digital solutions, including providing architecture and security expertise for meetings with institutions. This also includes reminding business partners about contract and domain renewal dates.</t>
  </si>
  <si>
    <t>Technology and Data Assurance</t>
  </si>
  <si>
    <t>Enables modular, scalable, and AI-driventechnology solutions, ensuring reusability, flexibility, and efficiency in IDB’s digital transformation. By aligning architecture with Development Operations, AI adoption, application portfolio optimization, and core building blocks design, EA will accelerate the bank’s ability to deliver strategic reforms, enhance operational resilience, and maximize impact in sustainable regional growth.</t>
  </si>
  <si>
    <t>https://iadb-ttd.atlassian.net/jira/software/c/projects/EEARCH/boards/83</t>
  </si>
  <si>
    <t xml:space="preserve">Using KPIs to measure impact (specifically adherence to architecture standards like the IDB Technological Framework)
Measure performance (e.g., reducing application load time, improving responsiveness of applications for country offices).
Simplify the use of technology for the users (reducing fragmentation and entangled processes).
Aligning sourcing, delivery, and governance around EA strengthens the Bank’s capacity to deliver with speed, purpose, and coherence
Promote reuse (e.g., shared components for digital experiences like user profiles and authentication, rationalizing and reusing applications). 
Promote the responsible use and adoption of AI (defining AI building blocks and target roadmap for adoption, clarifying AI governance). 
Foster a culture of reuse and fiscal sustainability.
Push for technical excellence and operational resilience. </t>
  </si>
  <si>
    <t>KARLAVI@IADB.ORG</t>
  </si>
  <si>
    <t>RauldaSilva</t>
  </si>
  <si>
    <t>Problem-solving, value, intentional, and a clear goal of where we are going. Enterprise Architecture aims to address issues like duplication, misalignment, and fragmentation within the bank's technological landscape, reducing complexity and improving decision-making by understanding the distinct value the user gets from interacting with the product or enabler. It seeks to define the overall technology strategy and provide advisory and oversight for product teams, ensuring cohesion and proper design across the bank's digital solutions</t>
  </si>
  <si>
    <t xml:space="preserve">Digital Portfolio - Digital channel (website) for digital solutions portfolio, using Lean IX as a backend. 
Open AI - Creating chatbots for the technology catalog, and as an AI enabler for digital channels and operations. 
Service Now - Process for new license subscriptions. Key dependency for exploiting Lean IX capabilities by enabling checks against inventory before approval. 
Jira - Ticketing and user story management. 
Datadog - Observability and monitoring tool used for performance dashboards. Potential for installation on corporate side (SAP). 
SharePoint/ezShare - Purpose of Integration: Documenting standards; Easy Share for document handling. 
LeanIx - Backend for Digital Solutions portfolio, technology portfolio management, and technology inventory. 
</t>
  </si>
  <si>
    <t xml:space="preserve">Technology Strategy - Defining how technology supports bank objectives and how technological assets should be used. This includes defining guidelines for buy vs. build decisions, creating long-term strategies (target architecture), and helping product teams define their own target and transition architectures. 
Software Architecture - Deep dive into requirements, including co-design sessions with product owners, UX, and technology leaders to find better solutions for institutional reach projects (e.g., reforms, knowledge platform). Includes creating architectures and working with tech leads for implementation. 
Technology Catalog (or Technology Portfolio Management / Technology Inventory Management) -  Managing the list of applications and IT components across the bank, understanding relationships, and identifying usage. Aims to incorporate business objectives, interfaces, data objects, and resource management variables for proper technology feasibility assessment and rationalization opportunities (e.g., sunsetting redundant applications). Involves a recertification process every six months and aims for automated data ingestion. 
Assurance - Ensuring that products follow defined standards (from Technology Strategy service) throughout their lifecycle and achieve technical KPIs (e.g., performance). Works in a matrixed way with tech leads to understand implementation challenges and refine standards. Aims to create a heat map showing compliance status (Green, Yellow, Red) for various technology components. </t>
  </si>
  <si>
    <t>Technology and Data Solutions</t>
  </si>
  <si>
    <t>The AI enabler is IDB's cross-cutting AI capability team, equipping product and enabler teams with the platforms, frameworks, and expertise to embed intelligence responsibly into what they build. It defines and owns the corporate AI strategy and execution roadmap, builds and operates shared enterprise AI capabilities, and ensures AI adoption remains compliant with the Bank-wide AI Framework and golden rules while avoiding duplication of AI capabilities across the institution.</t>
  </si>
  <si>
    <t>https://iadb-ttd.atlassian.net/jira/software/c/projects/AIP/boards/312</t>
  </si>
  <si>
    <t>AI-enabled IDB: equip product teams to innovate with shared AI capabilities, empower every team member to work smarter, and amplify development impact across LAC.
Establish and maintain the Bank-wide AI Framework, guidelines, and golden rules.
Promote responsible, ethical, and secure AI adoption — transparency, explainability, and traceability of agents.
Reduce duplication and optimize resources across AI initiatives bank-wide.</t>
  </si>
  <si>
    <t>JAIRORI@IADB.ORG</t>
  </si>
  <si>
    <t>Enable every product and enabler team at IDB to embed AI safely and quickly by providing shared, ready-to-use platform capabilities — the Unstructured Data Application, MCP servers for Denodo, Convergence, and sgDELTA, and centralized agent skills — so teams innovate faster without duplicating infrastructure, expertise, or governance effort.</t>
  </si>
  <si>
    <t>AI Gateway - Shared and dedicated model gateway for AI consumption bank-wide (in production).
Unstructured Data Application - Platform replacing Aurora for unstructured/vectorized data (in test).
MCP Servers - Model Context Protocol servers for Denodo, Convergence, and sgDELTA (in test).
Agents Skills Administrator - Centralized repository for reusable agent skills across the Bank.
AI Risk Assessment (AIRA) - Risk assessment tool for AI initiatives (in test).
Aurora / SAIA 1.0 - Legacy RAG SaaS chatbot platform, in decommissioning process.
Copilot Studio - Platform for agent development and pre-production agent evaluation.</t>
  </si>
  <si>
    <t>Strategy &amp; Roadmap: Co-define and own the corporate AI capability strategy and execution roadmap with the Tech Office (TDA, TDS) and DT.
Platform Development: Design, build, and integrate reusable enterprise AI capabilities — including the Unstructured Data Application, MCP Denodo, MCP Convergencia, and MCP sgDelta — from MVP through production, maintaining the enterprise AI capability catalogue.
Ops &amp; Lifecycle Management: Operate and continuously improve AI platform capabilities in production, including the migration from Aurora/SAIA to the Unstructured Data Application.
Agent Skill Administrator: Operate the centralized repository for reusable agent skills across the Bank, enabling product and enabler teams to discover, reuse, and standardize agent capabilities instead of rebuilding them.
Agent Build &amp; Co-Build: Build or co-build bankwide agents and high-importance use cases directly with product and enabler teams, from MVP through production.
Product Enablement &amp; Advisory: Establish AI implementation standards and consumption guidelines for teams engaging with shared AI capabilities.
Observability, Performance &amp; Cost: Monitor reliability, performance, cost, and usage of enterprise AI capabilities, reporting to TDA governance.
Innovation &amp; Ecosystem: Co-own evaluation of emerging AI technologies and vendor solutions with the Tech Lab, running strategic PoCs (e.g. pre-production copilot agent evaluation).
Adoption, Comms &amp; Knowledge: Co-lead AI awareness, training, and knowledge assets with IBT and DT to drive responsible adoption bank-wide.</t>
  </si>
  <si>
    <t>The Cash and Settlements product manages all systems and processes required to make and receive payments from various counterparts. It supports the end-to-end settlement of treasury cash operations, including individual and mass payments, as well as the reconciliation of transactions. This product ensures the timely, accurate, and secure movement of funds across the Bank’s operations.</t>
  </si>
  <si>
    <t>https://iadb-ttd.atlassian.net/jira/software/c/projects/CAS/boards/26</t>
  </si>
  <si>
    <t>Keep up-to-date systems, modernization of procedures, and ensure efficient operations.
Increase Straight Through Processing (STP) to automate transactions and reduce manual intervention.
Achieve automatic reconciliations for all financial transactions.</t>
  </si>
  <si>
    <t>JUANFP@iadb.org</t>
  </si>
  <si>
    <t xml:space="preserve">The product is critical for settling transactions and handling cash and treasury transactions efficiently. It aims to increase straight-through processing (STP) and enable automatic reconciliations to minimize manual intervention and improve efficiency. </t>
  </si>
  <si>
    <t xml:space="preserve">Treasury (TMS) -  Exchange cash and security messages. 
SAP - Process expected contributions, payroll, and procure-to-pay transactions. 
Systems IDB Invest (Maestro, TFFP, ACBS) - Handle Treasury and TFFP related transactions, including guarantees. 
Swift network - External dependency for sending and receiving all types of SWIFT messages (wires, ACH/batch, guarantees). 
LFM - Process disbursement requests from the loan system, acting as a conduit to the SWIFT network. </t>
  </si>
  <si>
    <t xml:space="preserve">Pay and receive cash - Handling all payments and receipts of cash for the bank, serving as a central hub for cash transactions. 
Settle financial securities transactions - Managing the process to settle investment and funding transactions in the treasury area, including exchanging SWIFT messages with counterparties. 
Reconciliation - Ensuring all payments and receipts are properly recorded and matched against statements, covering both intraday and prior day reconciliation. 
Delivering and Receiving Statements - Processing incoming statements and delivering cash position information to other bank systems. </t>
  </si>
  <si>
    <t xml:space="preserve">Client Services delivers digital solutions to our external clients, ensuring a cohesive and meaningful experience with the IDB. </t>
  </si>
  <si>
    <t xml:space="preserve">Absorption of knowledge, lessons learned for similar projects or other regions. </t>
  </si>
  <si>
    <t>katiac@iadb.org</t>
  </si>
  <si>
    <t>theoa@iadb.org
Luis Garcia Castro</t>
  </si>
  <si>
    <t xml:space="preserve">Client Services digitalizes previously paper processes and creates a single point of entry for our clients. The opportunity is to address the decentralized experience clients previously had, where they navigated multiple tools with different logins; this product centralizes access to project info, contracts, and financial data. </t>
  </si>
  <si>
    <t xml:space="preserve">Convergence - Does not exist. Wishful thinking for real-time connection; currently non-existent. - DENODO datamarkeplace - Not created for real-time consumption. Used to bridge data from IDB Data Warehouse; performance issues during high traffic.
Azure B2C - Authentication/Login system.
External Account Provisioning System (EAPS) - Should be a unique context; currently have one for portal and one for others. 
Salesforce CRM - Account management module. Used for onboarding; relies on fragile BizTalk integration. 
Cartera inteligente - Portfolio review, agreements. 
Fiduciary Interface - Read data from the interface. For disbursements and procurement.
ezShare - Sending semi-annual project report to be saved as a project document. </t>
  </si>
  <si>
    <t xml:space="preserve">Provide access to project financial information - Users can see advances, financial balances, among others. 
Provide access to project operational information  -  Risk matrix, operational balance, portfolio review agreement. Currently relies on Data Warehouse (not source), causing latency. 
Progress Reporting - Through semi-annual reports, results matrix. Currently relies on PDF generation due to lack of integration with Convergence. </t>
  </si>
  <si>
    <t>Cloud and Infrastructure</t>
  </si>
  <si>
    <t>The Cloud and Infrastructure enabler provides the foundational technology platforms and services that power the Bank’s digital ecosystem. It is responsible for defining and executing the cloud strategy, including cost management, secure operations, and engineering practices. The enabler supports DevSecOps and integration services to streamline development and deployment across environments. It also manages identity and access provisioning, directory services, and enterprise communication infrastructure—including telecommunications and network operations. Additionally, it delivers robust, scalable infrastructure solutions to support the Bank’s mission-critical operations, ensuring performance, availability, and security across all platforms.</t>
  </si>
  <si>
    <t>https://iadb-ttd.atlassian.net/jira/software/c/projects/ECLIN/boards/201</t>
  </si>
  <si>
    <t xml:space="preserve">TTD aligment with HRD goals (3 goals)
TTD Goal 1:   Enhanced Bank Operations with Technology and Innovation
TTD Goal 4: Digitalize and run our corporate and operational platforms
TTD Goal 5: Build the future-ready workforce
</t>
  </si>
  <si>
    <t>Egdares Futch 
EGDARESF@IADB.ORG</t>
  </si>
  <si>
    <t xml:space="preserve">Deliver reliable, secure, and high-performing cloud platforms, network infrastructure, and identity access management services that enable seamless connectivity, secure access, and digital operations, ensuring comprehensive implementation, proactive management, and continuous optimization of all technology infrastructure and access control services. </t>
  </si>
  <si>
    <t xml:space="preserve">AWS
Azure
Physical network providers
Sailpoint
Directory Services
</t>
  </si>
  <si>
    <t xml:space="preserve">Cloud Strategy and Cost Management: Manage financial Operations integration with SaaS and cloud and strategic objectives
Cloud Operations, Engineering and Security: Manage cloud operations ans resilience eans 365 and serverless computing and the automation development support
Identity and Access Management: Provishioning automation and support, drectory servicces integration and SAP security engeneering
Enterprise communications and networking: Networking, cloud service delivery and observability and voice communications, all network infrastructure
</t>
  </si>
  <si>
    <t>Core Platforms</t>
  </si>
  <si>
    <t>The Core Platforms Enabler is dedicated to administering, managing, consolidating, and optimizing our foundational technology platforms—such as Salesforce, O365, SharePoint, and ServiceNow—to ensure they effectively support our business products. By providing a reliable technology foundation, we enable seamless software product delivery, offer advisory services, and empower users with scalable, high-performance solutions.</t>
  </si>
  <si>
    <t>https://iadb-ttd.atlassian.net/jira/software/c/projects/DX/boards/148</t>
  </si>
  <si>
    <t xml:space="preserve">Efficiency (automation, process management)
Security
Data-driven (provide data in different systems) decision making process
Compliance
Reliability
 History of the institution (traceability, institutional memory)
 Standardization
</t>
  </si>
  <si>
    <t>JUANAA@iadb.org</t>
  </si>
  <si>
    <t>Provide foundational services that help accelerate the deployment of other solutions, enable scaling of systems for corporate use, improve developer experience, and provide reliability.</t>
  </si>
  <si>
    <t>Cyberark -  Security
Sailpoint - Identity and Access Management (Inferred)
Microsoft and Azure services - Active Directory , MFA,Microsoft services
Denodo - Reliability and performance for transactional and analytical data 
Operational solutions - Convergence (data for applications like ATI, Fiduciary Interface, publications website)</t>
  </si>
  <si>
    <t>Business process management - Jira, SNow, Uipath, power platform
External customer management - Salesforce
External communications - Website (drupal, pantheon)
Employee communication - Intranet, Viva tools
Integrations - Biztalk, API management, Service Bus 
Development platform - Terraform, CICD
Content management - ezShare, web services, onedrive, teams documents, SharePoint docs, DocuSign, search, e-disposition of records
Collaboration and productivity - Office tools (MS teams, copilot, miro)</t>
  </si>
  <si>
    <t>Corporate Services</t>
  </si>
  <si>
    <t>SAP Procurement, travel, budgeting, account payable, workplace solutions.</t>
  </si>
  <si>
    <t xml:space="preserve">Streamlines and modernizes core administrative services.
A efficient, economical acquisition of goods and services.
A smooth and efficient travel service to the whole bank.
</t>
  </si>
  <si>
    <t xml:space="preserve">KJOHANNAC@IADB.ORG
</t>
  </si>
  <si>
    <t xml:space="preserve"> Providing reliable automations to support the corporate services of the bank. </t>
  </si>
  <si>
    <t>SAP - S4 Hana
SAP Ariba
SAP  BTP
AppZen
SAP Concur
Ccure</t>
  </si>
  <si>
    <t xml:space="preserve">Travel Booking
Spend Travel Expenses and Reporting
Parking - Part of Workplace Management &amp; Sustainability
Sourcing and contracting - *Image information
Invoice processing - *Image information
Payment processing - *Image information
Budget management - *Image information (Hyperion)
Budget management - *Image information (Hyperion)
space management - Part of Travel Management
Sustainability initiatives - Part of Workplace Management &amp; Sustainability
Transfer - Part of Budget
Real Estate Portfolio Management - Part of Workplace Management &amp; Sustainability 
Physical Security &amp; Access Control - Part of Workplace Management &amp; Sustainability
Execution - Part of Budget
Modeling - Part of Budget
Formulation - Part of Budget
Expenditure control - Part of Budge
</t>
  </si>
  <si>
    <t>The Cybersecurity enabler is responsible for ensuring the protection, resilience, and compliance of digital assets across the organization. It supports strategic and operational security through a wide range of capabilities, including Security Assurance, ISO 27001 Information Security Management System (ISMS) operations, and audit management. The enabler drives a culture of security awareness via training, phishing simulations, and the development of Security Champions among developers. It provides technical expertise in secure architecture and engineering, cloud and API security, DevSecOps, and vulnerability management across infrastructure, servers, and cloud environments. Additionally, the team leads efforts in application security reviews (PRACs), cloud risk assessments (CRAs), penetration testing, threat intelligence, monitoring and detection, incident response, and compliance validation. Cybersecurity also manages key security tools and technologies to ensure end-to-end protection and continuous improvement of the organization’s security posture.Cybersecurity is the enabler product that ensures the security of information of the bank, develops the policies that everyone needs to follow, and operates the security tools that prevent, identify, and respond to cybersecurity incidents.</t>
  </si>
  <si>
    <t>https://iadb-ttd.atlassian.net/jira/software/c/projects/ECYBER/boards/98</t>
  </si>
  <si>
    <t xml:space="preserve">Ensure the data is available, confidential, and adequately protected as per bank's needs.
Enable the bank to keep its credit ratings (based on operational risk levels). 
Enhance the reputation of the bank towards stockholders, member countries, and clients. 
Overall business service delivery. 
Protecting the bank against malicious impacts (controlling, monitoring). 
Risk-oriented approach. 
Continuously enhance cybersecurity awareness. 
Establish and maintain a risk-based Cybersecurity Program to safeguard the confidentiality, integrity, and availability of data while supporting the Digital Transformation and IT Strategy. 
Establish a robust framework that promotes ongoing evaluation, enhancement, and adherence to industry-accepted security best practices. </t>
  </si>
  <si>
    <t>harleyj@IADB.ORG</t>
  </si>
  <si>
    <t>We ensure that the information that business products manage is secure, from secure software development, secure design, secure implementation, secure monitoring, operation of systems, and response.</t>
  </si>
  <si>
    <t xml:space="preserve">SIEM (Microsoft Azure Sentinel) - Needs visibility to every single system that needs to be monitored, collects and correlates data/events from other systems, used for forensic analysis in incident investigations.  
Rapid 7 - Vulnerability management system that scans the network and identifies servers and other assets.  - 
Veracode - Application security system / software development lifecycle system. Used for securing code at the GitHub level for current and future releases. </t>
  </si>
  <si>
    <t>Security Assurance - Proactive activities including cybersecurity awareness, certification management, program management, and risk management. Ensures controls for cybersecurity exist in the bank's infrastructure and applications. Includes Security Governance (Policies, Procedures, Processes, Baselines, Standards), Information Security Awareness (User training and testing), ISMS Continuous Improvement, Risk Management (CRA, Risk Register, Exception Management), Internal Controls Framework, and Capital Projects Administration.
Security engineering and architecture - Design and review of applications and systems to ensure they are designed and correctly controlled. Ensuring secure software development lifecycle. Includes Application Security (SDLC security: DAST/SAST, Developer security awareness, Security Champions Program), Security Accreditations, Cloud and Network Security Architecture, API Architecture Security, and Cloud Security Posture Management. 
Security operations - Monitor, detect, and respond to incidents, vulnerability and compliance, security testing. Operates security tools. Follows information security incident response plan. Includes Security Tools Operation (R7, Burp, Defender, Sentinel, ...), Vulnerability &amp; Compliance Management (On prem, Cloud, SaaS, Websites), Cyber Threat Intelligence, Endpoint Detection, SIEM (monitoring and correlation), Incident Response and Escalation, Digital Forensics, eDiscovery, Security Operation Center, and Security Testing (Password Testing, Penetration Testing, Tabletops). 
ISMS Operation – ISO27K certification
Security Awareness Training
Security Awareness Testing/ Phishing
Audit management
KPIs &amp; Indicators
Security Engineering Design
Secure Code/DevSecOps*
Developers Security Training (Security Champions)
Cloud Security and Architecture*
Application Security Reviews or Accreditations (PRACs)
Cloud Risk Assessments (CRA)
API Security
Vulnerability Management (Servers, Cloud, Infrastructure)
Internal and External Pen-testing / Red Team / Tabletop
Threat Intelligence*
Detection and Monitoring 
Incident Response *
Baseline Compliance testing
Security Tool Management  (Security Certificates, Endpoint security, Networking, etc)</t>
  </si>
  <si>
    <t>The Data Management enabler is responsible for ensuring that data is treated as a strategic asset across the organization. It encompasses end-to-end data capabilities, including database administration, data architecture, and the design and operation of modern data platforms. This enabler supports data analytics products and the Data Marketplace to enable business insights and data-driven decision-making. It also implements data governance and quality solutions to ensure accuracy, consistency, security, and compliance across all data assets, providing a trusted foundation for digital transformation. This enabler also support the pubication of open data assets of the bank with the world and provide a strategic architecture for external solutions such as the site of the bank.</t>
  </si>
  <si>
    <t>https://iadb-ttd.atlassian.net/jira/software/c/projects/DMP/boards/55</t>
  </si>
  <si>
    <t xml:space="preserve">Data-Driven Culture and Continuous Improvements
Secure First, Secure Always
Technology Modernization and Efficiency Improvements 
Knowledge Bank 
Data Literacy of the Bank 
</t>
  </si>
  <si>
    <t>carlosd@iadb.org</t>
  </si>
  <si>
    <t>High-quality data services that support decision-making, operational efficiency, and strategic initiatives through governed, accessible, and reliable data solutions.</t>
  </si>
  <si>
    <t xml:space="preserve">Convergence - Operational data 
TMS  - Treasury data
SAP - HR, Budget and Accounting
LFM - Financial data
EntraID - Security and authentication
AWS StepFunctions 
CKAN
PowerBI
ESRI ArcGIS 
AWS SageMaker 
Informatica (DI, DQ, DG) 
AWS Lambda 
AWS Glue 
AWS Athena 
OneTrust 
SAP SLT 
MS PowerAutomate 
Azure Automation Account 
MS PowerAutomate 
AWS Redshift 
Microsoft SQL
Oracle 
AWS S3 
AWS Dynamo 
Azure Storage Account 
AWS RDS 
AWS Lakeformation 
Cyberark
AWS SecretsManager 
AWS SNS 
AWS CloudWatch 
AWS EventBridge 
AWS CloudFormation 
AWS IAM
AWS KMS 
AWS EC2 
MS EntraID / Active Directory </t>
  </si>
  <si>
    <t>Data Management: data integration, certification and publication for consumption and support the decision making process.
Database administration: Manage and maintain databases 
Data Analytics Products: support of the core analytical tools used to visualize data in various ways.
Data Marketplace: catalog and publication of certified data assets.
Data Architecture: Design and structure data systems for transactional applications (currently lacking) 
Data services: Access to Data via APIs For product/system consumption 
Consultancy: Data-related advisory services 
Data Governance &amp; Quality Solutions: Data quality, privacy, and governance services 
Business Intelligence &amp; Analytics : Reports and dashboards for institutional/business use 
Data Integration &amp; Cataloging:
Data marketplace, ETL, and metadata management 
Open Data: support of the technological platforms and publication process of open and public data.</t>
  </si>
  <si>
    <t>The Development Assets products provides a centralized, integrated view and financial support for loans, equity investments, and guarantees—empowering finance teams in servicing, accounting, and client management while enabling the entire bank to understand, track, and connect all related systems and financial assets efficiently.</t>
  </si>
  <si>
    <t>One of the main goals of the IDB Impact Plus strategy is to enhance efficiency, transparency, and strategic decision-making through integrated and centralized management of financial assets such as loans, guarantees, and equities.
Providing flexible solutions to adapt to new financial products.
Strengthen IDB financial capacity and enables support for innovative financial solutions, disaster risk management related financial products, and more.
Strengthen IDB competitiveness in the region</t>
  </si>
  <si>
    <t>MMAGARINOS@IADB.ORG</t>
  </si>
  <si>
    <t>The IDB requires centralized, accurate, and timely management into the financial status of loans, equities, and guarantees to prevent accounting errors, reduce operational risks, and ensure informed decision-making based on complete and reliable data.</t>
  </si>
  <si>
    <t xml:space="preserve"> Maestro (IDB invest system) - manage and synchronize the operational and financial lifecycle loan including items such us sugnatures, eligibility and disbursements
Cash / Quantum - support cash dusburments collections
Bloomberg (external) - interest rates
ECP (external client portal) - provide access to ur bills, rate notifications and request loan balance confirmation
ezShare - publishing and retrival of documents
EDW - provide data for reporting for all bank usage</t>
  </si>
  <si>
    <t xml:space="preserve">Servicing - Support disbursement processing, billing, collections
Accounting - Support contract onboarding, financial terms, loan re-structures, contract closure, GL reconciliations
Reporting - Calculators for external purposes, notifications, data for bank consumption. 
</t>
  </si>
  <si>
    <t>Digital Strengthening for Operations</t>
  </si>
  <si>
    <t>Strengthen IDB Impact by fostering collaboration between TTD/TTR and VPS Operations Teams, streamlining tools and support throughout the operation lifecycle and the effective design and implementation of an information security strategy, policies, and controls for operations and digital solutions deployed in these operations.</t>
  </si>
  <si>
    <t xml:space="preserve">Bolstering Sustainable Regional Growth: by providing the digital infrastructure needed to accelerate innovation, strengthen institutional capacity, and enhance the delivery of public services. Reduce Poverty and Inequality: by enabling governments and institutions to quickly deploy digital tools that improve the delivery of public services in areas such as education, health, food security, and gender equality. This product is part of the same product family as "Operational Innovation &amp; Digital Advisory" and "Adoption and Experimentation Environments". The TTR Group's primary role is identifying opportunities for technology innovations in IDB projects. The goal is to create technological resources and services to assist operational teams in implementing Digital Solutions. </t>
  </si>
  <si>
    <t>GFRANCOA@iadb.org</t>
  </si>
  <si>
    <t xml:space="preserve">IDB Operational teams struggle with fragmented operations, inefficiencies, and a lack of synergies. Our product aims to break silos, promote/improve efficiencies, and foster synergies through governance, especially in the context of digital solutions. We help address the challenges faced during the initial project structuring and preparation phases, as well as the more technical execution phase where digital solutions are implemented. </t>
  </si>
  <si>
    <t xml:space="preserve">Project Management - Project Management services for TTR internal projects. This function is shared across all products in the family.  
Advisor for acquisitions (due dilligence) - Providing cybersecurity advice and due diligence support for acquisitions related to digital solutions. This includes cybersecurity advisory for digital solutions in operations and implementation of information security standards in IDBCloud4LAC. Also acts as a cybersecurity assessor and advisor for investment prospects.  
Governance (standards) - Establishing standards and governance for digital solutions within TTD and for sectors, promoting a consistent way of working. Standardize internal processes in TTR and processes related to the creation of digital solutions in conjunction with sectors (operations team), communications (DCC), and any other party. 
Knowledge Sharing -  Building a digital catalog of digital solutions from operations and lessons learned, allowing queries to find existing solutions. This focuses specifically on digital solutions, not general operational knowledge related to physical projects (e.g., bridges).  
Sourcing for the extended/external services - Sourcing people and resources to manage demand for extended services, as internal enablers or resources from other TTD products cannot always be used. This includes providing resources (e.g., enterprise/security architects, software engineers) to support all TTR products in the family, operations' digital solutions, and IDBCloud4LAC. </t>
  </si>
  <si>
    <t>Digital Transformation</t>
  </si>
  <si>
    <t>Innovation and Business Transformation</t>
  </si>
  <si>
    <t>Accelerating transformation process in different areas across the organization.</t>
  </si>
  <si>
    <t xml:space="preserve">Helping deliver the reforms that have been set by institucional strategy
Improvement processes and systems
</t>
  </si>
  <si>
    <t>gperla@IADB.ORG</t>
  </si>
  <si>
    <t>Bringing greater agility process to coporateprocesses within IDB, trying to adress data redundancies, acelerating deployment of AI along operational cycle.</t>
  </si>
  <si>
    <t>N/A</t>
  </si>
  <si>
    <t>Process transformation
Change management
Digitalization</t>
  </si>
  <si>
    <t>Digital Transformation of Secretary</t>
  </si>
  <si>
    <t>Secretary</t>
  </si>
  <si>
    <t>Develop and maintain systems for the Office of the Secretary for the Executive Directors or the Board of Governors and for upper management. Plus we provide all the technology services related to our annual meetings, which is the largest event of the bank.</t>
  </si>
  <si>
    <t>Enabling the work that needs to be done by the decision making bodies of the bank.</t>
  </si>
  <si>
    <t>HCOSTA@iadb.org</t>
  </si>
  <si>
    <t>NATALIASE@IADB.ORG</t>
  </si>
  <si>
    <t>IT solutions for the corporate governance.
Providing all the technological infrastructure to solve all the needs of the corporate governance of the bank.</t>
  </si>
  <si>
    <t xml:space="preserve">ezShare - Documentation
DENODO - Data
Azure - Services (level of autonomy limitation)
AWS - Cloud servers
Amazon SES - SMTP client
</t>
  </si>
  <si>
    <t>Translation services - Translation services
Interpretation services - Interpretation services
Services to the board (commities coordination, minutes production, agendas) - Commities coordination, minutes production, agendas
Event services (coordination and audiovisual services, agenda, nominations) - Coordination and audiovisual services, agenda, nominations
Access to information policy - Access to information policy
Services to governors - Coordinating the annual, regional, committee meetings
Technology services - Technology services</t>
  </si>
  <si>
    <t>Emerging Tech</t>
  </si>
  <si>
    <t xml:space="preserve">Technology and Transformation in the Region </t>
  </si>
  <si>
    <t>TechLab is the Inter-American Development Bank’s engine for emerging technologies. We provide a safe, agile, and collaborative space where sector specialists and operational teams can explore, experiment, and adopt cutting-edge solutions—from AI and blockchain to VR and quantum computing.</t>
  </si>
  <si>
    <t xml:space="preserve">Deliver impact through operations using latest technologies in the most efficient way.
Help with efficiency by presenting moments of decision-making that their knowledge helped, such as identifying when a technology like blockchain is an overkill, saving money and changing directions. 
 Accelerate the development or the "killing" of ideas, helping to align expectations with the actual capabilities of the technology. 
Create internal capacity about new technologies through workshops, events, and experiments, raising knowledge and helping the organization move to new technologies. </t>
  </si>
  <si>
    <t>rcerrato@IADB.ORG</t>
  </si>
  <si>
    <t>The Inter-American Development Bank (IDB) faces increasing pressure to stay ahead of rapid technological change while ensuring that innovation efforts are aligned with operational needs and institutional goals. TechLab solves the problem of how to explore, test, and validate emerging technologies before scaling them into real-world applications.</t>
  </si>
  <si>
    <t xml:space="preserve">IDB Publication Website - To publish research and knowledge, using the same platform as other IDB sectors
IDB Cloud - To host their own cloud tenant for the sandbox environment, requiring interaction with the cloud team. 
Sharepoint - For their website where they share information. </t>
  </si>
  <si>
    <t xml:space="preserve">Technological vigilance - looking at the market and looking what's going on in the research side of the technology
Experimentation - sing technology to start and explore if it's a good fit for a product or idea.
Sandbox - An experimentation safe environment for deploying pilots, MVPs, and demos, but not for sensitive data or production.
Technological avareness - Conducting events, workshops, and sessions to disseminate knowledge, lessons learned, and insights about emerging technologies, often with IDB clients like central banks. 
Research - Launching papers and publications through the IDB publication website, often with the help of external staff augmentation. </t>
  </si>
  <si>
    <t>Delivers digital solutions for automating and streamlining the procurement, disbursments, and compliance of processes and fiduciary management</t>
  </si>
  <si>
    <t>Fiduciary Management directly supports the IDB’s strategic goals of enhancing operational efficiency, promoting transparency, and accelerating digital transformation across its operations. By standardizing and automating fiduciary processes, it enables better governance, data-driven decision-making, and stronger collaboration between the IDB and Executing Agencies — ultimately improving project execution, accountability, and client experience</t>
  </si>
  <si>
    <t>robertpi@iadb.org</t>
  </si>
  <si>
    <t>Administration and compliance of purchases and disbursment of the Bank's operations.</t>
  </si>
  <si>
    <t>EzShare (Sharepoint) - As Document Management enables secure storage for all fiduciary documents
B2C - Provides single sign-on and user authentication aligned with IDB’s security and identity management framework.
Active Directory - Authentication
Convergence - Operations
Data Market place - Data
Business Partner Portal - Banks (flows and institutional)
Client portal - single point of entry of the client
Eaps - roles and permissions</t>
  </si>
  <si>
    <t>Standardization of procurement processes - Define and applies uniform rules and workflows aligned with IDB policies
Standardization of financial processes
Reporting - Data collection of operations
Assess country systems  - Countries have their own systems and need to be assessed based on compliance rules.
Audit financial statement - Revision of audit and financial statement
Management of auditing firms - Audits and compliance of the firms (vendors)
Documents related protest -Managing protests
Eligibility clauses (fiduciary) - Financial controls</t>
  </si>
  <si>
    <t xml:space="preserve">Preparation of financial / regulation statements, disclosures, reconciliations and maintenance. </t>
  </si>
  <si>
    <t xml:space="preserve">Reliable and accurate financial statements.
Compliance.
Have information to make required financial decisions.
</t>
  </si>
  <si>
    <t>Solutions to provide accurate and automated reports. Make our institution a financial reliable institution. Maintenance of credit rating and compliance regulation requirements.</t>
  </si>
  <si>
    <t>ECC general Ledger - consolidation data from multiple sources
Black line - reconciliations and journal entries
Sofi - BDA tool for carbon emissions, building, water, environmental metrics
Compass - carbon emission impact of our project in the region
Power BI - internal reporting
SAP disclosure management - preparation of the financial statements
Convergence - payments and disbursements
TMS - treasury, investments in activities, asset management
SWIFT - payments
LFM - loan accounting transactions, disbursements, collections</t>
  </si>
  <si>
    <t xml:space="preserve">Maintenance of general ledger
Reconciliation - Consolidate data for reconciliation
Reporting - Built reports
Generate financial statements
</t>
  </si>
  <si>
    <t>The Impact Management product covers all activities related to impact and results across both the operation lifecycle and the portfolio level. It equips the Bank with the necessary capabilities to consistently focus on outcomes and measurable results throughout the entire lifecycle.</t>
  </si>
  <si>
    <t>https://iadb-ttd.atlassian.net/jira/software/c/projects/SGDELTA/boards/638</t>
  </si>
  <si>
    <t>Impact Plus - shifting from outputs to impact at the organization level
Strengthen the design and evaluability of our operations
enable consistent, consistent monitoring of the project results and assumptions.
enable more rigorous assessment of development impact
 promote the use of standardized indicators, impact and result indicators
Streamlined workflows for results tracking, reducing manual effort and duplication.
Better alignment with institutional priorities and external reporting requirements.
Ensure alignment between operational activities and strategic development goals, enhancing accountability and transparency.</t>
  </si>
  <si>
    <t>DANIELAR@iadb.org</t>
  </si>
  <si>
    <t>DAVIDCAS@IADB.ORG
JARIASNUNEZ@IADB.ORG
MGSALAZAR@IADB.ORG</t>
  </si>
  <si>
    <t>The bank has focused on delivering outputs, and the new institutional strategy wants to shift that to focus instead of delivering outputs and focusing on outputs. Focus on the outcomes and the impact and the results that we desire to achieve with those with those outputs.</t>
  </si>
  <si>
    <t xml:space="preserve">Convergence - Read operational data, operations team members, and basic operational data from Convergence. Possible future write integration. 
Future - Client Portal - Client Portal will aggregate information from Impact Management (and other internal products) to provide visibility to external clients/executing agencies. Impact Management will provide information to be shown in the Client Portal, but will not build directly for external users. </t>
  </si>
  <si>
    <t xml:space="preserve">Theory of Change Design and Management  - Serves as the foundation for impact-oriented project design by articulating the causal pathways from activities to outcomes and long-term impact. The application provides the tool for business users to map concepts related to impact and guides the process of thinking in a structured way (e.g., problem -&gt; determinants -&gt; solutions). Ensures strategic coherence, evaluability, and alignment with institutional goals. Guides the development of results frameworks, indicator selection, and monitoring strategies. 
Results Matrix Management - Supports the structured definition of project objectives, outcomes, outputs, and associated indicators. Enables clear articulation of expected results and accountability mechanisms. It includes annual targets and actuals, acting as a time series for data capture. This module is being decoupled/extracted from Convergence due to its technical depth and limitations, making it a "heart transplant" level of work.
Indicator Standardization and Management - Provides access to a curated Indicators Catalogue with sector-specific root indicators. Promotes consistency, comparability, and evidence-based target setting across projects. Supports customization while maintaining alignment with institutional standards. This capability involves the maintenance of an existing application received by the product team and helps avoid manual consolidation in spreadsheets. 
Evaluability Assessment - Assesses whether a project is designed in a way that allows for meaningful monitoring and evaluation of its results. Supports quality assurance and early identification of design gaps. This utilizes a methodology (formerly DEM, now changing) applied at the bank for 15 years, with part of the tool already implemented. 
Development Effectiveness Rating (DE Rating) - A composite rating that reflects the status and performance of projects with a focus on results and impact. It synthesizes multiple dimensions of project quality and effectiveness into a single, interpretable score. This is an indicator the business is currently trying to design and define. </t>
  </si>
  <si>
    <t>The Innovation and Business Transformation enabler is focused on driving strategic change, fostering innovation, and ensuring the successful adoption of new solutions across the organization. Its key capabilities include portfolio and delivery management to align initiatives with business priorities, as well as structured change management and communication strategies to support smooth transitions. The enabler also enhances user experience by incorporating user-centric design principles and continuous feedback loops. Additionally, it promotes learning and digital literacy to empower users, strengthen adoption, and build organizational readiness for digital transformation.
Our team drives innovation and transformation across our products in multiple areas of the IDB.
Helping teams reimagining the way we work, how we design better solutions and how we deliver greater impact for the region,</t>
  </si>
  <si>
    <t>https://iadb-ttd.atlassian.net/jira/software/c/projects/IBT/boards/1502</t>
  </si>
  <si>
    <t xml:space="preserve">Enhancing the impact that we have in our solutions at large
Increasing efficiency of what we do.
Delivering added value.
Supporting initiatives that provide bank-wide solutions that allow for greater efficiency or improve processes, aligning with the institutional strategy. 
Collaborating in the creation of many business results across the IDB by embedding in products that support various business objectives (e.g., regional integration and social development for migration initiatives). 
</t>
  </si>
  <si>
    <t xml:space="preserve">ANASP@IADB.ORG
</t>
  </si>
  <si>
    <t xml:space="preserve">The biggest value we bring to the table is to help teams within TTD and across the bank to first better frame the challenges they have, design accordingly based on user perspectives and best approaches, and finally enable the adoption of solutions so they don't become unused. We aim to bring sustainability and innovation to the solutions we deliver as a department. We are here to challenge assumptions and bring research, perspective, methodologies, and creativity to navigate uncertainty and generate innovation in controlled risk environments, particularly for teams too busy with day-to-day operations to focus on improvement. </t>
  </si>
  <si>
    <t xml:space="preserve">Power BI dashboards - Minimal demand management and resource allocation of people. </t>
  </si>
  <si>
    <t xml:space="preserve">Innovation - This involves methodologies and forecasting to help teams create new, future-proof solutions, and conceptualize/design with the user at the center. 
Open innovation - Leverages innovations already matured outside the IDB for insertion or adoption into the IDB environment. 
Communication  - Internal communications capabilities. 
UX/UI - Formal capability to be added next year based on the bank's business plan. 
Process redesign - Formal capability to be added next year based on the bank's business plan. 
Digital transformation expertise - Expertise across various skills to execute the digital transformation program. 
</t>
  </si>
  <si>
    <t>The IT Risk team ensures that technology operations remain secure, controlled, and audit-ready by providing assurance and oversight of IT ICFR (Internal Controls over Financial Reporting) risks, controls, and internal requirements for management and external stakeholders.</t>
  </si>
  <si>
    <t>julissac@iadb.org</t>
  </si>
  <si>
    <t>For the Business, our function enables measurable improvements in audit issue closure rates, control effectiveness scores, and compliance ratings—driving operational efficiency, reducing risks and strengthening the organization’s overall decision making.  In addition, this function directly supports the institution’s strong risk rating (AAA) and contributes to maintaining favorable access to capital markets, ultimately making loans more accessible and affordable to the region. (Complementar con la funcion specifica en TTD)</t>
  </si>
  <si>
    <t>Continuous Monitoring Tool  (BUSCAR NOMBRE EN LEANIX) - HPA and Changes to Azure components.  Critical integrations include all COSO infrastructure (DB, OS, CyberAk, Azure, Bitbucket, SNow). ZenGRC for documentation of Controls and sign-off,  LeanIX for Integrations inventory and security controls</t>
  </si>
  <si>
    <t>Coordination of Self-Assessment of Internal Controls for TTD,  Quarterly High Privileged Accounts Recertification, Automation for MCF05, CMT10 and CMT02,  Oversight and Follow up of Internal and External Audits,  Compliance of SWIFT CSP,  Compliance of Fedline Advantage,  PRAC Reviews (Design  &amp; Implementations of controls), Advisory Services (General)</t>
  </si>
  <si>
    <t>The knowledge management product includes all the activities related to the analysis, capture, and dissemination of knowledge at the operational level, both for internal and external customers</t>
  </si>
  <si>
    <t>Knowledge Platform: https://iadb-ttd.atlassian.net/jira/software/c/projects/KNP/boards/72
IDB Digital Library: https://iadb-ttd.atlassian.net/jira/software/c/projects/DL/boards/1067
IDB Learning: https://iadb-ttd.atlassian.net/jira/software/c/projects/IL/boards/1068</t>
  </si>
  <si>
    <t>Reform the Knowledge Bank
We develop and share cutting-edge know-how as a core element of the IDB Group’s value proposition, guiding the understanding of regional contexts and enabling the design of impactful solutions.
Advance Digital Transformation
We fully align business processes and systems with the new institutional strategy, leveraging technology to enhance responsiveness to clients, improve efficiency, and foster agility in operations.
Strengthen Knowledge Management
We consolidate the Bank’s position as the leading knowledge management institution in Latin America by generating, curating, and disseminating high-quality operational knowledge and research.
Promote Evidence-Based Design
We improve project design and client solutions by systematically integrating rigorous evidence on effectiveness and applicability of interventions.
Expand Knowledge Reach and Impact
We increase the Bank’s influence through innovative research, data generation, impact evaluation, and strategic partnerships that amplify dissemination and adoption.
Empower People with Skills and Tools
We provide adequate training, incentives, and modern platforms to foster a culture of knowledge, enabling skills-based careers and professional growth.
Measure Knowledge Effectiveness
We track our progress through indicators such as the IDB Group’s Net Promoter Score for knowledge services, knowledge citation index, and approval of academic publications.</t>
  </si>
  <si>
    <t>RBENITEZ@IADB.ORG</t>
  </si>
  <si>
    <t>JAVIERFE@IADB.ORG</t>
  </si>
  <si>
    <t>An integrated knowledge ecosystem that systematizes, analyzes, captures, and disseminates operational and analytical insights—empowering decision-making through open data, learning, intelligent search, and publications. By connecting lessons from operations with cutting-edge research, the IDB Group positions itself as the leading knowledge management institution in Latin America, delivering actionable, evidence-based solutions for greater development impact.</t>
  </si>
  <si>
    <t>Convergence
Integration of user project information and risk matrix to enrich contextual knowledge and strengthen decision-making.
Aurora
AI SaaS solution leveraging LLMs for document ingestion and vectorial databases, powering intelligent search and advanced analytics.
Client Portal
First external integration of the Knowledge Platform, providing APIs for the AI-powered Lessons Learned Writing Assistant.
SG Delta
Provision of APIs enabling access to knowledge search and retrieval functionalities.
IDB Digital Library
API-based integration (Knowledge Graph / Learning Graph) to connect structured institutional knowledge with the ecosystem.
Taxonomy (PoolParty)
Standardized APIs for metadata, classification, and controlled vocabulary management, ensuring consistency across platforms.
Learning Platforms
Interoperability with Moodle, Coursera, EdX, HR systems, SuccessFactors, and Microsoft Viva Learning to consolidate institutional learning.
DCC (Drupal)
Legacy system of record for external websites.</t>
  </si>
  <si>
    <t>Systematization:
Analysis
capture, and dissemination operational and analytical knowledge</t>
  </si>
  <si>
    <t>The Operational Innovation &amp; Digital Advisory product supports the Bank’s digital strategy by providing expert IT advisory services throughout the lifecycle of its operations. It focuses on driving innovation and integrating digital components into operational design and execution, enhancing the impact, efficiency, and sustainability of development initiatives. By aligning technology with strategic objectives, this product ensures that digital solutions are effectively embedded to maximize value across IDB operations.</t>
  </si>
  <si>
    <t xml:space="preserve">Technology advisory for the sector. Enhanced bank operations with global innovation. Support for the digital strategy within the Bank's Operations' life cycle in Innovation and Digital components for greater impact. </t>
  </si>
  <si>
    <t>MARIOCN@iadb.org</t>
  </si>
  <si>
    <t>To advise either the product team, the executing agency, or the government, depending on the situation, to assist them in the design, execution, monitoring, and closing for digital solutions, and to answer questions, ideas, projects, opportunities, and challenges related to technology.</t>
  </si>
  <si>
    <t xml:space="preserve">Convergence -  To identify data solutions in an operation. This integration is necessary but requires a business mandate to be effective. </t>
  </si>
  <si>
    <t xml:space="preserve">Advisory - 
Providing advice on everything related to data solutions and technology within an operation, from initial definition to preparation and execution phases. 
Design - Engaging in the design phase of digital solutions, including checking terms of reference and other related technical aspects
Implementation - Involvement in the implementation aspects of digital solutions within operations. 
Monitoring - Supporting the monitoring of digital solutions within operations.  
Supervision - Providing oversight and supervision of digital solutions within operations.  </t>
  </si>
  <si>
    <t>The People Management product integrates People Operations and Talent Management to deliver a seamless, cohesive employee experience across the entire lifecycle, from recruitment and onboarding to development, retention, and offboarding. It streamlines HR processes, supports compliance with internal policies and external regulations, and fosters a strong, inclusive organizational culture. By prioritizing the attraction, development, and retention of top talent, the product ensures the Bank is equipped with a skilled, motivated, and diverse workforce aligned with IDB’s mission and long-term strategic goals.</t>
  </si>
  <si>
    <t xml:space="preserve">https://iadb-ttd.atlassian.net/jira/software/c/projects/PMOES/boards/20
https://iadb-ttd.atlassian.net/jira/software/c/projects/PMPT/boards/21
https://iadb-ttd.atlassian.net/jira/software/c/projects/TM/boards/505
</t>
  </si>
  <si>
    <t xml:space="preserve">People strategy framework
Foster a culture of impact and meritocracy
People first
Enhancing people processes
Revisits HRD processes and services to its stakeholders and revamps core processes supported by technology
</t>
  </si>
  <si>
    <t>ERICKMA@IADB.ORG</t>
  </si>
  <si>
    <t>Provide a suite of HR automations and functionalities that streamline and integrate all HR processes across the Bank, enabling efficiency, compliance, and a seamless employee experience.</t>
  </si>
  <si>
    <t>Success Factors to EDW - Data extraction from SuccessFactors to the data warehouse
VMS to SAP (Visa Management) - Integration for Visa Management System processes 
Cigna - Medical integration with a medical vendor
Express Scripts - Medical integration with a medical vendor
SAP to VMS - Sending people data from SAP to VMS
CSS
SuccessFactors to CSS
SuccessFactors to Docusign (Green)
SuccessFactors to MS365
Run Personnel Action + Hiring list -  Integration for creating employees in SAP after SuccessFactors hiring process</t>
  </si>
  <si>
    <t xml:space="preserve">HR CORE - Hiring and contracting lifecycle, organization management and self-service.
Payroll and taxes - Payroll Processing, GL Posting, Payments, Taxes 
Benefit administration - Insurance &amp; Wellness, Visas, Benefits allowances, Time &amp; Leaves 
Compensation and recognition - Compensation planning, Merit Pay, Salary Proposal &amp; Adjustments 
Staff Retirement administration - Pension Administration, Participant Support, Internal Administrative Processes 
Recruitment &amp; Onboarding - Recruiting, Pre-boarding, Onboarding 
Performance Management - Work Program, Performance assessment, Calibration 
Learning &amp; Development - Career Development and Mobility, Mentoring, Learning Programs 
Succession Planning - WFP, Talent Pools, Critical Role Mapping, Succession Pipelines 
Culture &amp; Engagement - Employee listening
</t>
  </si>
  <si>
    <t>Project Design &amp; Programming</t>
  </si>
  <si>
    <t>The Programming &amp; Design product encompasses all the capabilities, processes, and activities involved in the preparation, negotiation, and definition of the IDB’s project portfolio at the sectoral level for each country—from project origination through the approval of the document by the Board of Directors (BoD). The Programming and Project Design products provide tools and functionalities that enhance the effectiveness and efficiency of project teams throughout these processes.</t>
  </si>
  <si>
    <t>https://iadb-ttd.atlassian.net/jira/software/c/projects/PPD/boards/308</t>
  </si>
  <si>
    <t>Enable the project plan and simplifly the experience through the programming and preparation phases of the lifecyle of the operations
Focus on the quality of the operation, quality of the technical expertise that at the end impact the product.
Increase the approval of the operations in the region and provide the expected impac</t>
  </si>
  <si>
    <t>MICHELLEM@iadb.org</t>
  </si>
  <si>
    <t>CGARCIAB@IADB.ORG</t>
  </si>
  <si>
    <t>The product aims to support and co-create with the business through the Programming and Project Design phases of the operation lifecycle3. It provides tools to ensure process compliance 4and a better experience for project teams to achieve institutional goals5. The current process is heavily centered on documents and complex workflows 6666with fragmented experiences across different platforms7777. This product aims to validate technical feasibility and ensure compliance with technical and institutional requirements</t>
  </si>
  <si>
    <t>Convergence - Centralizes all operations and transactions related to the operation lifecycle
ezShare - Document management system based on SharePoint that provides services to create official documents and records for the bank
D2S - System for official distribution and bank translations</t>
  </si>
  <si>
    <t>Screenshot on the chat with details - Design
Proposal collections - Prioritization of potential initiatives to become projects
Prioritization process - Part of the programming phase, focused on prioritizing potential initiatives to become projects
Template helper - A tool that manages specific items in the preparation lifecycle, currently a pilot. Maintained by a half-time developer
VPS post negociation tool - Currently maintained by an enabler and built in Power Apps
Design - Conceptualization of a holistic solution based on research analysis and prioritization with the business. This is a major milestone
Project Design / Preparation  - The phase where an idea is really designed and finally approved to become a project54. It involves workflow based on documents, document review, managing comments, generating minutes, approval cycles, distributing packages, approving packages, disclosing, managing review notifications, minor lifecycle milestones, and managing event/clearance workfloss</t>
  </si>
  <si>
    <t>The Project Management product encompasses the entire execution process—from initiation, planning, and implementation to the supervision of conditions that ensure the successful development of operations. This product focuses on delivering strategic oversight, operational efficiency, and accountability throughout the life cycle of development operations. Its core value lies in providing digital solutions that enhance users’ day-to-day work by automating tasks, streamlining processes, and enabling data-driven decision-making, rather than functioning solely as a system of record.</t>
  </si>
  <si>
    <t xml:space="preserve">Extensive analysis on the contract management of the operations
Effective contract management
Ensuring timely execution of tasks.
Improving inefficient disbursement projections and processing.
Digitizing Procurement systems (PEP and POA, currently in Excel). 
Resolving disconnected Supervision plan management (e.g., budget not linked). 
Addressing disconnected Portfolio Management.
Providing a Digital solution that adds real value to users beyond mere record-keeping. 
Automating the very manual lifecycle of operations. </t>
  </si>
  <si>
    <t>NORMAF@iadb.org</t>
  </si>
  <si>
    <t>Jorge Cristian Contreras</t>
  </si>
  <si>
    <t>The lack of operational efficiency due to very bureaucratic and manual processes during execution and supervision, leading to unavailable and fragmented information. Current digital solutions primarily act as systems of record, requiring users to manually extract information for decision-making. There is a significant gap in providing a unified platform to guide operational teams and manage the day-to-day without current systems like Convergence.</t>
  </si>
  <si>
    <t xml:space="preserve">SAP - financial transactions (non-reimbursable operations)
LFM - financial transactions (reimbursable operations) 
ezShare - documents
Siscor - correspondence, clauses
Denodo - disbursements projections, annual screenshot, operational data in general
Client Portal - informe semestral, also for external clients to create and manage disbursement requests 
Fiduciary Interface - disbursements </t>
  </si>
  <si>
    <t xml:space="preserve">Contract Management - Creation and fulfillment of clauses. Future state: clauses automatically existing from contract, fulfilled by executing agencies via the Client Portal, not by operational analysts. 
Supervison Plan - Allowing countries to support the execution of operations. Current solution needs to be replaced out of Convergence. No clear way to manage budget. 
Disbursements creation management and processes disbursement management  - Management of disbursements, currently spread across Convergence, SAP, and LFM, causing confusion and inconsistencies. Results in frequent support tickets. It involves double capture for some transactions. 
Procurement 
Reformulations (process) - loan approved, but we have a new objective for the funds
Disbursements projections - how much and when
Provide a backbone to support execution of operations - To guide the operation team of the bank by providing a unified place for all information required to execute an operation, as everything is currently fragmented. This is a new, expected capability not yet existing. </t>
  </si>
  <si>
    <t>The Project Risk product enables the Bank to proactively identify, monitor, and mitigate risks at both the project and portfolio levels, strengthening risk management and supporting informed decision-making throughout the operational life cycle. It encompasses all business capabilities, processes, and activities related to the identification, assessment, and mitigation of risks that may impact the implementation and performance of the Bank’s financial instruments, including loans and technical cooperation. The product also ensures compliance with social and environmental safeguards and addresses risks associated with both the execution and post-execution stages of operations.</t>
  </si>
  <si>
    <t>https://iadb-ttd.atlassian.net/jira/software/c/projects/OPR/boards/1200</t>
  </si>
  <si>
    <t xml:space="preserve">Monitor and mitigate risks to ensure Bank operations are delivered effectively and to maximize the impact of the portfolio. </t>
  </si>
  <si>
    <t>NAILYC@iadb.org</t>
  </si>
  <si>
    <t xml:space="preserve">Provide the Bank with capabilities to monitor, identify, and mitigate risks that may affect the successful execution and performance of operations, both at the individual project level and across the entire portfolio, strengthening proactive risk management and supporting informed decision-making throughout the operational lifecycle. </t>
  </si>
  <si>
    <t xml:space="preserve">Convergence - ESG Compass -  To display information on environmental and social risks.  
Cartera inteligente - ESG Compass - Manages portfolio review management in representations, assists with monitoring and supervision, and provides early alerts for socio-environmental problems.
Epaci  - To evaluate the institutional capacity of executing agencies.  
Client Portal - ESG Compass - Digitalization of the ICAS form for environmental and social risks.  </t>
  </si>
  <si>
    <t xml:space="preserve">Registration and categorization of operational risks at the project level. 
Evaluation and monitoring of risks. 
Early warnings and critical risk reminders. </t>
  </si>
  <si>
    <t>CIO</t>
  </si>
  <si>
    <t>Is a hub to guide and align priorities, and maximize resource efficiency (human and financial) to achieve organizational goals by identifying demands and aligning them with investments.
The Resource Management enabler is responsible for optimizing the allocation and performance of human, financial, and external resources to support organizational goals. This includes strategic resource planning, workforce management, and effective budget oversight to ensure alignment with priorities and cost-efficiency. The enabler also manages vendor relationships to maximize value and service quality. Additionally, it plays a key role in people management—fostering development, engagement, a strong organizational culture, and employee well-being—ensuring teams are empowered, supported, and aligned with the institution’s mission.management, and effective budget oversight to ensure alignment with priorities and cost-efficiency. The enabler also manages vendor relationships to maximize value and service quality. Additionally, it plays a key role in people management—fostering development, engagement, a strong organizational culture, and employee well-being—ensuring teams are empowered, supported, and aligned with the institution’s mission.</t>
  </si>
  <si>
    <t xml:space="preserve">Business Goal: Achieve efficiency targets for business operations / Being efficient in using resources (Operational Efficiency).
Business Goal: Connect with the bank's strategic goal of addressing climate change (via vendor sustainability framework).
Business Goal: Reshape the TTD Department for greater impact with agile tools, processes, ways of working, and a strong focus on people (TTD Area of Focus 2).
Business Goal: Supporting the bank's broader goals like reducing poverty and inequality, and bolstering sustainable growth through efficient and strategic use of technology resources.
</t>
  </si>
  <si>
    <t>BrunoFe@iadb.org</t>
  </si>
  <si>
    <t>We empower our organization (specifically the TTD department) to achieve strategic goals by transforming resource management into a value-driving, transparent, and adaptive function. The product ensures that activities and resource allocations (human and economic) are aligned with the bank's and TTD's strategy and priorities, preventing disconnected efforts and ensuring resources support measurable objectives. It aims to provide a clear view of value delivered versus the cost of running product teams.</t>
  </si>
  <si>
    <t>- System Name: SAP - Purpose of Integration: Consuming financial data, administrative processes.
- System Name: ServiceNow - Purpose of Integration: Various processes, vendor management model data, supplementing SAP.
- System Name: EDW (Enterprise Data Warehouse) - Purpose of Integration: Data source for reporting and analysis.
- System Name: Power BI - Purpose of Integration: Reporting.
- System Name: Ariba (SAP Ariba) - Purpose of Integration: Contracts, vendor management (though underutilized).
- System Name: Gartner (or similar external research) - Purpose of Integration: Consulting for RFPs, limited benchmarking.
- System Name: Excel - Purpose of Integration: Data manipulation, analysis, reporting.
- System Name: VMS (Vendor Management System) - LACKING - Purpose of Integration: N/A
- System Name: Costing Tool (e.g., TBM) - LACKING - Purpose of Integration: N/A
- System Name: Budgeting Tool (Effective one) - LACKING / Hyperion - Purpose of Integration: Budgeting and cost control (Hyperion is ineffective).</t>
  </si>
  <si>
    <t xml:space="preserve">Resource Management
Budget Management
Vendor Management
People Management, Development, Engagement, Culture and Well-being
Strategic Alignment / Prioritization of Resources (money and people) - Description: Aligning all activities and resource allocations (human, financial) within TTD to the overall bank and TTD strategy.
Human Resources Allocation for TTD - Managing the allocation and planning of human resources (staff and consultants) for the TTD department.
Financial Resources Allocation (including Budgeting) - Managing the allocation of financial resources, including operational budget and capital investments, ensuring alignment with strategic priorities. 
Vendor Management - Managing relationships with and performance of external vendors providing services or resources to TTD.
Strategic Sourcing - Developing and implementing strategic approaches to sourcing vendors, services, and resources for TTD.
Value Management (OKR Framework) - Implementing and managing a framework (like OKRs) to define, track, and measure the value delivered by products and initiatives within TTD.
Cost Product Integrated View / Costing Model (Showback/Chargeback) - Developing a system to track and allocate costs to specific products and services, providing an integrated view of costs.
</t>
  </si>
  <si>
    <t>Resources Mobilization</t>
  </si>
  <si>
    <t>The Resource Mobilization product encompasses all activities related to the management of partnerships and donor relationships aimed at leveraging development through the diversification and multiplication of funding sources for operations across the region. It provides solutions to effectively manage the IDB Group’s mobilization opportunities while ensuring transparent fiduciary oversight of third-party resources. By strengthening partnership engagement, monitoring contributions, and delivering advanced analytics and partner reporting, the product enhances the IDB Group’s ability to attract and manage additional resources, thereby amplifying development impact throughout the region.</t>
  </si>
  <si>
    <t>Match the Bank Strategy with the mobilization
Aligned with the TTD strategy: Strengthening the systems (continuously modernized and secure technologies while driving efficiency and economies of scale)</t>
  </si>
  <si>
    <t>CBRAIN@iadb.org</t>
  </si>
  <si>
    <t>NICOLASMO@IADB.ORG
ROYRO@IADB.ORG</t>
  </si>
  <si>
    <t>Business process (capture as many mobilizations - Resource Mobilization) Administration of those mobilizations, (don't have plenty of tools). All the resources we received should perform well with the Bank's current tools and be able to provide sanitized information to all parties involved.</t>
  </si>
  <si>
    <t>Salesforce CRM - Maintain the mobilization opportunities, document due diligence process and PCY non-objection - 
Salesforce  donor portal - Portal for donors to self-serve on their contribution use
Quantum / Swift - Donor Collections
TMS - Donor investment
Power BI - Dashboard Reporting
Convergence - Project execution, fund assignment, budget control limits, budget control cancellations, facilities (as container)
Excel  - OC  SDP tracking, grant facilities
Worldcheck (external) - Partnership due dilligence 
SAP - Fund master, donor grants management including billing and invoicing to donors, fee management, collections application, multiple control reports including Project Specific Grant inventory and monitoring, EFC budget control, transfers between operations (coming soon), liquidity control (coming soon)
LFM - Reimbursable operations disbursements
ServiceNow - Externally Funded Consultant budget request &amp; approval process
SharePoint / ezShare - Repository of agreements</t>
  </si>
  <si>
    <t>Manage the pipeline of mobilization - Salesforce
Manage the relationship with existing partners and donors - Salesforce
Manage the donor contributions - SAP and Fin systems
Manage the agreements - ezshare
Manage the OCSDP - Ordinary capital - Excel
Donor reporting - Salesforce</t>
  </si>
  <si>
    <t xml:space="preserve">This product empowers financial governance by dynamic risk assessment, audit automation and regulatory aligment that enhances decision-making, operational integrity and institutional oversight. </t>
  </si>
  <si>
    <t>https://iadb-ttd.atlassian.net/jira/software/c/projects/FNR/issues?jql=project%20%3D%20%22FNR%22%20ORDER%20BY%20created%20DESC
https://iadb-ttd.atlassian.net/jira/software/c/projects/AO/boards/868
https://iadb-ttd.atlassian.net/jira/software/c/projects/CO/boards/802</t>
  </si>
  <si>
    <t xml:space="preserve">To mitigate the financial, operational, environmental, and social reputational risk of the bank and retain our AAA credit rating for our financing. 
To provide the internal audit function in an objective independent way. 
To make sure we have enough capital adequacy mandate for them. 
Oversight and compliance to different regulations.
Strengthen corporate foundations
Pursue public and private synergies for financing. 
Develop effective instruments to increase mobilization (e.g., effective due diligence processes for lending). 
</t>
  </si>
  <si>
    <t>CARLOSEN@iadb.org</t>
  </si>
  <si>
    <t>Provide the technology to perform assessments and ensure oversight. When asked what the product delivers, the business would say it consolidates information—these systems gather and process data to enable informed assessments, support financial projections, and ensure our operations remain within policy limits to avoid excessive risk, regulatory compliance and governance.</t>
  </si>
  <si>
    <t>Maestro to QRM - Non sovereign financial information
TMS to QRM -  Treasury Financial Information 
LFM to QRM - Loan Financial Information
SAP to QRM - Financial statements and balances for analysis
Bloomberg to QRM - Market data
LFM reports - Reconciliation (Manual)
Metric stream info - Monitor corporate pending actions</t>
  </si>
  <si>
    <t>Financial planning, scenario analysis - QRM
Asset and liability management - QRM
Capital adequacy - QRM
Investment optimizations - QRM
Financial Planing projections - MATLAB and Excel developed by business
Operational Risk management  - Metric Stream
Control management
AML &amp; CTM Operations
Audit and Assurance - CARP, TeamMate
Grievances
Reconciliation
DCRM (Collateral management) - System done by the business to manage collateral - Excel, MATLAB, C++, ACCESS, SQL</t>
  </si>
  <si>
    <t>The Service Delivery Enabler ensures efficient, high-quality IT services focused on user satisfaction. It provides frontline support through the Service Desk, Desktop Support, and Country Office teams, ensuring user requests are handled promptly and professionally. It also manages IT assets, vendor contracts, and promotes sustainable, green IT practices. By delivering reliable services and clear communication, it enhances the overall user experience across the organization.</t>
  </si>
  <si>
    <t>https://iadb-ttd.atlassian.net/jira/software/c/projects/DMP/boards/175</t>
  </si>
  <si>
    <t xml:space="preserve">User satisfaction with IT services. 
Delivering services in a very efficient manner from a budgetary perspective. 
Providing quality service contributing to user satisfaction. 
</t>
  </si>
  <si>
    <t>PAULOV@iadb.org</t>
  </si>
  <si>
    <t xml:space="preserve"> To ensure user satisfaction when interacting with IT services, specifically regarding their requests being addressed, even if not always doable, by providing a good initial experience with knowledgeable and polite service desk agents. </t>
  </si>
  <si>
    <t xml:space="preserve">Service Now - Used for general service management, logging tickets, asset management, and various automations like onboarding and requests for software/equipment. 
Active Directory -  Essential for authentication, as nothing in the bank would work without it. 
SCCM - Used for managing end-user computing, pushing patches, and updates. Provides information for asset management (indirectly with ServiceNow). 
Intune - Used for managing end-user computing.
SAP  - Initiates onboarding (SuccessFactors) and handles financial/HR data. </t>
  </si>
  <si>
    <t>Service Desk: Provides first point of contact for IT services, handles logging claims and setting them up for appropriate teams. 
Desktop Support: Provides support for end-user computing devices. 
Country Office Support: Provides IT support specifically for country offices.
Sustainable and Green IT
Contracts Management
Assets Management</t>
  </si>
  <si>
    <t>Strategic Portfolio Management (SPM) is responsible for overseeing the alignment between strategic objectives and the execution of the products. This enabler focuses on Products Family monitoring and outcome measurement to ensure that investments are delivering value. SPM also drives portfolio prioritization, enabling informed decision-making based on business impact and strategic relevance. Additionally, it fosters agile portfolio management practices, promoting transparency, adaptability, and continuous alignment with evolving organizational goals.</t>
  </si>
  <si>
    <t>https://iadb-ttd.atlassian.net/jira/software/c/projects/NSPM/boards/32?assignee=63402fee07a27ebeff19490b</t>
  </si>
  <si>
    <t xml:space="preserve">Efficiencies
Scaling the operations (work with the enablers in terms of what they do)
Enabling impact through technology  (prioritization process to deliver what brings more value)
Operating model of TTD
Digital teansformation to the business
</t>
  </si>
  <si>
    <t>SUSANAP@IADB.ORG</t>
  </si>
  <si>
    <t>Cesar Garces</t>
  </si>
  <si>
    <t>The TTD has not excelled in delivering value to the organization through a quality approach. The department lacks a transparent governance and management structure in terms of quality. Additionally, there's no enforcement of protocols, rules, norms, or standards within the department. This product solves performance management, covering not only technical controls but also managerial, financial, and operational controls, addressing different types of risks, not only technical risks. We are implementing a Quality Management System (QMS), an Integrated Management system, to align the different standards and rules that we have in the department and make sure we have one framework.</t>
  </si>
  <si>
    <t xml:space="preserve">Service Now (work request, incident management, CTaks)
Unique tool to manage the daily operation
GitHub and Bitbucket
Get a better way to release, uh, all of the developments, um, into production
ezshare
Records management; records and repository for all product and enabler teams' information. 
Confluence
Ongoing discussion; documentation tool preferred by development teams. 
Jira
Management tool system for the product delivery lifecycle. 
LeanIX
Technical repository; tool for product lifecycle, defining application and architecture, including product families, capabilities, enablers, and value streams; official source for platform and technology availability. 
</t>
  </si>
  <si>
    <t xml:space="preserve">Governance Framework - Automates reviews, approvals, and tracking of decisions
Strategic Portfolio Management  
Rationalization 
Prioritization  - Uses criteria like WSJF, strategic alignment, value, and risk
Work Coordination 
Coaching/Training
Ways of working
Capacity &amp; Budget Dashboard - Tracks team capacity, budget needs, and resource gaps
Portfolio Health Monitoring - Real-time dashboards with indicators such as progress, risk, and impact
Mid-Range Planning Support - Framework for collaborative product family planning and risk mitigation
Dependency Mapping - Visual mapping of cross-product and enabler dependencies. 
OKRs and Strategic Mapping - Links product efforts to institutional outcomes and goals
Quality management system - Full lifecycle
IT Management Tooling support 
Initiative Tracker - Standardized intake form for capturing initiative details and alignment. </t>
  </si>
  <si>
    <t>Treasury</t>
  </si>
  <si>
    <t>Provide essential banking services that support the Bank’s Finance Department in managing funding, investment activities, and financial risk mitigation. It plays a critical role in ensuring liquidity, optimizing returns on financial assets, and safeguarding the Bank’s financial stability through effective risk management strategies.</t>
  </si>
  <si>
    <t>https://iadb-ttd.atlassian.net/jira/software/c/projects/TREAS/boards/275</t>
  </si>
  <si>
    <t>Improve margins and returns while providing value to other areas.
Protect risk/money, flexibility in the mechanism to diminish risks
Make the Bank competitive in the market
CASA program (manage the portfolio (third parties)/ capacity building, understand how they could invest the money in the market). Act as a service provider (teach, guide, capacity building)</t>
  </si>
  <si>
    <t>Rafael Pizzirani</t>
  </si>
  <si>
    <t xml:space="preserve">This is a core function; it enables the bank to exist, and if executed well, can improve margins and returns while providing value to other areas. Without Treasury, the bank stops working due to lack of money to lend, exposure to risk, and insufficient liquidity. It manages the bank's liquidity, issues bonds (liabilities), invests part of its funds, and manages risk, especially through swaps. </t>
  </si>
  <si>
    <t>Bloomberg - Market data and bond trades. Automates flows to the system. 
Markitwire - Swaps trades. Automatically brings swaps into the system. 
JP Morgan - Banking activity (collateral management)
WC1 (World Check One) - Screening counterparties for anti-money laundering (AML).
LSEG (Refinitiv) - Market data
ICE - Market data
IBBOOST - Market data
SAP - General ledger, FX rates
SWIFT Network -  TMS has its own direct connector to SWIFT (router), distinct from the internal API used by other bank systems. 
Quantum
QRM - Risk management (asset liability policies and rules). 
EDW / Denodo - Data</t>
  </si>
  <si>
    <t xml:space="preserve">Manage financial contracts (primary interface) - Manages information and lifecycle of all financial instruments (bonds, swaps, money markets), including financial impact, risk impact, accounting, reporting, and interfaces.
Reporting interfaces 
Market data from the Bank - Captures interest rates and other market data for the bank. Primary for FX data, but other market data is duplicated across various systems. 
Investment
Borrowing
Hedging
Compliance and treasury risk  - Controls automated checking of over 100 bank rules and regulations, including investment ratings and concentration limits. 
Asset liability management (short term part) - Implements and executes ALM rules defined by the Risk Management (QRM system) regarding asset/liability characteristics and maturities. 
Stress testing  - Simulates scenarios (e.g., 9/11, COVID, economic events, tariffs) to check investment behavior and inform hedging strategies to reduce sensitivity to adverse events. 
Profit and loss assessment (PNL) - Assesses the rate of return on investments, explaining its components. Includes cost of borrowing/funding. 
Collateral management - No system for this. Currently handled by RMG, but transferring to Treasury. Involves valuing collateral posted for swaps. 
Valuation - Determines the daily price or value for instruments like swaps and bonds, crucial for risk assessment and identifying portfolio opportunities.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</si>
</sst>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
      <sz val="11"/>
      <color theme="1"/>
      <name val="Aptos Narrow"/>
      <family val="2"/>
      <scheme val="minor"/>
    </font>
    <font>
      <u/>
      <sz val="11"/>
      <color theme="10"/>
      <name val="Aptos Narrow"/>
      <family val="2"/>
      <scheme val="minor"/>
    </font>
    <font>
      <b/>
      <sz val="11"/>
      <name val="Calibri"/>
      <family val="2"/>
    </font>
    <font>
      <sz val="10"/>
      <color indexed="8"/>
      <name val="Calibri"/>
      <family val="2"/>
    </font>
    <font>
      <u/>
      <sz val="10"/>
      <color theme="10"/>
      <name val="Calibri"/>
      <family val="2"/>
    </font>
    <font>
      <sz val="11"/>
      <color rgb="FF000000"/>
      <name val="Calibri"/>
      <family val="2"/>
    </font>
    <font>
      <b/>
      <sz val="10"/>
      <color indexed="8"/>
      <name val="Calibri"/>
      <family val="2"/>
    </font>
    <font>
      <sz val="11"/>
      <color rgb="FF000000"/>
      <name val="Aptos Narrow"/>
      <charset val="1"/>
    </font>
    <font>
      <sz val="8"/>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C6EFCE"/>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68">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xf numFmtId="0" fontId="0" fillId="0" borderId="0" xfId="0" applyAlignment="1">
      <alignment horizontal="center" vertical="center" wrapText="1"/>
    </xf>
    <xf numFmtId="0" fontId="0" fillId="0" borderId="0" xfId="0" applyAlignment="1">
      <alignment horizontal="left"/>
    </xf>
    <xf numFmtId="0" fontId="2" fillId="0" borderId="0" xfId="0" applyFont="1" applyAlignment="1">
      <alignment horizontal="left" vertical="center" wrapText="1"/>
    </xf>
    <xf numFmtId="0" fontId="0" fillId="0" borderId="0" xfId="0" applyAlignment="1">
      <alignment horizontal="center"/>
    </xf>
    <xf numFmtId="0" fontId="2" fillId="2" borderId="0" xfId="0" applyFont="1" applyFill="1" applyAlignment="1">
      <alignment horizontal="left" vertical="center" wrapText="1"/>
    </xf>
    <xf numFmtId="0" fontId="0" fillId="2" borderId="0" xfId="0" applyFill="1"/>
    <xf numFmtId="0" fontId="1"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2" fillId="3" borderId="0" xfId="0" applyFont="1" applyFill="1" applyAlignment="1">
      <alignment horizontal="left"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xf>
    <xf numFmtId="0" fontId="7" fillId="0" borderId="1" xfId="0" applyFont="1" applyBorder="1" applyAlignment="1">
      <alignment vertical="top"/>
    </xf>
    <xf numFmtId="0" fontId="7" fillId="0" borderId="1" xfId="0" applyFont="1" applyBorder="1" applyAlignment="1">
      <alignment vertical="top" wrapText="1"/>
    </xf>
    <xf numFmtId="0" fontId="5" fillId="0" borderId="1" xfId="1" applyFill="1" applyBorder="1" applyAlignment="1">
      <alignment vertical="top"/>
    </xf>
    <xf numFmtId="0" fontId="8" fillId="0" borderId="1" xfId="1" applyFont="1" applyFill="1" applyBorder="1" applyAlignment="1">
      <alignment vertical="top" wrapText="1"/>
    </xf>
    <xf numFmtId="0" fontId="8" fillId="0" borderId="2" xfId="1" applyFont="1" applyFill="1" applyBorder="1" applyAlignment="1">
      <alignment vertical="top" wrapText="1"/>
    </xf>
    <xf numFmtId="0" fontId="7" fillId="0" borderId="0" xfId="0" applyFont="1" applyAlignment="1">
      <alignment vertical="top"/>
    </xf>
    <xf numFmtId="0" fontId="8" fillId="0" borderId="2" xfId="1" applyFont="1" applyFill="1" applyBorder="1" applyAlignment="1">
      <alignment vertical="top"/>
    </xf>
    <xf numFmtId="0" fontId="8" fillId="0" borderId="1" xfId="1" applyFont="1" applyFill="1" applyBorder="1" applyAlignment="1">
      <alignment vertical="top"/>
    </xf>
    <xf numFmtId="0" fontId="7" fillId="0" borderId="2" xfId="0" applyFont="1" applyBorder="1" applyAlignment="1">
      <alignment vertical="top"/>
    </xf>
    <xf numFmtId="0" fontId="4" fillId="0" borderId="1" xfId="1" applyFont="1" applyFill="1" applyBorder="1" applyAlignment="1">
      <alignment vertical="top"/>
    </xf>
    <xf numFmtId="0" fontId="5" fillId="0" borderId="1" xfId="1" applyFill="1" applyBorder="1" applyAlignment="1">
      <alignment vertical="top" wrapText="1"/>
    </xf>
    <xf numFmtId="0" fontId="5" fillId="0" borderId="2" xfId="1" applyFill="1" applyBorder="1" applyAlignment="1">
      <alignment vertical="top"/>
    </xf>
    <xf numFmtId="0" fontId="7" fillId="0" borderId="1" xfId="0" quotePrefix="1" applyFont="1" applyBorder="1" applyAlignment="1">
      <alignment vertical="top" wrapText="1"/>
    </xf>
    <xf numFmtId="0" fontId="7" fillId="0" borderId="1" xfId="0" applyFont="1" applyBorder="1"/>
    <xf numFmtId="0" fontId="7" fillId="0" borderId="0" xfId="0" applyFont="1"/>
    <xf numFmtId="0" fontId="5" fillId="0" borderId="0" xfId="1" applyFill="1" applyBorder="1" applyAlignment="1">
      <alignment vertical="top"/>
    </xf>
    <xf numFmtId="0" fontId="9" fillId="0" borderId="1" xfId="0" applyFont="1" applyBorder="1" applyAlignment="1">
      <alignment vertical="top" wrapText="1"/>
    </xf>
    <xf numFmtId="0" fontId="7" fillId="0" borderId="0" xfId="0" applyFont="1" applyAlignment="1">
      <alignment vertical="top" wrapText="1"/>
    </xf>
    <xf numFmtId="0" fontId="10" fillId="0" borderId="0" xfId="0" applyFont="1" applyAlignment="1">
      <alignment horizontal="center" vertical="center"/>
    </xf>
    <xf numFmtId="0" fontId="7" fillId="4" borderId="1" xfId="0" applyFont="1" applyFill="1" applyBorder="1" applyAlignment="1">
      <alignment vertical="top"/>
    </xf>
    <xf numFmtId="0" fontId="7" fillId="4" borderId="1" xfId="0" applyFont="1" applyFill="1" applyBorder="1" applyAlignment="1">
      <alignment vertical="top" wrapText="1"/>
    </xf>
    <xf numFmtId="0" fontId="8" fillId="4" borderId="1" xfId="1" applyFont="1" applyFill="1" applyBorder="1" applyAlignment="1">
      <alignment vertical="top"/>
    </xf>
    <xf numFmtId="0" fontId="7" fillId="4" borderId="2" xfId="0" applyFont="1" applyFill="1" applyBorder="1" applyAlignment="1">
      <alignment vertical="top"/>
    </xf>
    <xf numFmtId="0" fontId="7" fillId="4" borderId="0" xfId="0" applyFont="1" applyFill="1" applyAlignment="1">
      <alignment vertical="top"/>
    </xf>
    <xf numFmtId="0" fontId="5" fillId="4" borderId="1" xfId="1" applyFill="1" applyBorder="1" applyAlignment="1">
      <alignment vertical="top"/>
    </xf>
    <xf numFmtId="0" fontId="8" fillId="4" borderId="2" xfId="1" applyFont="1" applyFill="1" applyBorder="1" applyAlignment="1">
      <alignment vertical="top"/>
    </xf>
    <xf numFmtId="0" fontId="5" fillId="4" borderId="1" xfId="1" applyFill="1" applyBorder="1" applyAlignment="1">
      <alignment vertical="top" wrapText="1"/>
    </xf>
    <xf numFmtId="0" fontId="5" fillId="4" borderId="2" xfId="1" applyFill="1" applyBorder="1" applyAlignment="1">
      <alignment vertical="top" wrapText="1"/>
    </xf>
    <xf numFmtId="0" fontId="5" fillId="4" borderId="2" xfId="1" applyFill="1" applyBorder="1" applyAlignment="1">
      <alignment vertical="top"/>
    </xf>
    <xf numFmtId="0" fontId="0" fillId="4" borderId="1" xfId="0" applyFill="1" applyBorder="1" applyAlignment="1">
      <alignment vertical="top"/>
    </xf>
    <xf numFmtId="0" fontId="7" fillId="4" borderId="0" xfId="0" applyFont="1" applyFill="1"/>
    <xf numFmtId="0" fontId="0" fillId="4" borderId="1" xfId="0" applyFill="1" applyBorder="1" applyAlignment="1">
      <alignment vertical="top" wrapText="1"/>
    </xf>
    <xf numFmtId="0" fontId="7" fillId="4" borderId="0" xfId="0" applyFont="1" applyFill="1" applyAlignment="1">
      <alignment vertical="top" wrapText="1"/>
    </xf>
    <xf numFmtId="0" fontId="8" fillId="0" borderId="0" xfId="1" applyFont="1" applyFill="1" applyBorder="1" applyAlignment="1">
      <alignment vertical="top"/>
    </xf>
    <xf numFmtId="0" fontId="9" fillId="0" borderId="2" xfId="0" applyFont="1" applyBorder="1" applyAlignment="1">
      <alignment vertical="top" wrapText="1"/>
    </xf>
    <xf numFmtId="0" fontId="7" fillId="5" borderId="1" xfId="0" applyFont="1" applyFill="1" applyBorder="1" applyAlignment="1">
      <alignment vertical="top"/>
    </xf>
    <xf numFmtId="0" fontId="7" fillId="5" borderId="1" xfId="0" applyFont="1" applyFill="1" applyBorder="1" applyAlignment="1">
      <alignment vertical="top" wrapText="1"/>
    </xf>
    <xf numFmtId="0" fontId="5" fillId="5" borderId="1" xfId="1" applyFill="1" applyBorder="1" applyAlignment="1">
      <alignment vertical="top"/>
    </xf>
    <xf numFmtId="0" fontId="8" fillId="5" borderId="2" xfId="1" applyFont="1" applyFill="1" applyBorder="1" applyAlignment="1">
      <alignment vertical="top"/>
    </xf>
    <xf numFmtId="0" fontId="7" fillId="5" borderId="0" xfId="0" applyFont="1" applyFill="1" applyAlignment="1">
      <alignment vertical="top"/>
    </xf>
    <xf numFmtId="0" fontId="0" fillId="0" borderId="0" xfId="0" applyAlignment="1">
      <alignment vertical="center"/>
    </xf>
    <xf numFmtId="0" fontId="0" fillId="0" borderId="0" xfId="0" applyAlignment="1">
      <alignment horizontal="left" vertical="center"/>
    </xf>
    <xf numFmtId="0" fontId="5" fillId="0" borderId="0" xfId="1" applyAlignment="1">
      <alignment horizontal="left" vertical="center" wrapText="1"/>
    </xf>
    <xf numFmtId="0" fontId="5" fillId="0" borderId="0" xfId="1" applyAlignment="1">
      <alignment horizontal="left" vertical="center"/>
    </xf>
    <xf numFmtId="0" fontId="11" fillId="0" borderId="0" xfId="0" applyFont="1" applyAlignment="1">
      <alignment horizontal="center"/>
    </xf>
    <xf numFmtId="0" fontId="0" fillId="6" borderId="0" xfId="0" applyFill="1" applyAlignment="1">
      <alignment horizontal="center" vertical="center"/>
    </xf>
    <xf numFmtId="0" fontId="0" fillId="6" borderId="0" xfId="0" applyFill="1" applyAlignment="1">
      <alignment horizontal="center" vertical="center" wrapText="1"/>
    </xf>
    <xf numFmtId="0" fontId="5" fillId="6" borderId="0" xfId="1" applyFill="1" applyAlignment="1">
      <alignment horizontal="left" vertical="center"/>
    </xf>
    <xf numFmtId="0" fontId="0" fillId="7" borderId="0" xfId="0" applyFill="1" applyAlignment="1">
      <alignment horizontal="center" vertical="center"/>
    </xf>
    <xf numFmtId="0" fontId="0" fillId="7" borderId="0" xfId="0" applyFill="1" applyAlignment="1">
      <alignment horizontal="center" vertical="center" wrapText="1"/>
    </xf>
    <xf numFmtId="0" fontId="5" fillId="7" borderId="0" xfId="1"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5" Type="http://schemas.openxmlformats.org/officeDocument/2006/relationships/customXml" Target="../customXml/item6.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persons/person.xml><?xml version="1.0" encoding="utf-8"?>
<personList xmlns="http://schemas.microsoft.com/office/spreadsheetml/2018/threadedcomments" xmlns:x="http://schemas.openxmlformats.org/spreadsheetml/2006/main">
  <person displayName="Majus Fernandez, Erick" id="{7C64FEFA-810E-4A68-8A55-EAECE2887175}" userId="S::ERICKMA@iadb.org::13c73119-06e5-453b-8ec0-9d67d30b477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7" dT="2026-09-04T13:46:26.42" personId="{7C64FEFA-810E-4A68-8A55-EAECE2887175}" id="{02C90AFB-AC00-4900-BAD5-02AB2AF368C7}">
    <text xml:space="preserve">We already have an assignment group for INC and WRK SAP SuccessFactors COE - HXM </text>
    <extLst>
      <x:ext xmlns:xltc2="http://schemas.microsoft.com/office/spreadsheetml/2020/threadedcomments2" uri="{F7C98A9C-CBB3-438F-8F68-D28B6AF4A901}">
        <xltc2:checksum>2994885856</xltc2:checksum>
        <xltc2:hyperlink startIndex="52" length="28" url="https://iadb.service-now.com/sys_user_group.do?sys_id=920a499c47495e14cd860bfc416d4310"/>
      </x:ext>
    </extLs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iadb-ttd.atlassian.net/jira/software/c/projects/IMMA/" TargetMode="External"/><Relationship Id="rId13" Type="http://schemas.openxmlformats.org/officeDocument/2006/relationships/hyperlink" Target="https://iadb-ttd.atlassian.net/jira/software/c/projects/IL" TargetMode="External"/><Relationship Id="rId3" Type="http://schemas.openxmlformats.org/officeDocument/2006/relationships/hyperlink" Target="https://iadb-ttd.atlassian.net/jira/software/c/projects/RIMA/boards/1331" TargetMode="External"/><Relationship Id="rId7" Type="http://schemas.openxmlformats.org/officeDocument/2006/relationships/hyperlink" Target="https://iadb-ttd.atlassian.net/jira/software/c/projects/IMMA/" TargetMode="External"/><Relationship Id="rId12" Type="http://schemas.openxmlformats.org/officeDocument/2006/relationships/hyperlink" Target="https://iadb-ttd.atlassian.net/jira/software/c/projects/KNP" TargetMode="External"/><Relationship Id="rId2" Type="http://schemas.openxmlformats.org/officeDocument/2006/relationships/hyperlink" Target="https://iadb-ttd.atlassian.net/jira/software/c/projects/OPR/boards/1165" TargetMode="External"/><Relationship Id="rId1" Type="http://schemas.openxmlformats.org/officeDocument/2006/relationships/hyperlink" Target="https://iadb-ttd.atlassian.net/jira/software/c/projects/PM/boards/443" TargetMode="External"/><Relationship Id="rId6" Type="http://schemas.openxmlformats.org/officeDocument/2006/relationships/hyperlink" Target="https://iadb-ttd.atlassian.net/jira/software/c/projects/IMMA/" TargetMode="External"/><Relationship Id="rId11" Type="http://schemas.openxmlformats.org/officeDocument/2006/relationships/hyperlink" Target="https://iadb-ttd.atlassian.net/jira/software/c/projects/IL" TargetMode="External"/><Relationship Id="rId5" Type="http://schemas.openxmlformats.org/officeDocument/2006/relationships/hyperlink" Target="https://iadb-ttd.atlassian.net/jira/software/c/projects/KNP" TargetMode="External"/><Relationship Id="rId10" Type="http://schemas.openxmlformats.org/officeDocument/2006/relationships/hyperlink" Target="https://iadb-ttd.atlassian.net/jira/software/c/projects/DL/list" TargetMode="External"/><Relationship Id="rId4" Type="http://schemas.openxmlformats.org/officeDocument/2006/relationships/hyperlink" Target="https://iadb-ttd.atlassian.net/jira/software/c/projects/PMG/boards/1334" TargetMode="External"/><Relationship Id="rId9" Type="http://schemas.openxmlformats.org/officeDocument/2006/relationships/hyperlink" Target="https://iadb-ttd.atlassian.net/jira/software/c/projects/OP/" TargetMode="External"/><Relationship Id="rId14" Type="http://schemas.openxmlformats.org/officeDocument/2006/relationships/hyperlink" Target="https://iadb-ttd.atlassian.net/jira/software/c/projects/DL/lis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iadb-ttd.atlassian.net/jira/software/c/projects/FNR/boards/1000" TargetMode="External"/><Relationship Id="rId13" Type="http://schemas.openxmlformats.org/officeDocument/2006/relationships/hyperlink" Target="https://iadb-ttd.atlassian.net/jira/software/c/projects/TREAS/boards/1696" TargetMode="External"/><Relationship Id="rId18" Type="http://schemas.openxmlformats.org/officeDocument/2006/relationships/hyperlink" Target="https://iadb-ttd.atlassian.net/jira/software/c/projects/FR/boards/1660" TargetMode="External"/><Relationship Id="rId26" Type="http://schemas.openxmlformats.org/officeDocument/2006/relationships/hyperlink" Target="https://iadb-ttd.atlassian.net/jira/software/c/projects/FR/boards/1660" TargetMode="External"/><Relationship Id="rId3" Type="http://schemas.openxmlformats.org/officeDocument/2006/relationships/hyperlink" Target="https://iadb-ttd.atlassian.net/jira/software/c/projects/CAS/boards/95" TargetMode="External"/><Relationship Id="rId21" Type="http://schemas.openxmlformats.org/officeDocument/2006/relationships/hyperlink" Target="https://iadb-ttd.atlassian.net/jira/software/c/projects/FR/boards/1660" TargetMode="External"/><Relationship Id="rId7" Type="http://schemas.openxmlformats.org/officeDocument/2006/relationships/hyperlink" Target="https://iadb-ttd.atlassian.net/jira/software/c/projects/CO/boards/802" TargetMode="External"/><Relationship Id="rId12" Type="http://schemas.openxmlformats.org/officeDocument/2006/relationships/hyperlink" Target="https://iadb-ttd.atlassian.net/jira/software/c/projects/FNR/boards/1000" TargetMode="External"/><Relationship Id="rId17" Type="http://schemas.openxmlformats.org/officeDocument/2006/relationships/hyperlink" Target="https://iadb-ttd.atlassian.net/jira/software/c/projects/FR/boards/1660" TargetMode="External"/><Relationship Id="rId25" Type="http://schemas.openxmlformats.org/officeDocument/2006/relationships/hyperlink" Target="https://iadb-ttd.atlassian.net/jira/software/c/projects/FR/boards/1660" TargetMode="External"/><Relationship Id="rId2" Type="http://schemas.openxmlformats.org/officeDocument/2006/relationships/hyperlink" Target="https://iadb-ttd.atlassian.net/jira/software/c/projects/TWS/boards/1277" TargetMode="External"/><Relationship Id="rId16" Type="http://schemas.openxmlformats.org/officeDocument/2006/relationships/hyperlink" Target="https://iadb-ttd.atlassian.net/jira/software/c/projects/CAS/boards/95" TargetMode="External"/><Relationship Id="rId20" Type="http://schemas.openxmlformats.org/officeDocument/2006/relationships/hyperlink" Target="https://iadb-ttd.atlassian.net/jira/software/c/projects/FR/boards/1660" TargetMode="External"/><Relationship Id="rId29" Type="http://schemas.openxmlformats.org/officeDocument/2006/relationships/vmlDrawing" Target="../drawings/vmlDrawing1.vml"/><Relationship Id="rId1" Type="http://schemas.openxmlformats.org/officeDocument/2006/relationships/hyperlink" Target="https://iadb-ttd.atlassian.net/jira/software/c/projects/TM/boards/2487" TargetMode="External"/><Relationship Id="rId6" Type="http://schemas.openxmlformats.org/officeDocument/2006/relationships/hyperlink" Target="https://iadb-ttd.atlassian.net/jira/software/c/projects/AO/boards/868" TargetMode="External"/><Relationship Id="rId11" Type="http://schemas.openxmlformats.org/officeDocument/2006/relationships/hyperlink" Target="https://iadb-ttd.atlassian.net/jira/software/c/projects/FNR/boards/1000" TargetMode="External"/><Relationship Id="rId24" Type="http://schemas.openxmlformats.org/officeDocument/2006/relationships/hyperlink" Target="https://iadb-ttd.atlassian.net/jira/software/c/projects/FR/boards/1660" TargetMode="External"/><Relationship Id="rId5" Type="http://schemas.openxmlformats.org/officeDocument/2006/relationships/hyperlink" Target="https://iadb-ttd.atlassian.net/jira/software/c/projects/FR/boards/1660" TargetMode="External"/><Relationship Id="rId15" Type="http://schemas.openxmlformats.org/officeDocument/2006/relationships/hyperlink" Target="https://iadb-ttd.atlassian.net/jira/software/c/projects/CAS/boards/95" TargetMode="External"/><Relationship Id="rId23" Type="http://schemas.openxmlformats.org/officeDocument/2006/relationships/hyperlink" Target="https://iadb-ttd.atlassian.net/jira/software/c/projects/FR/boards/1660" TargetMode="External"/><Relationship Id="rId28" Type="http://schemas.openxmlformats.org/officeDocument/2006/relationships/hyperlink" Target="https://iadb-ttd.atlassian.net/jira/software/c/projects/DA/boards/245" TargetMode="External"/><Relationship Id="rId10" Type="http://schemas.openxmlformats.org/officeDocument/2006/relationships/hyperlink" Target="https://iadb-ttd.atlassian.net/jira/software/c/projects/FNR/boards/1000" TargetMode="External"/><Relationship Id="rId19" Type="http://schemas.openxmlformats.org/officeDocument/2006/relationships/hyperlink" Target="https://iadb-ttd.atlassian.net/jira/software/c/projects/FR/boards/1660" TargetMode="External"/><Relationship Id="rId31" Type="http://schemas.microsoft.com/office/2017/10/relationships/threadedComment" Target="../threadedComments/threadedComment1.xml"/><Relationship Id="rId4" Type="http://schemas.openxmlformats.org/officeDocument/2006/relationships/hyperlink" Target="https://iadb-ttd.atlassian.net/jira/software/c/projects/DA/boards/245" TargetMode="External"/><Relationship Id="rId9" Type="http://schemas.openxmlformats.org/officeDocument/2006/relationships/hyperlink" Target="https://iadb-ttd.atlassian.net/jira/software/c/projects/FNR/boards/1000" TargetMode="External"/><Relationship Id="rId14" Type="http://schemas.openxmlformats.org/officeDocument/2006/relationships/hyperlink" Target="https://iadb-ttd.atlassian.net/jira/software/c/projects/TREAS/boards/1696" TargetMode="External"/><Relationship Id="rId22" Type="http://schemas.openxmlformats.org/officeDocument/2006/relationships/hyperlink" Target="https://iadb-ttd.atlassian.net/jira/software/c/projects/FR/boards/1660" TargetMode="External"/><Relationship Id="rId27" Type="http://schemas.openxmlformats.org/officeDocument/2006/relationships/hyperlink" Target="https://iadb-ttd.atlassian.net/jira/software/c/projects/CO/boards/802" TargetMode="External"/><Relationship Id="rId30"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3" Type="http://schemas.openxmlformats.org/officeDocument/2006/relationships/hyperlink" Target="https://iadb-ttd.atlassian.net/jira/software/c/projects/FNR/issues?jql=project%20%3D%20%22FNR%22%20ORDER%20BY%20created%20DESC" TargetMode="External"/><Relationship Id="rId18" Type="http://schemas.openxmlformats.org/officeDocument/2006/relationships/hyperlink" Target="https://iadb-ttd.atlassian.net/jira/software/c/projects/SGDELTA/boards/638" TargetMode="External"/><Relationship Id="rId26" Type="http://schemas.openxmlformats.org/officeDocument/2006/relationships/hyperlink" Target="mailto:CARLOSEN@iadb.org" TargetMode="External"/><Relationship Id="rId39" Type="http://schemas.openxmlformats.org/officeDocument/2006/relationships/hyperlink" Target="mailto:LEEU@iadb.org" TargetMode="External"/><Relationship Id="rId21" Type="http://schemas.openxmlformats.org/officeDocument/2006/relationships/hyperlink" Target="https://iadb-ttd.atlassian.net/jira/software/c/projects/IBT/boards/1502" TargetMode="External"/><Relationship Id="rId34" Type="http://schemas.openxmlformats.org/officeDocument/2006/relationships/hyperlink" Target="mailto:ANASP@IADB.ORG" TargetMode="External"/><Relationship Id="rId42" Type="http://schemas.openxmlformats.org/officeDocument/2006/relationships/hyperlink" Target="mailto:CBRAIN@iadb.org" TargetMode="External"/><Relationship Id="rId47" Type="http://schemas.openxmlformats.org/officeDocument/2006/relationships/hyperlink" Target="mailto:NATALIASE@IADB.ORG" TargetMode="External"/><Relationship Id="rId50" Type="http://schemas.openxmlformats.org/officeDocument/2006/relationships/hyperlink" Target="mailto:theoa@iadb.org%0aLuis%20Garcia%20Castro" TargetMode="External"/><Relationship Id="rId7" Type="http://schemas.openxmlformats.org/officeDocument/2006/relationships/hyperlink" Target="mailto:JUANAA@iadb.org" TargetMode="External"/><Relationship Id="rId2" Type="http://schemas.openxmlformats.org/officeDocument/2006/relationships/hyperlink" Target="https://iadb-ttd.atlassian.net/jira/software/c/projects/NSPM/boards/32?assignee=63402fee07a27ebeff19490b" TargetMode="External"/><Relationship Id="rId16" Type="http://schemas.openxmlformats.org/officeDocument/2006/relationships/hyperlink" Target="https://iadb-ttd.atlassian.net/jira/software/c/projects/TREAS/boards/275" TargetMode="External"/><Relationship Id="rId29" Type="http://schemas.openxmlformats.org/officeDocument/2006/relationships/hyperlink" Target="mailto:MMAGARINOS@IADB.ORG" TargetMode="External"/><Relationship Id="rId11" Type="http://schemas.openxmlformats.org/officeDocument/2006/relationships/hyperlink" Target="mailto:RBENITEZ@IADB.ORG" TargetMode="External"/><Relationship Id="rId24" Type="http://schemas.openxmlformats.org/officeDocument/2006/relationships/hyperlink" Target="https://iadb-ttd.atlassian.net/jira/software/c/projects/DX/boards/148" TargetMode="External"/><Relationship Id="rId32" Type="http://schemas.openxmlformats.org/officeDocument/2006/relationships/hyperlink" Target="mailto:NORMAF@iadb.org" TargetMode="External"/><Relationship Id="rId37" Type="http://schemas.openxmlformats.org/officeDocument/2006/relationships/hyperlink" Target="mailto:KJOHANNAC@IADB.ORG" TargetMode="External"/><Relationship Id="rId40" Type="http://schemas.openxmlformats.org/officeDocument/2006/relationships/hyperlink" Target="mailto:GFRANCOA@iadb.org" TargetMode="External"/><Relationship Id="rId45" Type="http://schemas.openxmlformats.org/officeDocument/2006/relationships/hyperlink" Target="mailto:JAVIERFE@IADB.ORG" TargetMode="External"/><Relationship Id="rId5" Type="http://schemas.openxmlformats.org/officeDocument/2006/relationships/hyperlink" Target="mailto:carlosd@iadb.org" TargetMode="External"/><Relationship Id="rId15" Type="http://schemas.openxmlformats.org/officeDocument/2006/relationships/hyperlink" Target="https://iadb-ttd.atlassian.net/jira/software/c/projects/PMOES/boards/20" TargetMode="External"/><Relationship Id="rId23" Type="http://schemas.openxmlformats.org/officeDocument/2006/relationships/hyperlink" Target="https://iadb-ttd.atlassian.net/jira/software/c/projects/ECLIN/boards/201" TargetMode="External"/><Relationship Id="rId28" Type="http://schemas.openxmlformats.org/officeDocument/2006/relationships/hyperlink" Target="mailto:MMAGARINOS@IADB.ORG" TargetMode="External"/><Relationship Id="rId36" Type="http://schemas.openxmlformats.org/officeDocument/2006/relationships/hyperlink" Target="mailto:JAIRORI@IADB.ORG" TargetMode="External"/><Relationship Id="rId49" Type="http://schemas.openxmlformats.org/officeDocument/2006/relationships/hyperlink" Target="mailto:robertpi@iadb.org" TargetMode="External"/><Relationship Id="rId10" Type="http://schemas.openxmlformats.org/officeDocument/2006/relationships/hyperlink" Target="mailto:harleyj@IADB.ORG" TargetMode="External"/><Relationship Id="rId19" Type="http://schemas.openxmlformats.org/officeDocument/2006/relationships/hyperlink" Target="https://iadb-ttd.atlassian.net/jira/software/c/projects/PPD/boards/308" TargetMode="External"/><Relationship Id="rId31" Type="http://schemas.openxmlformats.org/officeDocument/2006/relationships/hyperlink" Target="mailto:MICHELLEM@iadb.org" TargetMode="External"/><Relationship Id="rId44" Type="http://schemas.openxmlformats.org/officeDocument/2006/relationships/hyperlink" Target="mailto:DAVIDCAS@IADB.ORG" TargetMode="External"/><Relationship Id="rId4" Type="http://schemas.openxmlformats.org/officeDocument/2006/relationships/hyperlink" Target="https://iadb-ttd.atlassian.net/jira/software/c/projects/DMP/boards/55" TargetMode="External"/><Relationship Id="rId9" Type="http://schemas.openxmlformats.org/officeDocument/2006/relationships/hyperlink" Target="mailto:gperla@IADB.ORG" TargetMode="External"/><Relationship Id="rId14" Type="http://schemas.openxmlformats.org/officeDocument/2006/relationships/hyperlink" Target="https://iadb-ttd.atlassian.net/jira/software/c/projects/DA/boards/245" TargetMode="External"/><Relationship Id="rId22" Type="http://schemas.openxmlformats.org/officeDocument/2006/relationships/hyperlink" Target="https://iadb-ttd.atlassian.net/jira/software/c/projects/DMP/boards/175" TargetMode="External"/><Relationship Id="rId27" Type="http://schemas.openxmlformats.org/officeDocument/2006/relationships/hyperlink" Target="mailto:JUANFP@iadb.org" TargetMode="External"/><Relationship Id="rId30" Type="http://schemas.openxmlformats.org/officeDocument/2006/relationships/hyperlink" Target="mailto:DANIELAR@iadb.org" TargetMode="External"/><Relationship Id="rId35" Type="http://schemas.openxmlformats.org/officeDocument/2006/relationships/hyperlink" Target="mailto:NAILYC@iadb.org" TargetMode="External"/><Relationship Id="rId43" Type="http://schemas.openxmlformats.org/officeDocument/2006/relationships/hyperlink" Target="mailto:KARLAVI@IADB.ORG" TargetMode="External"/><Relationship Id="rId48" Type="http://schemas.openxmlformats.org/officeDocument/2006/relationships/hyperlink" Target="mailto:katiac@iadb.org" TargetMode="External"/><Relationship Id="rId8" Type="http://schemas.openxmlformats.org/officeDocument/2006/relationships/hyperlink" Target="mailto:ERICKMA@IADB.ORG" TargetMode="External"/><Relationship Id="rId51" Type="http://schemas.openxmlformats.org/officeDocument/2006/relationships/hyperlink" Target="mailto:katiac@iadb.org" TargetMode="External"/><Relationship Id="rId3" Type="http://schemas.openxmlformats.org/officeDocument/2006/relationships/hyperlink" Target="https://iadb-ttd.atlassian.net/jira/software/c/projects/ECYBER/boards/98" TargetMode="External"/><Relationship Id="rId12" Type="http://schemas.openxmlformats.org/officeDocument/2006/relationships/hyperlink" Target="https://iadb-ttd.atlassian.net/jira/software/c/projects/CAS/boards/26" TargetMode="External"/><Relationship Id="rId17" Type="http://schemas.openxmlformats.org/officeDocument/2006/relationships/hyperlink" Target="https://iadb-ttd.atlassian.net/jira/software/c/projects/TWS/boards/1277" TargetMode="External"/><Relationship Id="rId25" Type="http://schemas.openxmlformats.org/officeDocument/2006/relationships/hyperlink" Target="https://iadb-ttd.atlassian.net/jira/software/c/projects/AIP/boards/312" TargetMode="External"/><Relationship Id="rId33" Type="http://schemas.openxmlformats.org/officeDocument/2006/relationships/hyperlink" Target="mailto:SUSANAP@IADB.ORG" TargetMode="External"/><Relationship Id="rId38" Type="http://schemas.openxmlformats.org/officeDocument/2006/relationships/hyperlink" Target="mailto:rcerrato@IADB.ORG" TargetMode="External"/><Relationship Id="rId46" Type="http://schemas.openxmlformats.org/officeDocument/2006/relationships/hyperlink" Target="mailto:CGARCIAB@IADB.ORG" TargetMode="External"/><Relationship Id="rId20" Type="http://schemas.openxmlformats.org/officeDocument/2006/relationships/hyperlink" Target="https://iadb-ttd.atlassian.net/jira/software/c/projects/OPR/boards/1200" TargetMode="External"/><Relationship Id="rId41" Type="http://schemas.openxmlformats.org/officeDocument/2006/relationships/hyperlink" Target="mailto:MARIOCN@iadb.org" TargetMode="External"/><Relationship Id="rId1" Type="http://schemas.openxmlformats.org/officeDocument/2006/relationships/hyperlink" Target="https://iadb-ttd.atlassian.net/jira/software/c/projects/EEARCH/boards/83" TargetMode="External"/><Relationship Id="rId6" Type="http://schemas.openxmlformats.org/officeDocument/2006/relationships/hyperlink" Target="mailto:BrunoFe@iadb.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83F59-BB5F-49DB-A226-F0DDB0249877}">
  <dimension ref="B3:Z43"/>
  <sheetViews>
    <sheetView workbookViewId="0">
      <selection activeCell="D14" sqref="D14"/>
    </sheetView>
  </sheetViews>
  <sheetFormatPr defaultColWidth="9.140625" defaultRowHeight="14.45"/>
  <cols>
    <col min="1" max="1" width="9.140625" style="1"/>
    <col min="2" max="2" width="14.42578125" style="1" bestFit="1" customWidth="1"/>
    <col min="3" max="3" width="28" style="1" customWidth="1"/>
    <col min="4" max="4" width="26.28515625" style="1" customWidth="1"/>
    <col min="5" max="5" width="63.5703125" style="1" bestFit="1" customWidth="1"/>
    <col min="6" max="6" width="28.28515625" style="1" bestFit="1" customWidth="1"/>
    <col min="7" max="8" width="48.42578125" style="1" customWidth="1"/>
    <col min="9" max="9" width="32" style="1" bestFit="1" customWidth="1"/>
    <col min="10" max="10" width="63.42578125" style="1" customWidth="1"/>
    <col min="11" max="11" width="15.5703125" style="1" bestFit="1" customWidth="1"/>
    <col min="12" max="21" width="9.140625" style="1"/>
    <col min="22" max="22" width="9.140625" style="1" customWidth="1"/>
    <col min="23" max="26" width="8.85546875" customWidth="1"/>
    <col min="27" max="16384" width="9.140625" style="1"/>
  </cols>
  <sheetData>
    <row r="3" spans="2:11">
      <c r="C3" s="1" t="s">
        <v>0</v>
      </c>
      <c r="D3" s="1" t="s">
        <v>1</v>
      </c>
      <c r="E3" s="1" t="s">
        <v>2</v>
      </c>
      <c r="F3" s="1" t="s">
        <v>3</v>
      </c>
    </row>
    <row r="4" spans="2:11" ht="29.1">
      <c r="B4" s="2" t="s">
        <v>4</v>
      </c>
      <c r="C4" s="10" t="s">
        <v>5</v>
      </c>
      <c r="D4" s="2" t="s">
        <v>6</v>
      </c>
      <c r="E4" s="2" t="s">
        <v>7</v>
      </c>
      <c r="F4" s="2" t="s">
        <v>8</v>
      </c>
      <c r="G4" s="2" t="s">
        <v>9</v>
      </c>
      <c r="H4" s="2" t="s">
        <v>10</v>
      </c>
      <c r="I4" s="2" t="s">
        <v>11</v>
      </c>
      <c r="J4" s="2" t="s">
        <v>12</v>
      </c>
      <c r="K4" s="2" t="s">
        <v>13</v>
      </c>
    </row>
    <row r="5" spans="2:11">
      <c r="B5" s="1" t="s">
        <v>14</v>
      </c>
      <c r="C5" s="58" t="s">
        <v>15</v>
      </c>
      <c r="E5" s="1" t="s">
        <v>16</v>
      </c>
      <c r="F5" s="1" t="s">
        <v>15</v>
      </c>
      <c r="G5" s="1" t="s">
        <v>17</v>
      </c>
      <c r="H5" s="1" t="s">
        <v>18</v>
      </c>
      <c r="I5" s="4" t="s">
        <v>19</v>
      </c>
      <c r="J5" s="60" t="s">
        <v>20</v>
      </c>
      <c r="K5" s="1" t="s">
        <v>21</v>
      </c>
    </row>
    <row r="6" spans="2:11">
      <c r="B6" s="1" t="s">
        <v>14</v>
      </c>
      <c r="C6" s="58"/>
      <c r="E6" s="1" t="s">
        <v>16</v>
      </c>
      <c r="F6" s="1" t="s">
        <v>22</v>
      </c>
      <c r="G6" s="1" t="s">
        <v>23</v>
      </c>
      <c r="H6" s="1" t="s">
        <v>18</v>
      </c>
      <c r="I6" s="4"/>
      <c r="J6" s="60" t="s">
        <v>20</v>
      </c>
    </row>
    <row r="7" spans="2:11">
      <c r="B7" s="1" t="s">
        <v>14</v>
      </c>
      <c r="C7" s="58"/>
      <c r="E7" s="1" t="s">
        <v>16</v>
      </c>
      <c r="F7" s="1" t="s">
        <v>24</v>
      </c>
      <c r="G7" s="1" t="s">
        <v>25</v>
      </c>
      <c r="H7" s="1" t="s">
        <v>18</v>
      </c>
      <c r="I7" s="4"/>
      <c r="J7" s="60" t="s">
        <v>20</v>
      </c>
    </row>
    <row r="8" spans="2:11">
      <c r="B8" s="1" t="s">
        <v>14</v>
      </c>
      <c r="C8" s="58"/>
      <c r="E8" s="1" t="s">
        <v>26</v>
      </c>
      <c r="F8" s="1" t="s">
        <v>27</v>
      </c>
      <c r="H8" s="1" t="s">
        <v>28</v>
      </c>
      <c r="I8" s="4" t="s">
        <v>29</v>
      </c>
      <c r="K8" s="1" t="s">
        <v>21</v>
      </c>
    </row>
    <row r="9" spans="2:11">
      <c r="B9" s="1" t="s">
        <v>14</v>
      </c>
      <c r="C9" s="58" t="s">
        <v>30</v>
      </c>
      <c r="E9" s="1" t="s">
        <v>26</v>
      </c>
      <c r="F9" s="1" t="s">
        <v>31</v>
      </c>
      <c r="H9" s="1" t="s">
        <v>28</v>
      </c>
      <c r="I9" s="4" t="s">
        <v>29</v>
      </c>
      <c r="K9" s="1" t="s">
        <v>21</v>
      </c>
    </row>
    <row r="10" spans="2:11">
      <c r="B10" s="1" t="s">
        <v>14</v>
      </c>
      <c r="C10" s="58"/>
      <c r="E10" s="1" t="s">
        <v>32</v>
      </c>
      <c r="F10" s="1" t="s">
        <v>32</v>
      </c>
      <c r="H10" s="1" t="s">
        <v>33</v>
      </c>
      <c r="I10" s="4" t="s">
        <v>34</v>
      </c>
      <c r="K10" s="1" t="s">
        <v>21</v>
      </c>
    </row>
    <row r="11" spans="2:11">
      <c r="B11" s="1" t="s">
        <v>14</v>
      </c>
      <c r="C11" s="58"/>
      <c r="E11" s="1" t="s">
        <v>32</v>
      </c>
      <c r="F11" s="1" t="s">
        <v>35</v>
      </c>
      <c r="H11" s="1" t="s">
        <v>33</v>
      </c>
      <c r="I11" s="4" t="s">
        <v>34</v>
      </c>
      <c r="K11" s="1" t="s">
        <v>21</v>
      </c>
    </row>
    <row r="12" spans="2:11">
      <c r="B12" s="1" t="s">
        <v>14</v>
      </c>
      <c r="C12" s="58" t="s">
        <v>36</v>
      </c>
      <c r="E12" s="1" t="s">
        <v>32</v>
      </c>
      <c r="F12" s="1" t="s">
        <v>37</v>
      </c>
      <c r="H12" s="1" t="s">
        <v>33</v>
      </c>
      <c r="I12" s="4" t="s">
        <v>34</v>
      </c>
      <c r="K12" s="1" t="s">
        <v>21</v>
      </c>
    </row>
    <row r="13" spans="2:11">
      <c r="B13" s="1" t="s">
        <v>14</v>
      </c>
      <c r="C13" s="58" t="s">
        <v>38</v>
      </c>
      <c r="E13" s="1" t="s">
        <v>39</v>
      </c>
      <c r="F13" s="1" t="s">
        <v>38</v>
      </c>
      <c r="G13" s="58" t="s">
        <v>40</v>
      </c>
      <c r="H13" s="1" t="s">
        <v>41</v>
      </c>
      <c r="I13" s="4" t="s">
        <v>42</v>
      </c>
      <c r="J13" s="60" t="s">
        <v>43</v>
      </c>
      <c r="K13" s="1" t="s">
        <v>21</v>
      </c>
    </row>
    <row r="14" spans="2:11">
      <c r="B14" s="1" t="s">
        <v>14</v>
      </c>
      <c r="C14" s="58" t="s">
        <v>44</v>
      </c>
      <c r="E14" s="1" t="s">
        <v>39</v>
      </c>
      <c r="F14" s="1" t="s">
        <v>38</v>
      </c>
      <c r="G14" s="58" t="s">
        <v>45</v>
      </c>
      <c r="I14" s="4" t="s">
        <v>42</v>
      </c>
      <c r="J14" s="60" t="s">
        <v>43</v>
      </c>
    </row>
    <row r="15" spans="2:11">
      <c r="B15" s="1" t="s">
        <v>14</v>
      </c>
      <c r="C15" s="58" t="s">
        <v>46</v>
      </c>
      <c r="E15" s="1" t="s">
        <v>39</v>
      </c>
      <c r="F15" s="1" t="s">
        <v>38</v>
      </c>
      <c r="G15" s="58" t="s">
        <v>47</v>
      </c>
      <c r="I15" s="4" t="s">
        <v>42</v>
      </c>
      <c r="J15" s="60" t="s">
        <v>43</v>
      </c>
    </row>
    <row r="16" spans="2:11">
      <c r="B16" s="1" t="s">
        <v>14</v>
      </c>
      <c r="C16" s="58" t="s">
        <v>48</v>
      </c>
      <c r="E16" s="1" t="s">
        <v>39</v>
      </c>
      <c r="F16" s="1" t="s">
        <v>38</v>
      </c>
      <c r="G16" s="58" t="s">
        <v>49</v>
      </c>
      <c r="I16" s="4" t="s">
        <v>42</v>
      </c>
      <c r="J16" s="60" t="s">
        <v>43</v>
      </c>
    </row>
    <row r="17" spans="2:11">
      <c r="B17" s="1" t="s">
        <v>14</v>
      </c>
      <c r="C17" s="58" t="s">
        <v>50</v>
      </c>
      <c r="E17" s="1" t="s">
        <v>39</v>
      </c>
      <c r="F17" s="1" t="s">
        <v>51</v>
      </c>
      <c r="G17" s="58" t="s">
        <v>52</v>
      </c>
      <c r="H17" s="1" t="s">
        <v>41</v>
      </c>
      <c r="I17" s="4" t="s">
        <v>42</v>
      </c>
      <c r="J17" s="60" t="s">
        <v>53</v>
      </c>
      <c r="K17" s="1" t="s">
        <v>21</v>
      </c>
    </row>
    <row r="18" spans="2:11">
      <c r="B18" s="1" t="s">
        <v>14</v>
      </c>
      <c r="C18" s="58" t="s">
        <v>54</v>
      </c>
      <c r="E18" s="1" t="s">
        <v>39</v>
      </c>
      <c r="F18" s="1" t="s">
        <v>51</v>
      </c>
      <c r="G18" s="58" t="s">
        <v>52</v>
      </c>
      <c r="I18" s="4" t="s">
        <v>42</v>
      </c>
      <c r="J18" s="60" t="s">
        <v>53</v>
      </c>
    </row>
    <row r="19" spans="2:11">
      <c r="B19" s="1" t="s">
        <v>14</v>
      </c>
      <c r="C19" s="58" t="s">
        <v>55</v>
      </c>
      <c r="E19" s="1" t="s">
        <v>39</v>
      </c>
      <c r="F19" s="1" t="s">
        <v>51</v>
      </c>
      <c r="G19" s="58" t="s">
        <v>56</v>
      </c>
      <c r="I19" s="4" t="s">
        <v>42</v>
      </c>
      <c r="J19" s="60" t="s">
        <v>53</v>
      </c>
    </row>
    <row r="20" spans="2:11">
      <c r="B20" s="1" t="s">
        <v>14</v>
      </c>
      <c r="C20" s="58" t="s">
        <v>57</v>
      </c>
      <c r="E20" s="1" t="s">
        <v>39</v>
      </c>
      <c r="F20" s="1" t="s">
        <v>51</v>
      </c>
      <c r="G20" s="58" t="s">
        <v>56</v>
      </c>
      <c r="I20" s="4" t="s">
        <v>42</v>
      </c>
      <c r="J20" s="60" t="s">
        <v>53</v>
      </c>
    </row>
    <row r="21" spans="2:11">
      <c r="B21" s="1" t="s">
        <v>14</v>
      </c>
      <c r="C21" s="58" t="s">
        <v>58</v>
      </c>
      <c r="E21" s="1" t="s">
        <v>39</v>
      </c>
      <c r="F21" s="1" t="s">
        <v>51</v>
      </c>
      <c r="G21" s="58" t="s">
        <v>59</v>
      </c>
      <c r="I21" s="4" t="s">
        <v>42</v>
      </c>
      <c r="J21" s="60" t="s">
        <v>53</v>
      </c>
    </row>
    <row r="22" spans="2:11">
      <c r="B22" s="1" t="s">
        <v>14</v>
      </c>
      <c r="C22" s="58" t="s">
        <v>60</v>
      </c>
      <c r="E22" s="1" t="s">
        <v>39</v>
      </c>
      <c r="F22" s="1" t="s">
        <v>51</v>
      </c>
      <c r="G22" s="58" t="s">
        <v>59</v>
      </c>
      <c r="I22" s="4" t="s">
        <v>42</v>
      </c>
      <c r="J22" s="60" t="s">
        <v>53</v>
      </c>
    </row>
    <row r="23" spans="2:11">
      <c r="B23" s="1" t="s">
        <v>14</v>
      </c>
      <c r="C23" s="58" t="s">
        <v>61</v>
      </c>
      <c r="E23" s="1" t="s">
        <v>39</v>
      </c>
      <c r="F23" s="1" t="s">
        <v>62</v>
      </c>
      <c r="G23" s="58" t="s">
        <v>63</v>
      </c>
      <c r="H23" s="1" t="s">
        <v>41</v>
      </c>
      <c r="I23" s="4" t="s">
        <v>42</v>
      </c>
      <c r="J23" s="60" t="s">
        <v>64</v>
      </c>
      <c r="K23" s="1" t="s">
        <v>21</v>
      </c>
    </row>
    <row r="24" spans="2:11">
      <c r="B24" s="1" t="s">
        <v>14</v>
      </c>
      <c r="C24" s="58" t="s">
        <v>65</v>
      </c>
      <c r="E24" s="1" t="s">
        <v>39</v>
      </c>
      <c r="F24" s="1" t="s">
        <v>62</v>
      </c>
      <c r="G24" s="58" t="s">
        <v>63</v>
      </c>
      <c r="I24" s="4" t="s">
        <v>42</v>
      </c>
      <c r="J24" s="60" t="s">
        <v>64</v>
      </c>
    </row>
    <row r="25" spans="2:11">
      <c r="B25" s="1" t="s">
        <v>14</v>
      </c>
      <c r="C25" s="58" t="s">
        <v>66</v>
      </c>
      <c r="E25" s="1" t="s">
        <v>39</v>
      </c>
      <c r="F25" s="1" t="s">
        <v>62</v>
      </c>
      <c r="G25" s="58" t="s">
        <v>67</v>
      </c>
      <c r="I25" s="4" t="s">
        <v>42</v>
      </c>
      <c r="J25" s="60" t="s">
        <v>64</v>
      </c>
    </row>
    <row r="26" spans="2:11">
      <c r="B26" s="1" t="s">
        <v>14</v>
      </c>
      <c r="C26" s="58" t="s">
        <v>68</v>
      </c>
      <c r="E26" s="1" t="s">
        <v>39</v>
      </c>
      <c r="F26" s="1" t="s">
        <v>62</v>
      </c>
      <c r="G26" s="58" t="s">
        <v>63</v>
      </c>
      <c r="I26" s="4" t="s">
        <v>42</v>
      </c>
      <c r="J26" s="60" t="s">
        <v>64</v>
      </c>
    </row>
    <row r="27" spans="2:11">
      <c r="B27" s="1" t="s">
        <v>14</v>
      </c>
      <c r="C27" s="58" t="s">
        <v>69</v>
      </c>
      <c r="E27" s="1" t="s">
        <v>39</v>
      </c>
      <c r="F27" s="1" t="s">
        <v>62</v>
      </c>
      <c r="G27" s="58" t="s">
        <v>70</v>
      </c>
      <c r="I27" s="4" t="s">
        <v>42</v>
      </c>
      <c r="J27" s="60" t="s">
        <v>64</v>
      </c>
    </row>
    <row r="28" spans="2:11">
      <c r="B28" s="1" t="s">
        <v>14</v>
      </c>
      <c r="C28" s="58"/>
      <c r="E28" s="1" t="s">
        <v>71</v>
      </c>
      <c r="F28" s="1" t="s">
        <v>71</v>
      </c>
      <c r="H28" s="1" t="s">
        <v>72</v>
      </c>
      <c r="I28" s="4" t="s">
        <v>73</v>
      </c>
      <c r="J28" s="58"/>
      <c r="K28" s="1" t="s">
        <v>21</v>
      </c>
    </row>
    <row r="29" spans="2:11">
      <c r="B29" s="1" t="s">
        <v>14</v>
      </c>
      <c r="C29" s="58"/>
      <c r="E29" s="61" t="s">
        <v>74</v>
      </c>
      <c r="F29" s="1" t="s">
        <v>74</v>
      </c>
      <c r="H29" s="1" t="s">
        <v>75</v>
      </c>
      <c r="I29" s="4"/>
      <c r="J29" s="58"/>
    </row>
    <row r="30" spans="2:11">
      <c r="B30" s="1" t="s">
        <v>14</v>
      </c>
      <c r="C30" s="58"/>
      <c r="E30" s="1" t="s">
        <v>76</v>
      </c>
      <c r="F30" s="1" t="s">
        <v>77</v>
      </c>
      <c r="G30" s="57" t="s">
        <v>78</v>
      </c>
      <c r="H30" s="1" t="s">
        <v>79</v>
      </c>
      <c r="I30" s="4" t="s">
        <v>80</v>
      </c>
      <c r="J30" s="60" t="s">
        <v>81</v>
      </c>
      <c r="K30" s="1" t="s">
        <v>21</v>
      </c>
    </row>
    <row r="31" spans="2:11">
      <c r="B31" s="1" t="s">
        <v>14</v>
      </c>
      <c r="C31" s="58"/>
      <c r="E31" s="1" t="s">
        <v>76</v>
      </c>
      <c r="F31" s="1" t="s">
        <v>82</v>
      </c>
      <c r="G31" s="57" t="s">
        <v>83</v>
      </c>
      <c r="H31" s="1" t="s">
        <v>84</v>
      </c>
      <c r="I31" s="4" t="s">
        <v>85</v>
      </c>
      <c r="J31" s="60" t="s">
        <v>86</v>
      </c>
      <c r="K31" s="1" t="s">
        <v>21</v>
      </c>
    </row>
    <row r="32" spans="2:11">
      <c r="B32" s="1" t="s">
        <v>14</v>
      </c>
      <c r="C32" s="58"/>
      <c r="E32" s="1" t="s">
        <v>87</v>
      </c>
      <c r="F32" s="1" t="s">
        <v>88</v>
      </c>
      <c r="G32" s="57" t="s">
        <v>89</v>
      </c>
      <c r="H32" s="1" t="s">
        <v>79</v>
      </c>
      <c r="I32" s="1" t="s">
        <v>90</v>
      </c>
      <c r="J32" s="60" t="s">
        <v>91</v>
      </c>
      <c r="K32" s="1" t="s">
        <v>21</v>
      </c>
    </row>
    <row r="33" spans="2:11" ht="12" customHeight="1">
      <c r="B33" s="1" t="s">
        <v>14</v>
      </c>
      <c r="C33" s="58"/>
      <c r="E33" s="1" t="s">
        <v>87</v>
      </c>
      <c r="F33" s="1" t="s">
        <v>92</v>
      </c>
      <c r="G33" s="57" t="s">
        <v>93</v>
      </c>
      <c r="H33" s="1" t="s">
        <v>79</v>
      </c>
      <c r="I33" s="1" t="s">
        <v>94</v>
      </c>
      <c r="J33" s="59" t="s">
        <v>95</v>
      </c>
      <c r="K33" s="1" t="s">
        <v>21</v>
      </c>
    </row>
    <row r="34" spans="2:11">
      <c r="B34" s="1" t="s">
        <v>14</v>
      </c>
      <c r="C34" s="58"/>
      <c r="E34" s="1" t="s">
        <v>96</v>
      </c>
      <c r="F34" s="1" t="s">
        <v>97</v>
      </c>
      <c r="G34" s="1" t="s">
        <v>98</v>
      </c>
      <c r="H34" s="1" t="s">
        <v>99</v>
      </c>
      <c r="I34" s="4" t="s">
        <v>100</v>
      </c>
      <c r="J34" s="60" t="s">
        <v>101</v>
      </c>
      <c r="K34" s="1" t="s">
        <v>21</v>
      </c>
    </row>
    <row r="35" spans="2:11">
      <c r="B35" s="1" t="s">
        <v>14</v>
      </c>
      <c r="C35" s="58"/>
      <c r="E35" s="1" t="s">
        <v>102</v>
      </c>
      <c r="F35" s="1" t="s">
        <v>103</v>
      </c>
      <c r="H35" s="1" t="s">
        <v>104</v>
      </c>
      <c r="I35" s="4" t="s">
        <v>105</v>
      </c>
      <c r="K35" s="1" t="s">
        <v>21</v>
      </c>
    </row>
    <row r="36" spans="2:11">
      <c r="B36" s="1" t="s">
        <v>14</v>
      </c>
      <c r="C36" s="58" t="s">
        <v>106</v>
      </c>
      <c r="D36" s="1" t="s">
        <v>107</v>
      </c>
      <c r="E36" s="1" t="s">
        <v>102</v>
      </c>
      <c r="F36" s="1" t="s">
        <v>108</v>
      </c>
      <c r="I36" s="4"/>
    </row>
    <row r="37" spans="2:11">
      <c r="B37" s="1" t="s">
        <v>14</v>
      </c>
      <c r="C37" s="58" t="s">
        <v>106</v>
      </c>
      <c r="D37" s="1" t="s">
        <v>109</v>
      </c>
      <c r="E37" s="1" t="s">
        <v>102</v>
      </c>
      <c r="F37" s="1" t="s">
        <v>108</v>
      </c>
      <c r="I37" s="4"/>
    </row>
    <row r="38" spans="2:11">
      <c r="B38" s="1" t="s">
        <v>14</v>
      </c>
      <c r="C38" s="58" t="s">
        <v>106</v>
      </c>
      <c r="D38" s="1" t="s">
        <v>110</v>
      </c>
      <c r="E38" s="1" t="s">
        <v>102</v>
      </c>
      <c r="F38" s="1" t="s">
        <v>108</v>
      </c>
      <c r="I38" s="4"/>
    </row>
    <row r="39" spans="2:11">
      <c r="B39" s="1" t="s">
        <v>14</v>
      </c>
      <c r="C39" s="58" t="s">
        <v>106</v>
      </c>
      <c r="D39" s="1" t="s">
        <v>111</v>
      </c>
      <c r="E39" s="1" t="s">
        <v>102</v>
      </c>
      <c r="F39" s="1" t="s">
        <v>108</v>
      </c>
      <c r="I39" s="4"/>
    </row>
    <row r="40" spans="2:11">
      <c r="B40" s="1" t="s">
        <v>14</v>
      </c>
      <c r="C40" s="58" t="s">
        <v>106</v>
      </c>
      <c r="D40" s="1" t="s">
        <v>112</v>
      </c>
      <c r="E40" s="1" t="s">
        <v>102</v>
      </c>
      <c r="F40" s="1" t="s">
        <v>108</v>
      </c>
      <c r="I40" s="4"/>
    </row>
    <row r="41" spans="2:11">
      <c r="B41" s="1" t="s">
        <v>14</v>
      </c>
      <c r="C41" s="58" t="s">
        <v>106</v>
      </c>
      <c r="D41" s="1" t="s">
        <v>113</v>
      </c>
      <c r="E41" s="1" t="s">
        <v>102</v>
      </c>
      <c r="F41" s="1" t="s">
        <v>108</v>
      </c>
      <c r="I41" s="4"/>
    </row>
    <row r="42" spans="2:11">
      <c r="B42" s="1" t="s">
        <v>14</v>
      </c>
      <c r="C42" s="58" t="s">
        <v>106</v>
      </c>
      <c r="D42" s="1" t="s">
        <v>114</v>
      </c>
      <c r="E42" s="1" t="s">
        <v>102</v>
      </c>
      <c r="F42" s="1" t="s">
        <v>108</v>
      </c>
      <c r="I42" s="4"/>
    </row>
    <row r="43" spans="2:11">
      <c r="B43" s="1" t="s">
        <v>14</v>
      </c>
      <c r="C43" s="58"/>
      <c r="E43" s="1" t="s">
        <v>115</v>
      </c>
      <c r="F43" s="1" t="s">
        <v>115</v>
      </c>
      <c r="H43" s="1" t="s">
        <v>75</v>
      </c>
      <c r="I43" s="4" t="s">
        <v>116</v>
      </c>
      <c r="K43" s="1" t="s">
        <v>21</v>
      </c>
    </row>
  </sheetData>
  <hyperlinks>
    <hyperlink ref="J31" r:id="rId1" xr:uid="{EF72F66D-B4DA-4EAB-9569-02E9C1232602}"/>
    <hyperlink ref="J32" r:id="rId2" xr:uid="{FC6A2495-4FDF-4877-8FB7-E290FA4546A4}"/>
    <hyperlink ref="J33" r:id="rId3" xr:uid="{7D255FBD-B724-41A1-92D7-AC68903E3864}"/>
    <hyperlink ref="J30" r:id="rId4" xr:uid="{64726098-8DBB-477F-9E9B-BC7CC661C959}"/>
    <hyperlink ref="J13" r:id="rId5" xr:uid="{6CDF2B4B-69ED-43EC-B136-8C5F63000558}"/>
    <hyperlink ref="J5" r:id="rId6" xr:uid="{E7D68E35-3FA8-4D3B-8471-388BB2027F4D}"/>
    <hyperlink ref="J6" r:id="rId7" xr:uid="{BA33DCFD-934E-4D3F-B7E7-E1B91BE4E036}"/>
    <hyperlink ref="J7" r:id="rId8" xr:uid="{D7B2CE72-AED2-488C-A39C-4C5F9D8B6BD1}"/>
    <hyperlink ref="J34" r:id="rId9" xr:uid="{CD5C0D71-2433-4B60-A3E4-C6D2380E1125}"/>
    <hyperlink ref="J23" r:id="rId10" xr:uid="{D66C8F60-0A24-46E2-94A9-BC3502642869}"/>
    <hyperlink ref="J17" r:id="rId11" xr:uid="{3E6DA9E2-518C-4EC0-A41A-0D5909C891AB}"/>
    <hyperlink ref="J14:J16" r:id="rId12" display="https://iadb-ttd.atlassian.net/jira/software/c/projects/KNP" xr:uid="{79061C61-56A8-4259-A6CD-A2DD8EB7E38B}"/>
    <hyperlink ref="J18:J22" r:id="rId13" display="https://iadb-ttd.atlassian.net/jira/software/c/projects/IL" xr:uid="{35E9E366-8E47-49D8-AC9F-D256D7EF20B9}"/>
    <hyperlink ref="J24:J27" r:id="rId14" display="https://iadb-ttd.atlassian.net/jira/software/c/projects/DL/list" xr:uid="{55288DA5-15F5-44E3-AA03-C30D2A6F465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5C78E-ECD7-474F-AB71-D1D914167AF9}">
  <dimension ref="B2:K56"/>
  <sheetViews>
    <sheetView tabSelected="1" workbookViewId="0">
      <selection activeCell="F6" sqref="F6"/>
    </sheetView>
  </sheetViews>
  <sheetFormatPr defaultColWidth="9.140625" defaultRowHeight="14.45"/>
  <cols>
    <col min="1" max="1" width="9.140625" style="1"/>
    <col min="2" max="2" width="22.85546875" style="1" customWidth="1"/>
    <col min="3" max="3" width="18.28515625" style="1" bestFit="1" customWidth="1"/>
    <col min="4" max="4" width="53.5703125" style="1" bestFit="1" customWidth="1"/>
    <col min="5" max="5" width="43" style="1" customWidth="1"/>
    <col min="6" max="6" width="42.5703125" style="1" bestFit="1" customWidth="1"/>
    <col min="7" max="7" width="47" style="1" bestFit="1" customWidth="1"/>
    <col min="8" max="8" width="46.85546875" style="1" bestFit="1" customWidth="1"/>
    <col min="9" max="9" width="30.5703125" bestFit="1" customWidth="1"/>
    <col min="10" max="10" width="42.42578125" style="1" customWidth="1"/>
    <col min="11" max="11" width="15.140625" style="1" bestFit="1" customWidth="1"/>
    <col min="12" max="16384" width="9.140625" style="1"/>
  </cols>
  <sheetData>
    <row r="2" spans="2:11">
      <c r="C2" s="1" t="s">
        <v>0</v>
      </c>
      <c r="D2" s="1" t="s">
        <v>2</v>
      </c>
      <c r="E2" s="1" t="s">
        <v>3</v>
      </c>
      <c r="F2" s="1" t="s">
        <v>117</v>
      </c>
    </row>
    <row r="3" spans="2:11" ht="29.25">
      <c r="B3" s="2" t="s">
        <v>4</v>
      </c>
      <c r="C3" s="10" t="s">
        <v>5</v>
      </c>
      <c r="D3" s="2" t="s">
        <v>7</v>
      </c>
      <c r="E3" s="2" t="s">
        <v>8</v>
      </c>
      <c r="F3" s="2" t="s">
        <v>6</v>
      </c>
      <c r="G3" s="2" t="s">
        <v>118</v>
      </c>
      <c r="H3" s="2" t="s">
        <v>10</v>
      </c>
      <c r="I3" s="2" t="s">
        <v>11</v>
      </c>
      <c r="J3" s="2" t="s">
        <v>12</v>
      </c>
      <c r="K3" s="2" t="s">
        <v>13</v>
      </c>
    </row>
    <row r="4" spans="2:11" ht="202.5" customHeight="1">
      <c r="B4" s="65" t="s">
        <v>119</v>
      </c>
      <c r="C4" s="65" t="s">
        <v>120</v>
      </c>
      <c r="D4" s="65" t="s">
        <v>121</v>
      </c>
      <c r="E4" s="65" t="s">
        <v>122</v>
      </c>
      <c r="F4" s="66" t="s">
        <v>123</v>
      </c>
      <c r="G4" s="65" t="s">
        <v>124</v>
      </c>
      <c r="H4" s="65" t="s">
        <v>125</v>
      </c>
      <c r="I4" s="66" t="s">
        <v>126</v>
      </c>
      <c r="J4" s="67" t="s">
        <v>127</v>
      </c>
      <c r="K4" s="65" t="s">
        <v>21</v>
      </c>
    </row>
    <row r="5" spans="2:11" ht="15">
      <c r="B5" s="65" t="s">
        <v>119</v>
      </c>
      <c r="C5" s="65" t="s">
        <v>120</v>
      </c>
      <c r="D5" s="65" t="s">
        <v>121</v>
      </c>
      <c r="E5" s="65" t="s">
        <v>128</v>
      </c>
      <c r="F5" s="65" t="s">
        <v>129</v>
      </c>
      <c r="G5" s="65" t="s">
        <v>124</v>
      </c>
      <c r="H5" s="65" t="s">
        <v>125</v>
      </c>
      <c r="I5" s="66" t="s">
        <v>126</v>
      </c>
      <c r="J5" s="67" t="s">
        <v>127</v>
      </c>
      <c r="K5" s="65" t="s">
        <v>21</v>
      </c>
    </row>
    <row r="6" spans="2:11" ht="15">
      <c r="B6" s="65"/>
      <c r="C6" s="65"/>
      <c r="D6" s="65"/>
      <c r="E6" s="65"/>
      <c r="F6" s="65"/>
      <c r="G6" s="65"/>
      <c r="H6" s="65"/>
      <c r="I6" s="66"/>
      <c r="J6" s="67"/>
      <c r="K6" s="65"/>
    </row>
    <row r="7" spans="2:11">
      <c r="B7" s="65" t="s">
        <v>119</v>
      </c>
      <c r="C7" s="65" t="s">
        <v>130</v>
      </c>
      <c r="D7" s="65" t="s">
        <v>131</v>
      </c>
      <c r="E7" s="65" t="s">
        <v>132</v>
      </c>
      <c r="F7" s="65" t="s">
        <v>133</v>
      </c>
      <c r="G7" s="65" t="s">
        <v>134</v>
      </c>
      <c r="H7" s="65" t="s">
        <v>135</v>
      </c>
      <c r="I7" s="66" t="s">
        <v>136</v>
      </c>
      <c r="J7" s="67" t="s">
        <v>137</v>
      </c>
      <c r="K7" s="65" t="s">
        <v>21</v>
      </c>
    </row>
    <row r="8" spans="2:11">
      <c r="B8" s="1" t="s">
        <v>119</v>
      </c>
      <c r="C8" s="1" t="s">
        <v>138</v>
      </c>
      <c r="D8" s="1" t="s">
        <v>139</v>
      </c>
      <c r="E8" s="1" t="s">
        <v>140</v>
      </c>
      <c r="F8" s="1" t="s">
        <v>141</v>
      </c>
      <c r="G8" s="1" t="s">
        <v>142</v>
      </c>
      <c r="H8" s="1" t="s">
        <v>143</v>
      </c>
      <c r="I8" s="4" t="s">
        <v>144</v>
      </c>
      <c r="J8" s="60" t="s">
        <v>145</v>
      </c>
      <c r="K8" s="1" t="s">
        <v>21</v>
      </c>
    </row>
    <row r="9" spans="2:11">
      <c r="B9" s="65" t="s">
        <v>119</v>
      </c>
      <c r="C9" s="65" t="s">
        <v>146</v>
      </c>
      <c r="D9" s="65" t="s">
        <v>147</v>
      </c>
      <c r="E9" s="65" t="s">
        <v>148</v>
      </c>
      <c r="F9" s="65"/>
      <c r="G9" s="65" t="s">
        <v>149</v>
      </c>
      <c r="H9" s="65" t="s">
        <v>150</v>
      </c>
      <c r="I9" s="66" t="s">
        <v>151</v>
      </c>
      <c r="J9" s="67" t="s">
        <v>152</v>
      </c>
      <c r="K9" s="65" t="s">
        <v>21</v>
      </c>
    </row>
    <row r="10" spans="2:11">
      <c r="B10" s="65" t="s">
        <v>119</v>
      </c>
      <c r="C10" s="65" t="s">
        <v>153</v>
      </c>
      <c r="D10" s="65" t="s">
        <v>147</v>
      </c>
      <c r="E10" s="65" t="s">
        <v>154</v>
      </c>
      <c r="F10" s="65"/>
      <c r="G10" s="65" t="s">
        <v>149</v>
      </c>
      <c r="H10" s="65" t="s">
        <v>150</v>
      </c>
      <c r="I10" s="66" t="s">
        <v>151</v>
      </c>
      <c r="J10" s="67" t="s">
        <v>155</v>
      </c>
      <c r="K10" s="65" t="s">
        <v>21</v>
      </c>
    </row>
    <row r="11" spans="2:11">
      <c r="B11" s="65" t="s">
        <v>119</v>
      </c>
      <c r="C11" s="65" t="s">
        <v>156</v>
      </c>
      <c r="D11" s="65" t="s">
        <v>147</v>
      </c>
      <c r="E11" s="65" t="s">
        <v>157</v>
      </c>
      <c r="F11" s="65"/>
      <c r="G11" s="65" t="s">
        <v>149</v>
      </c>
      <c r="H11" s="65" t="s">
        <v>150</v>
      </c>
      <c r="I11" s="66" t="s">
        <v>151</v>
      </c>
      <c r="J11" s="67" t="s">
        <v>155</v>
      </c>
      <c r="K11" s="65" t="s">
        <v>21</v>
      </c>
    </row>
    <row r="12" spans="2:11">
      <c r="B12" s="65" t="s">
        <v>119</v>
      </c>
      <c r="C12" s="65" t="s">
        <v>158</v>
      </c>
      <c r="D12" s="65" t="s">
        <v>147</v>
      </c>
      <c r="E12" s="65" t="s">
        <v>159</v>
      </c>
      <c r="F12" s="65"/>
      <c r="G12" s="65"/>
      <c r="H12" s="65"/>
      <c r="I12" s="66"/>
      <c r="J12" s="67"/>
      <c r="K12" s="65"/>
    </row>
    <row r="13" spans="2:11">
      <c r="B13" s="65" t="s">
        <v>119</v>
      </c>
      <c r="C13" s="65" t="s">
        <v>160</v>
      </c>
      <c r="D13" s="65" t="s">
        <v>147</v>
      </c>
      <c r="E13" s="65"/>
      <c r="F13" s="65"/>
      <c r="G13" s="65"/>
      <c r="H13" s="65"/>
      <c r="I13" s="66"/>
      <c r="J13" s="67"/>
      <c r="K13" s="65"/>
    </row>
    <row r="14" spans="2:11">
      <c r="B14" s="65" t="s">
        <v>119</v>
      </c>
      <c r="C14" s="65" t="s">
        <v>161</v>
      </c>
      <c r="D14" s="65" t="s">
        <v>147</v>
      </c>
      <c r="E14" s="65"/>
      <c r="F14" s="65"/>
      <c r="G14" s="65"/>
      <c r="H14" s="65"/>
      <c r="I14" s="66"/>
      <c r="J14" s="67"/>
      <c r="K14" s="65"/>
    </row>
    <row r="15" spans="2:11">
      <c r="B15" s="65"/>
      <c r="C15" s="65"/>
      <c r="D15" s="65"/>
      <c r="E15" s="65"/>
      <c r="F15" s="65"/>
      <c r="G15" s="65"/>
      <c r="H15" s="65"/>
      <c r="I15" s="66"/>
      <c r="J15" s="67"/>
      <c r="K15" s="65"/>
    </row>
    <row r="16" spans="2:11">
      <c r="B16" s="65"/>
      <c r="C16" s="65"/>
      <c r="D16" s="65"/>
      <c r="E16" s="65"/>
      <c r="F16" s="65"/>
      <c r="G16" s="65"/>
      <c r="H16" s="65"/>
      <c r="I16" s="66"/>
      <c r="J16" s="67"/>
      <c r="K16" s="65"/>
    </row>
    <row r="17" spans="2:11">
      <c r="B17" s="65"/>
      <c r="C17" s="65"/>
      <c r="D17" s="65"/>
      <c r="E17" s="65"/>
      <c r="F17" s="65"/>
      <c r="G17" s="65"/>
      <c r="H17" s="65"/>
      <c r="I17" s="65"/>
      <c r="J17" s="65"/>
      <c r="K17" s="65"/>
    </row>
    <row r="18" spans="2:11">
      <c r="B18" s="62" t="s">
        <v>119</v>
      </c>
      <c r="C18" s="62"/>
      <c r="D18" s="62" t="s">
        <v>162</v>
      </c>
      <c r="E18" s="62" t="s">
        <v>163</v>
      </c>
      <c r="F18" s="62"/>
      <c r="G18" s="62" t="s">
        <v>164</v>
      </c>
      <c r="H18" s="62" t="s">
        <v>165</v>
      </c>
      <c r="I18" s="63" t="s">
        <v>166</v>
      </c>
      <c r="J18" s="64" t="s">
        <v>167</v>
      </c>
      <c r="K18" s="62" t="s">
        <v>21</v>
      </c>
    </row>
    <row r="19" spans="2:11">
      <c r="B19" s="62" t="s">
        <v>119</v>
      </c>
      <c r="C19" s="62" t="s">
        <v>168</v>
      </c>
      <c r="D19" s="62" t="s">
        <v>162</v>
      </c>
      <c r="E19" s="62" t="s">
        <v>163</v>
      </c>
      <c r="F19" s="62"/>
      <c r="G19" s="62" t="s">
        <v>164</v>
      </c>
      <c r="H19" s="62" t="s">
        <v>165</v>
      </c>
      <c r="I19" s="63" t="s">
        <v>166</v>
      </c>
      <c r="J19" s="64" t="s">
        <v>167</v>
      </c>
      <c r="K19" s="62" t="s">
        <v>21</v>
      </c>
    </row>
    <row r="20" spans="2:11">
      <c r="B20" s="62" t="s">
        <v>119</v>
      </c>
      <c r="C20" s="62" t="s">
        <v>169</v>
      </c>
      <c r="D20" s="62" t="s">
        <v>162</v>
      </c>
      <c r="E20" s="62"/>
      <c r="F20" s="62"/>
      <c r="G20" s="62"/>
      <c r="H20" s="62"/>
      <c r="I20" s="63"/>
      <c r="J20" s="64"/>
      <c r="K20" s="62"/>
    </row>
    <row r="21" spans="2:11">
      <c r="B21" s="62" t="s">
        <v>119</v>
      </c>
      <c r="C21" s="62" t="s">
        <v>170</v>
      </c>
      <c r="D21" s="62" t="s">
        <v>162</v>
      </c>
      <c r="E21" s="62"/>
      <c r="F21" s="62"/>
      <c r="G21" s="62"/>
      <c r="H21" s="62"/>
      <c r="I21" s="63"/>
      <c r="J21" s="64"/>
      <c r="K21" s="62"/>
    </row>
    <row r="22" spans="2:11">
      <c r="B22" s="62" t="s">
        <v>119</v>
      </c>
      <c r="C22" s="62" t="s">
        <v>171</v>
      </c>
      <c r="D22" s="62" t="s">
        <v>162</v>
      </c>
      <c r="E22" s="62"/>
      <c r="F22" s="62"/>
      <c r="G22" s="62"/>
      <c r="H22" s="62"/>
      <c r="I22" s="63"/>
      <c r="J22" s="64"/>
      <c r="K22" s="62"/>
    </row>
    <row r="23" spans="2:11">
      <c r="B23" s="62" t="s">
        <v>119</v>
      </c>
      <c r="C23" s="62" t="s">
        <v>172</v>
      </c>
      <c r="D23" s="62" t="s">
        <v>162</v>
      </c>
      <c r="E23" s="62"/>
      <c r="F23" s="62"/>
      <c r="G23" s="62"/>
      <c r="H23" s="62"/>
      <c r="I23" s="63"/>
      <c r="J23" s="64"/>
      <c r="K23" s="62"/>
    </row>
    <row r="24" spans="2:11">
      <c r="B24" s="62" t="s">
        <v>119</v>
      </c>
      <c r="C24" s="62" t="s">
        <v>173</v>
      </c>
      <c r="D24" s="62" t="s">
        <v>162</v>
      </c>
      <c r="E24" s="62"/>
      <c r="F24" s="62"/>
      <c r="G24" s="62"/>
      <c r="H24" s="62"/>
      <c r="I24" s="63"/>
      <c r="J24" s="64"/>
      <c r="K24" s="62"/>
    </row>
    <row r="25" spans="2:11">
      <c r="B25" s="62" t="s">
        <v>119</v>
      </c>
      <c r="C25" s="62" t="s">
        <v>174</v>
      </c>
      <c r="D25" s="62" t="s">
        <v>162</v>
      </c>
      <c r="E25" s="62"/>
      <c r="F25" s="62"/>
      <c r="G25" s="62"/>
      <c r="H25" s="62"/>
      <c r="I25" s="63"/>
      <c r="J25" s="64"/>
      <c r="K25" s="62"/>
    </row>
    <row r="26" spans="2:11">
      <c r="B26" s="62" t="s">
        <v>119</v>
      </c>
      <c r="C26" s="62" t="s">
        <v>175</v>
      </c>
      <c r="D26" s="62" t="s">
        <v>162</v>
      </c>
      <c r="E26" s="62"/>
      <c r="F26" s="62"/>
      <c r="G26" s="62"/>
      <c r="H26" s="62"/>
      <c r="I26" s="63"/>
      <c r="J26" s="64"/>
      <c r="K26" s="62"/>
    </row>
    <row r="27" spans="2:11">
      <c r="B27" s="62" t="s">
        <v>119</v>
      </c>
      <c r="C27" s="62" t="s">
        <v>176</v>
      </c>
      <c r="D27" s="62" t="s">
        <v>162</v>
      </c>
      <c r="E27" s="62"/>
      <c r="F27" s="62"/>
      <c r="G27" s="62"/>
      <c r="H27" s="62"/>
      <c r="I27" s="63"/>
      <c r="J27" s="64"/>
      <c r="K27" s="62"/>
    </row>
    <row r="28" spans="2:11">
      <c r="B28" s="62" t="s">
        <v>119</v>
      </c>
      <c r="C28" s="62" t="s">
        <v>158</v>
      </c>
      <c r="D28" s="62" t="s">
        <v>162</v>
      </c>
      <c r="E28" s="62"/>
      <c r="F28" s="62"/>
      <c r="G28" s="62"/>
      <c r="H28" s="62"/>
      <c r="I28" s="63"/>
      <c r="J28" s="64"/>
      <c r="K28" s="62"/>
    </row>
    <row r="29" spans="2:11">
      <c r="B29" s="62"/>
      <c r="C29" s="62"/>
      <c r="D29" s="62"/>
      <c r="E29" s="62"/>
      <c r="F29" s="62"/>
      <c r="G29" s="62"/>
      <c r="H29" s="62"/>
      <c r="I29" s="63"/>
      <c r="J29" s="64"/>
      <c r="K29" s="62"/>
    </row>
    <row r="30" spans="2:11">
      <c r="B30" s="62"/>
      <c r="C30" s="62"/>
      <c r="D30" s="62"/>
      <c r="E30" s="62"/>
      <c r="F30" s="62"/>
      <c r="G30" s="62"/>
      <c r="H30" s="62"/>
      <c r="I30" s="63"/>
      <c r="J30" s="64"/>
      <c r="K30" s="62"/>
    </row>
    <row r="31" spans="2:11">
      <c r="B31" s="62"/>
      <c r="C31" s="62"/>
      <c r="D31" s="62"/>
      <c r="E31" s="62"/>
      <c r="F31" s="62"/>
      <c r="G31" s="62"/>
      <c r="H31" s="62"/>
      <c r="I31" s="63"/>
      <c r="J31" s="64"/>
      <c r="K31" s="62"/>
    </row>
    <row r="32" spans="2:11" ht="15">
      <c r="B32" s="62" t="s">
        <v>119</v>
      </c>
      <c r="C32" s="62" t="s">
        <v>106</v>
      </c>
      <c r="D32" s="62" t="s">
        <v>177</v>
      </c>
      <c r="E32" s="62" t="s">
        <v>177</v>
      </c>
      <c r="F32" s="62" t="s">
        <v>178</v>
      </c>
      <c r="G32" s="62" t="s">
        <v>179</v>
      </c>
      <c r="H32" s="62" t="s">
        <v>180</v>
      </c>
      <c r="I32" s="63" t="s">
        <v>181</v>
      </c>
      <c r="J32" s="64" t="s">
        <v>182</v>
      </c>
      <c r="K32" s="62" t="s">
        <v>21</v>
      </c>
    </row>
    <row r="33" spans="2:11">
      <c r="B33" s="62" t="s">
        <v>119</v>
      </c>
      <c r="C33" s="62" t="s">
        <v>106</v>
      </c>
      <c r="D33" s="62" t="s">
        <v>177</v>
      </c>
      <c r="E33" s="62" t="s">
        <v>177</v>
      </c>
      <c r="F33" s="62" t="s">
        <v>183</v>
      </c>
      <c r="G33" s="62" t="s">
        <v>179</v>
      </c>
      <c r="H33" s="62" t="s">
        <v>180</v>
      </c>
      <c r="I33" s="63" t="s">
        <v>181</v>
      </c>
      <c r="J33" s="64" t="s">
        <v>184</v>
      </c>
      <c r="K33" s="62" t="s">
        <v>21</v>
      </c>
    </row>
    <row r="34" spans="2:11">
      <c r="B34" s="62" t="s">
        <v>119</v>
      </c>
      <c r="C34" s="62" t="s">
        <v>106</v>
      </c>
      <c r="D34" s="62" t="s">
        <v>177</v>
      </c>
      <c r="E34" s="62" t="s">
        <v>177</v>
      </c>
      <c r="F34" s="62" t="s">
        <v>185</v>
      </c>
      <c r="G34" s="62" t="s">
        <v>179</v>
      </c>
      <c r="H34" s="62" t="s">
        <v>180</v>
      </c>
      <c r="I34" s="63" t="s">
        <v>181</v>
      </c>
      <c r="J34" s="64" t="s">
        <v>186</v>
      </c>
      <c r="K34" s="62" t="s">
        <v>21</v>
      </c>
    </row>
    <row r="35" spans="2:11">
      <c r="B35" s="62" t="s">
        <v>119</v>
      </c>
      <c r="C35" s="62" t="s">
        <v>106</v>
      </c>
      <c r="D35" s="62" t="s">
        <v>177</v>
      </c>
      <c r="E35" s="62" t="s">
        <v>177</v>
      </c>
      <c r="F35" s="62" t="s">
        <v>187</v>
      </c>
      <c r="G35" s="62" t="s">
        <v>179</v>
      </c>
      <c r="H35" s="62" t="s">
        <v>180</v>
      </c>
      <c r="I35" s="63" t="s">
        <v>181</v>
      </c>
      <c r="J35" s="64" t="s">
        <v>188</v>
      </c>
      <c r="K35" s="62" t="s">
        <v>21</v>
      </c>
    </row>
    <row r="36" spans="2:11">
      <c r="B36" s="62" t="s">
        <v>119</v>
      </c>
      <c r="C36" s="62" t="s">
        <v>106</v>
      </c>
      <c r="D36" s="62" t="s">
        <v>177</v>
      </c>
      <c r="E36" s="62" t="s">
        <v>177</v>
      </c>
      <c r="F36" s="62" t="s">
        <v>189</v>
      </c>
      <c r="G36" s="62" t="s">
        <v>179</v>
      </c>
      <c r="H36" s="62" t="s">
        <v>180</v>
      </c>
      <c r="I36" s="63" t="s">
        <v>181</v>
      </c>
      <c r="J36" s="64" t="s">
        <v>190</v>
      </c>
      <c r="K36" s="62" t="s">
        <v>21</v>
      </c>
    </row>
    <row r="37" spans="2:11">
      <c r="B37" s="62" t="s">
        <v>119</v>
      </c>
      <c r="C37" s="62" t="s">
        <v>106</v>
      </c>
      <c r="D37" s="62" t="s">
        <v>177</v>
      </c>
      <c r="E37" s="62" t="s">
        <v>177</v>
      </c>
      <c r="F37" s="62" t="s">
        <v>191</v>
      </c>
      <c r="G37" s="62" t="s">
        <v>179</v>
      </c>
      <c r="H37" s="62" t="s">
        <v>180</v>
      </c>
      <c r="I37" s="63" t="s">
        <v>181</v>
      </c>
      <c r="J37" s="64" t="s">
        <v>192</v>
      </c>
      <c r="K37" s="62" t="s">
        <v>21</v>
      </c>
    </row>
    <row r="38" spans="2:11">
      <c r="B38" s="62" t="s">
        <v>119</v>
      </c>
      <c r="C38" s="62" t="s">
        <v>106</v>
      </c>
      <c r="D38" s="62" t="s">
        <v>177</v>
      </c>
      <c r="E38" s="62" t="s">
        <v>177</v>
      </c>
      <c r="F38" s="62" t="s">
        <v>193</v>
      </c>
      <c r="G38" s="62" t="s">
        <v>179</v>
      </c>
      <c r="H38" s="62" t="s">
        <v>180</v>
      </c>
      <c r="I38" s="63" t="s">
        <v>181</v>
      </c>
      <c r="J38" s="64" t="s">
        <v>194</v>
      </c>
      <c r="K38" s="62" t="s">
        <v>21</v>
      </c>
    </row>
    <row r="39" spans="2:11">
      <c r="B39" s="62" t="s">
        <v>119</v>
      </c>
      <c r="C39" s="62" t="s">
        <v>106</v>
      </c>
      <c r="D39" s="62" t="s">
        <v>177</v>
      </c>
      <c r="E39" s="62" t="s">
        <v>177</v>
      </c>
      <c r="F39" s="62" t="s">
        <v>195</v>
      </c>
      <c r="G39" s="62" t="s">
        <v>179</v>
      </c>
      <c r="H39" s="62" t="s">
        <v>180</v>
      </c>
      <c r="I39" s="63" t="s">
        <v>181</v>
      </c>
      <c r="J39" s="64" t="s">
        <v>196</v>
      </c>
      <c r="K39" s="62" t="s">
        <v>21</v>
      </c>
    </row>
    <row r="40" spans="2:11">
      <c r="B40" s="62" t="s">
        <v>119</v>
      </c>
      <c r="C40" s="62" t="s">
        <v>106</v>
      </c>
      <c r="D40" s="62" t="s">
        <v>177</v>
      </c>
      <c r="E40" s="62" t="s">
        <v>177</v>
      </c>
      <c r="F40" s="62" t="s">
        <v>197</v>
      </c>
      <c r="G40" s="62" t="s">
        <v>179</v>
      </c>
      <c r="H40" s="62" t="s">
        <v>180</v>
      </c>
      <c r="I40" s="63" t="s">
        <v>181</v>
      </c>
      <c r="J40" s="64" t="s">
        <v>198</v>
      </c>
      <c r="K40" s="62" t="s">
        <v>21</v>
      </c>
    </row>
    <row r="41" spans="2:11">
      <c r="B41" s="62" t="s">
        <v>119</v>
      </c>
      <c r="C41" s="62" t="s">
        <v>106</v>
      </c>
      <c r="D41" s="62" t="s">
        <v>177</v>
      </c>
      <c r="E41" s="62" t="s">
        <v>177</v>
      </c>
      <c r="F41" s="62" t="s">
        <v>199</v>
      </c>
      <c r="G41" s="62" t="s">
        <v>179</v>
      </c>
      <c r="H41" s="62" t="s">
        <v>180</v>
      </c>
      <c r="I41" s="63" t="s">
        <v>181</v>
      </c>
      <c r="J41" s="64" t="s">
        <v>200</v>
      </c>
      <c r="K41" s="62" t="s">
        <v>21</v>
      </c>
    </row>
    <row r="42" spans="2:11">
      <c r="B42" s="62" t="s">
        <v>119</v>
      </c>
      <c r="C42" s="62" t="s">
        <v>106</v>
      </c>
      <c r="D42" s="62" t="s">
        <v>177</v>
      </c>
      <c r="E42" s="62" t="s">
        <v>177</v>
      </c>
      <c r="F42" s="62" t="s">
        <v>201</v>
      </c>
      <c r="G42" s="62" t="s">
        <v>179</v>
      </c>
      <c r="H42" s="62" t="s">
        <v>180</v>
      </c>
      <c r="I42" s="63" t="s">
        <v>181</v>
      </c>
      <c r="J42" s="64" t="s">
        <v>202</v>
      </c>
      <c r="K42" s="62" t="s">
        <v>21</v>
      </c>
    </row>
    <row r="43" spans="2:11">
      <c r="B43" s="65" t="s">
        <v>119</v>
      </c>
      <c r="C43" s="65" t="s">
        <v>203</v>
      </c>
      <c r="D43" s="65" t="s">
        <v>204</v>
      </c>
      <c r="E43" s="65" t="s">
        <v>205</v>
      </c>
      <c r="F43" s="65" t="s">
        <v>206</v>
      </c>
      <c r="G43" s="65" t="s">
        <v>207</v>
      </c>
      <c r="H43" s="65" t="s">
        <v>208</v>
      </c>
      <c r="I43" s="66" t="s">
        <v>209</v>
      </c>
      <c r="J43" s="67" t="s">
        <v>210</v>
      </c>
      <c r="K43" s="65" t="s">
        <v>21</v>
      </c>
    </row>
    <row r="44" spans="2:11">
      <c r="B44" s="65" t="s">
        <v>119</v>
      </c>
      <c r="C44" s="65" t="s">
        <v>203</v>
      </c>
      <c r="D44" s="65" t="s">
        <v>204</v>
      </c>
      <c r="E44" s="65" t="s">
        <v>205</v>
      </c>
      <c r="F44" s="65" t="s">
        <v>211</v>
      </c>
      <c r="G44" s="65" t="s">
        <v>212</v>
      </c>
      <c r="H44" s="65" t="s">
        <v>208</v>
      </c>
      <c r="I44" s="66" t="s">
        <v>213</v>
      </c>
      <c r="J44" s="67" t="s">
        <v>214</v>
      </c>
      <c r="K44" s="65" t="s">
        <v>21</v>
      </c>
    </row>
    <row r="45" spans="2:11">
      <c r="B45" s="65" t="s">
        <v>119</v>
      </c>
      <c r="C45" s="65" t="s">
        <v>203</v>
      </c>
      <c r="D45" s="65" t="s">
        <v>204</v>
      </c>
      <c r="E45" s="65" t="s">
        <v>205</v>
      </c>
      <c r="F45" s="65" t="s">
        <v>215</v>
      </c>
      <c r="G45" s="65" t="s">
        <v>212</v>
      </c>
      <c r="H45" s="65" t="s">
        <v>208</v>
      </c>
      <c r="I45" s="66" t="s">
        <v>213</v>
      </c>
      <c r="J45" s="67" t="s">
        <v>216</v>
      </c>
      <c r="K45" s="65" t="s">
        <v>21</v>
      </c>
    </row>
    <row r="46" spans="2:11">
      <c r="B46" s="62" t="s">
        <v>119</v>
      </c>
      <c r="C46" s="62" t="s">
        <v>217</v>
      </c>
      <c r="D46" s="62" t="s">
        <v>204</v>
      </c>
      <c r="E46" s="62" t="s">
        <v>218</v>
      </c>
      <c r="F46" s="62" t="s">
        <v>219</v>
      </c>
      <c r="G46" s="62" t="s">
        <v>220</v>
      </c>
      <c r="H46" s="62" t="s">
        <v>221</v>
      </c>
      <c r="I46" s="63" t="s">
        <v>222</v>
      </c>
      <c r="J46" s="64" t="s">
        <v>223</v>
      </c>
      <c r="K46" s="62" t="s">
        <v>21</v>
      </c>
    </row>
    <row r="47" spans="2:11">
      <c r="B47" s="62" t="s">
        <v>119</v>
      </c>
      <c r="C47" s="62" t="s">
        <v>224</v>
      </c>
      <c r="D47" s="62" t="s">
        <v>204</v>
      </c>
      <c r="E47" s="62" t="s">
        <v>218</v>
      </c>
      <c r="F47" s="62" t="s">
        <v>225</v>
      </c>
      <c r="G47" s="62" t="s">
        <v>226</v>
      </c>
      <c r="H47" s="62" t="s">
        <v>221</v>
      </c>
      <c r="I47" s="63" t="s">
        <v>222</v>
      </c>
      <c r="J47" s="64" t="s">
        <v>223</v>
      </c>
      <c r="K47" s="62" t="s">
        <v>21</v>
      </c>
    </row>
    <row r="48" spans="2:11">
      <c r="B48" s="62" t="s">
        <v>119</v>
      </c>
      <c r="C48" s="62" t="s">
        <v>227</v>
      </c>
      <c r="D48" s="62" t="s">
        <v>204</v>
      </c>
      <c r="E48" s="62" t="s">
        <v>218</v>
      </c>
      <c r="F48" s="62" t="s">
        <v>228</v>
      </c>
      <c r="G48" s="62" t="s">
        <v>229</v>
      </c>
      <c r="H48" s="62" t="s">
        <v>221</v>
      </c>
      <c r="I48" s="63" t="s">
        <v>222</v>
      </c>
      <c r="J48" s="64" t="s">
        <v>223</v>
      </c>
      <c r="K48" s="62" t="s">
        <v>21</v>
      </c>
    </row>
    <row r="49" spans="2:11">
      <c r="B49" s="62" t="s">
        <v>119</v>
      </c>
      <c r="C49" s="62" t="s">
        <v>230</v>
      </c>
      <c r="D49" s="62" t="s">
        <v>204</v>
      </c>
      <c r="E49" s="62" t="s">
        <v>218</v>
      </c>
      <c r="F49" s="62" t="s">
        <v>231</v>
      </c>
      <c r="G49" s="62" t="s">
        <v>232</v>
      </c>
      <c r="H49" s="62" t="s">
        <v>221</v>
      </c>
      <c r="I49" s="63" t="s">
        <v>222</v>
      </c>
      <c r="J49" s="64" t="s">
        <v>223</v>
      </c>
      <c r="K49" s="62" t="s">
        <v>21</v>
      </c>
    </row>
    <row r="50" spans="2:11">
      <c r="B50" s="62" t="s">
        <v>119</v>
      </c>
      <c r="C50" s="62" t="s">
        <v>233</v>
      </c>
      <c r="D50" s="62" t="s">
        <v>204</v>
      </c>
      <c r="E50" s="62" t="s">
        <v>218</v>
      </c>
      <c r="F50" s="62" t="s">
        <v>234</v>
      </c>
      <c r="G50" s="62" t="s">
        <v>235</v>
      </c>
      <c r="H50" s="62" t="s">
        <v>221</v>
      </c>
      <c r="I50" s="63" t="s">
        <v>222</v>
      </c>
      <c r="J50" s="64" t="s">
        <v>223</v>
      </c>
      <c r="K50" s="62" t="s">
        <v>21</v>
      </c>
    </row>
    <row r="51" spans="2:11" ht="15"/>
    <row r="52" spans="2:11" ht="15"/>
    <row r="53" spans="2:11" ht="15"/>
    <row r="54" spans="2:11" ht="15"/>
    <row r="55" spans="2:11" ht="15"/>
    <row r="56" spans="2:11" ht="15"/>
  </sheetData>
  <phoneticPr fontId="12" type="noConversion"/>
  <hyperlinks>
    <hyperlink ref="J7" r:id="rId1" xr:uid="{FE1F58C5-8A17-4014-88CF-1D0CD0838A5A}"/>
    <hyperlink ref="J8" r:id="rId2" xr:uid="{E09F4B83-FF2A-41A1-A557-AFFCF2A4AAF1}"/>
    <hyperlink ref="J11" r:id="rId3" xr:uid="{6CAF8537-E34B-4F96-B308-AC3DBF0A7E64}"/>
    <hyperlink ref="J4" r:id="rId4" xr:uid="{D82E9AB8-6DE8-4348-A6AE-08C3DF6F0A1C}"/>
    <hyperlink ref="J32" r:id="rId5" xr:uid="{3F1188E5-F0A3-49C9-B531-C97D42ED1810}"/>
    <hyperlink ref="J43" r:id="rId6" xr:uid="{38555892-E089-420C-BBA8-8A9B11D0B357}"/>
    <hyperlink ref="J44" r:id="rId7" xr:uid="{DBE87ADF-2BD5-4AA3-816F-805171ACCBCB}"/>
    <hyperlink ref="J46" r:id="rId8" xr:uid="{AB862E37-262A-4A02-A01C-BFCD5FAC0F0B}"/>
    <hyperlink ref="J47" r:id="rId9" xr:uid="{7417CB66-DB63-42B4-A929-58332828A472}"/>
    <hyperlink ref="J48" r:id="rId10" xr:uid="{2724A84A-7BBE-450F-B822-DEE4718D3C50}"/>
    <hyperlink ref="J49" r:id="rId11" xr:uid="{B88D2C7D-00D0-43B1-B62A-B54454C27957}"/>
    <hyperlink ref="J50" r:id="rId12" xr:uid="{A4493458-6887-43BC-A7E3-8A58B4A7A3BC}"/>
    <hyperlink ref="J18" r:id="rId13" xr:uid="{0997D81F-45E9-4604-8B27-53C91F978009}"/>
    <hyperlink ref="J19" r:id="rId14" xr:uid="{73A8943C-4AF5-4782-B16A-BCA1C1D8BAD3}"/>
    <hyperlink ref="J9" r:id="rId15" display="https://iadb-ttd.atlassian.net/jira/software/c/projects/CAS/boards/95" xr:uid="{F78C312A-661E-480E-9A56-F9157152057F}"/>
    <hyperlink ref="J10" r:id="rId16" xr:uid="{D36157FA-E93A-46ED-BCCA-030161C46DDF}"/>
    <hyperlink ref="J33" r:id="rId17" display="https://iadb-ttd.atlassian.net/jira/software/c/projects/FR/boards/1660" xr:uid="{FAE812BC-1EC7-478F-BC3C-090FA34E1176}"/>
    <hyperlink ref="J34" r:id="rId18" display="https://iadb-ttd.atlassian.net/jira/software/c/projects/FR/boards/1660" xr:uid="{98B88603-A76E-4EB2-A8D4-563969FA021A}"/>
    <hyperlink ref="J35" r:id="rId19" display="https://iadb-ttd.atlassian.net/jira/software/c/projects/FR/boards/1660" xr:uid="{7024464A-D1C8-45AE-80CA-90C72EE86E18}"/>
    <hyperlink ref="J36" r:id="rId20" display="https://iadb-ttd.atlassian.net/jira/software/c/projects/FR/boards/1660" xr:uid="{D371E805-C406-44CB-BCB8-00D428771AF9}"/>
    <hyperlink ref="J37" r:id="rId21" display="https://iadb-ttd.atlassian.net/jira/software/c/projects/FR/boards/1660" xr:uid="{B1F1B365-D6A0-41DE-98E6-CA9CF1720D32}"/>
    <hyperlink ref="J38" r:id="rId22" display="https://iadb-ttd.atlassian.net/jira/software/c/projects/FR/boards/1660" xr:uid="{68377951-3A5C-4A67-A06C-152B0F12E7CB}"/>
    <hyperlink ref="J39" r:id="rId23" display="https://iadb-ttd.atlassian.net/jira/software/c/projects/FR/boards/1660" xr:uid="{3932CC87-B44D-4D6B-B1BA-6A084D3EBDF8}"/>
    <hyperlink ref="J40" r:id="rId24" display="https://iadb-ttd.atlassian.net/jira/software/c/projects/FR/boards/1660" xr:uid="{1E84B18B-D036-41CF-AAA6-4CA4F9A252FF}"/>
    <hyperlink ref="J41" r:id="rId25" display="https://iadb-ttd.atlassian.net/jira/software/c/projects/FR/boards/1660" xr:uid="{95931484-DB21-4DA9-B92B-85734BB031B0}"/>
    <hyperlink ref="J42" r:id="rId26" display="https://iadb-ttd.atlassian.net/jira/software/c/projects/FR/boards/1660" xr:uid="{B884218E-29E8-4273-9795-A893BF8159A4}"/>
    <hyperlink ref="J45" r:id="rId27" display="https://iadb-ttd.atlassian.net/jira/software/c/projects/CO/boards/802" xr:uid="{3DBA96B9-6D19-4A5F-8E3A-FEE3C8D9C62C}"/>
    <hyperlink ref="J5" r:id="rId28" xr:uid="{AB6A8003-028E-4031-8A71-0D12AD935F68}"/>
  </hyperlinks>
  <pageMargins left="0.7" right="0.7" top="0.75" bottom="0.75" header="0.3" footer="0.3"/>
  <legacyDrawing r:id="rId2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55751-5DA8-4C0E-BFE2-6025776735AB}">
  <dimension ref="B3:AD51"/>
  <sheetViews>
    <sheetView zoomScale="80" zoomScaleNormal="80" workbookViewId="0">
      <selection activeCell="F53" sqref="F53"/>
    </sheetView>
  </sheetViews>
  <sheetFormatPr defaultRowHeight="14.45"/>
  <cols>
    <col min="2" max="2" width="14.42578125" bestFit="1" customWidth="1"/>
    <col min="3" max="3" width="55.140625" bestFit="1" customWidth="1"/>
    <col min="4" max="4" width="34.85546875" style="5" bestFit="1" customWidth="1"/>
    <col min="5" max="5" width="58.42578125" customWidth="1"/>
    <col min="6" max="6" width="12.42578125" bestFit="1" customWidth="1"/>
    <col min="7" max="7" width="30.5703125" bestFit="1" customWidth="1"/>
    <col min="8" max="8" width="15.140625" bestFit="1" customWidth="1"/>
  </cols>
  <sheetData>
    <row r="3" spans="2:30">
      <c r="C3" s="1" t="s">
        <v>0</v>
      </c>
      <c r="D3" s="1" t="s">
        <v>2</v>
      </c>
      <c r="E3" s="1" t="s">
        <v>3</v>
      </c>
    </row>
    <row r="4" spans="2:30" s="1" customFormat="1" ht="29.1">
      <c r="B4" s="2" t="s">
        <v>4</v>
      </c>
      <c r="C4" s="10" t="s">
        <v>236</v>
      </c>
      <c r="D4" s="2" t="s">
        <v>237</v>
      </c>
      <c r="E4" s="2" t="s">
        <v>8</v>
      </c>
      <c r="F4" s="2" t="s">
        <v>11</v>
      </c>
      <c r="G4" s="2" t="s">
        <v>12</v>
      </c>
      <c r="H4" s="2" t="s">
        <v>13</v>
      </c>
      <c r="S4" s="7"/>
      <c r="T4" s="7"/>
      <c r="U4" s="7"/>
      <c r="V4" s="7"/>
    </row>
    <row r="5" spans="2:30">
      <c r="B5" t="s">
        <v>238</v>
      </c>
      <c r="C5" t="s">
        <v>239</v>
      </c>
      <c r="D5" s="6" t="s">
        <v>240</v>
      </c>
      <c r="E5" t="s">
        <v>239</v>
      </c>
      <c r="F5" s="11" t="s">
        <v>241</v>
      </c>
    </row>
    <row r="6" spans="2:30">
      <c r="B6" t="s">
        <v>238</v>
      </c>
      <c r="C6" t="s">
        <v>242</v>
      </c>
      <c r="D6" s="6" t="s">
        <v>240</v>
      </c>
      <c r="E6" t="s">
        <v>242</v>
      </c>
      <c r="F6" s="11" t="s">
        <v>241</v>
      </c>
    </row>
    <row r="7" spans="2:30">
      <c r="B7" t="s">
        <v>238</v>
      </c>
      <c r="C7" t="s">
        <v>243</v>
      </c>
      <c r="D7" s="6" t="s">
        <v>240</v>
      </c>
      <c r="E7" t="s">
        <v>243</v>
      </c>
      <c r="F7" s="11" t="s">
        <v>241</v>
      </c>
    </row>
    <row r="8" spans="2:30" s="3" customFormat="1">
      <c r="B8" t="s">
        <v>238</v>
      </c>
      <c r="C8" s="3" t="s">
        <v>244</v>
      </c>
      <c r="D8" s="6" t="s">
        <v>245</v>
      </c>
      <c r="E8" s="3" t="s">
        <v>246</v>
      </c>
      <c r="F8" s="11" t="s">
        <v>247</v>
      </c>
    </row>
    <row r="9" spans="2:30" s="3" customFormat="1">
      <c r="B9" t="s">
        <v>238</v>
      </c>
      <c r="C9" t="s">
        <v>248</v>
      </c>
      <c r="D9" s="6" t="s">
        <v>249</v>
      </c>
      <c r="E9" s="3" t="s">
        <v>250</v>
      </c>
      <c r="F9" s="11" t="s">
        <v>251</v>
      </c>
    </row>
    <row r="10" spans="2:30" s="3" customFormat="1">
      <c r="B10" t="s">
        <v>238</v>
      </c>
      <c r="C10" t="s">
        <v>248</v>
      </c>
      <c r="D10" s="6" t="s">
        <v>249</v>
      </c>
      <c r="E10" t="s">
        <v>252</v>
      </c>
      <c r="F10" s="11" t="s">
        <v>251</v>
      </c>
    </row>
    <row r="11" spans="2:30">
      <c r="B11" t="s">
        <v>238</v>
      </c>
      <c r="C11" t="s">
        <v>253</v>
      </c>
      <c r="D11" s="6" t="s">
        <v>254</v>
      </c>
      <c r="F11" s="11" t="s">
        <v>255</v>
      </c>
      <c r="M11" s="4"/>
      <c r="P11" s="4"/>
      <c r="Q11" s="4"/>
      <c r="R11" s="4"/>
      <c r="S11" s="4"/>
      <c r="T11" s="4"/>
      <c r="U11" s="4"/>
      <c r="V11" s="4"/>
      <c r="W11" s="4"/>
      <c r="X11" s="4"/>
      <c r="Y11" s="4"/>
      <c r="Z11" s="1"/>
      <c r="AA11" s="1"/>
      <c r="AB11" s="1"/>
      <c r="AC11" s="1"/>
      <c r="AD11" s="1"/>
    </row>
    <row r="12" spans="2:30">
      <c r="B12" t="s">
        <v>238</v>
      </c>
      <c r="C12" t="s">
        <v>256</v>
      </c>
      <c r="D12" s="6" t="s">
        <v>257</v>
      </c>
      <c r="F12" s="11" t="s">
        <v>258</v>
      </c>
    </row>
    <row r="13" spans="2:30">
      <c r="B13" t="s">
        <v>238</v>
      </c>
      <c r="D13" s="8" t="s">
        <v>259</v>
      </c>
      <c r="F13" s="11" t="s">
        <v>258</v>
      </c>
    </row>
    <row r="14" spans="2:30">
      <c r="B14" t="s">
        <v>238</v>
      </c>
      <c r="D14" s="6" t="s">
        <v>260</v>
      </c>
      <c r="E14" t="s">
        <v>237</v>
      </c>
      <c r="F14" s="11" t="s">
        <v>261</v>
      </c>
    </row>
    <row r="15" spans="2:30">
      <c r="D15" s="6" t="s">
        <v>260</v>
      </c>
      <c r="E15" t="s">
        <v>262</v>
      </c>
      <c r="F15" s="11" t="s">
        <v>261</v>
      </c>
    </row>
    <row r="16" spans="2:30">
      <c r="B16" t="s">
        <v>238</v>
      </c>
      <c r="C16" t="s">
        <v>263</v>
      </c>
      <c r="D16" s="6" t="s">
        <v>260</v>
      </c>
      <c r="E16" s="6" t="s">
        <v>264</v>
      </c>
      <c r="F16" s="11" t="s">
        <v>265</v>
      </c>
    </row>
    <row r="17" spans="2:8">
      <c r="B17" t="s">
        <v>238</v>
      </c>
      <c r="C17" t="s">
        <v>266</v>
      </c>
      <c r="D17" s="13" t="s">
        <v>267</v>
      </c>
      <c r="E17" s="6" t="s">
        <v>268</v>
      </c>
      <c r="F17" s="11" t="s">
        <v>269</v>
      </c>
    </row>
    <row r="18" spans="2:8">
      <c r="B18" t="s">
        <v>238</v>
      </c>
      <c r="D18" s="13" t="s">
        <v>267</v>
      </c>
      <c r="E18" s="6" t="s">
        <v>270</v>
      </c>
      <c r="F18" s="11" t="s">
        <v>271</v>
      </c>
    </row>
    <row r="19" spans="2:8">
      <c r="B19" t="s">
        <v>238</v>
      </c>
      <c r="D19" s="13" t="s">
        <v>267</v>
      </c>
      <c r="E19" s="6" t="s">
        <v>272</v>
      </c>
      <c r="F19" s="11" t="s">
        <v>273</v>
      </c>
    </row>
    <row r="20" spans="2:8">
      <c r="B20" t="s">
        <v>238</v>
      </c>
      <c r="D20" s="13" t="s">
        <v>267</v>
      </c>
      <c r="E20" s="8" t="s">
        <v>274</v>
      </c>
      <c r="F20" s="11" t="s">
        <v>275</v>
      </c>
    </row>
    <row r="21" spans="2:8">
      <c r="B21" t="s">
        <v>238</v>
      </c>
      <c r="D21" s="13" t="s">
        <v>267</v>
      </c>
      <c r="E21" s="6" t="s">
        <v>276</v>
      </c>
      <c r="F21" s="11" t="s">
        <v>277</v>
      </c>
    </row>
    <row r="22" spans="2:8">
      <c r="B22" t="s">
        <v>238</v>
      </c>
      <c r="D22" s="6" t="s">
        <v>278</v>
      </c>
      <c r="E22" s="6" t="s">
        <v>206</v>
      </c>
      <c r="F22" s="11" t="s">
        <v>279</v>
      </c>
      <c r="H22" t="s">
        <v>21</v>
      </c>
    </row>
    <row r="23" spans="2:8">
      <c r="B23" t="s">
        <v>238</v>
      </c>
      <c r="D23" s="6" t="s">
        <v>278</v>
      </c>
      <c r="E23" s="6" t="s">
        <v>280</v>
      </c>
      <c r="F23" s="11" t="s">
        <v>279</v>
      </c>
      <c r="H23" t="s">
        <v>21</v>
      </c>
    </row>
    <row r="24" spans="2:8">
      <c r="B24" t="s">
        <v>238</v>
      </c>
      <c r="D24" s="6" t="s">
        <v>278</v>
      </c>
      <c r="E24" s="6" t="s">
        <v>281</v>
      </c>
      <c r="F24" s="11" t="s">
        <v>279</v>
      </c>
      <c r="H24" t="s">
        <v>21</v>
      </c>
    </row>
    <row r="25" spans="2:8">
      <c r="B25" t="s">
        <v>238</v>
      </c>
      <c r="D25" s="6" t="s">
        <v>282</v>
      </c>
      <c r="E25" s="6" t="s">
        <v>283</v>
      </c>
      <c r="F25" s="7" t="s">
        <v>284</v>
      </c>
      <c r="H25" t="s">
        <v>21</v>
      </c>
    </row>
    <row r="26" spans="2:8">
      <c r="B26" t="s">
        <v>238</v>
      </c>
      <c r="D26" s="6" t="s">
        <v>282</v>
      </c>
      <c r="E26" s="6" t="s">
        <v>285</v>
      </c>
      <c r="F26" s="7" t="s">
        <v>284</v>
      </c>
      <c r="H26" t="s">
        <v>21</v>
      </c>
    </row>
    <row r="27" spans="2:8">
      <c r="B27" t="s">
        <v>238</v>
      </c>
      <c r="D27" s="6" t="s">
        <v>282</v>
      </c>
      <c r="E27" s="6" t="s">
        <v>286</v>
      </c>
      <c r="F27" s="7" t="s">
        <v>284</v>
      </c>
      <c r="H27" t="s">
        <v>21</v>
      </c>
    </row>
    <row r="28" spans="2:8">
      <c r="B28" t="s">
        <v>238</v>
      </c>
      <c r="D28" s="8" t="s">
        <v>287</v>
      </c>
      <c r="E28" s="9" t="s">
        <v>288</v>
      </c>
      <c r="F28" s="11" t="s">
        <v>289</v>
      </c>
      <c r="H28" t="s">
        <v>21</v>
      </c>
    </row>
    <row r="29" spans="2:8">
      <c r="B29" t="s">
        <v>238</v>
      </c>
      <c r="D29" s="6" t="s">
        <v>287</v>
      </c>
      <c r="E29" s="9" t="s">
        <v>290</v>
      </c>
      <c r="F29" s="11" t="s">
        <v>289</v>
      </c>
      <c r="H29" t="s">
        <v>21</v>
      </c>
    </row>
    <row r="30" spans="2:8">
      <c r="B30" t="s">
        <v>238</v>
      </c>
      <c r="D30" s="6" t="s">
        <v>287</v>
      </c>
      <c r="E30" s="9" t="s">
        <v>291</v>
      </c>
      <c r="F30" s="11" t="s">
        <v>289</v>
      </c>
      <c r="H30" t="s">
        <v>21</v>
      </c>
    </row>
    <row r="31" spans="2:8">
      <c r="B31" t="s">
        <v>238</v>
      </c>
      <c r="D31" s="6" t="s">
        <v>287</v>
      </c>
      <c r="E31" s="9" t="s">
        <v>292</v>
      </c>
      <c r="F31" s="11" t="s">
        <v>289</v>
      </c>
      <c r="H31" t="s">
        <v>21</v>
      </c>
    </row>
    <row r="32" spans="2:8">
      <c r="B32" t="s">
        <v>238</v>
      </c>
      <c r="D32" s="6" t="s">
        <v>293</v>
      </c>
      <c r="F32" s="11" t="s">
        <v>294</v>
      </c>
      <c r="H32" t="s">
        <v>21</v>
      </c>
    </row>
    <row r="33" spans="2:8" ht="18.75" customHeight="1">
      <c r="B33" t="s">
        <v>238</v>
      </c>
      <c r="D33" s="13" t="s">
        <v>295</v>
      </c>
      <c r="E33" t="s">
        <v>296</v>
      </c>
      <c r="F33" s="11" t="s">
        <v>297</v>
      </c>
      <c r="H33" t="s">
        <v>21</v>
      </c>
    </row>
    <row r="34" spans="2:8" ht="18.75" customHeight="1">
      <c r="B34" t="s">
        <v>238</v>
      </c>
      <c r="D34" s="13" t="s">
        <v>295</v>
      </c>
      <c r="E34" t="s">
        <v>298</v>
      </c>
      <c r="F34" s="11" t="s">
        <v>297</v>
      </c>
      <c r="H34" t="s">
        <v>21</v>
      </c>
    </row>
    <row r="35" spans="2:8" ht="18.75" customHeight="1">
      <c r="B35" t="s">
        <v>238</v>
      </c>
      <c r="D35" s="13" t="s">
        <v>295</v>
      </c>
      <c r="E35" t="s">
        <v>299</v>
      </c>
      <c r="F35" s="11" t="s">
        <v>297</v>
      </c>
      <c r="H35" t="s">
        <v>21</v>
      </c>
    </row>
    <row r="36" spans="2:8" ht="18.75" customHeight="1">
      <c r="B36" t="s">
        <v>238</v>
      </c>
      <c r="D36" s="13" t="s">
        <v>295</v>
      </c>
      <c r="E36" t="s">
        <v>300</v>
      </c>
      <c r="F36" s="11" t="s">
        <v>297</v>
      </c>
      <c r="H36" t="s">
        <v>21</v>
      </c>
    </row>
    <row r="37" spans="2:8" ht="15.75" customHeight="1">
      <c r="B37" t="s">
        <v>238</v>
      </c>
      <c r="D37" s="6" t="s">
        <v>301</v>
      </c>
      <c r="F37" s="12" t="s">
        <v>302</v>
      </c>
      <c r="H37" t="s">
        <v>21</v>
      </c>
    </row>
    <row r="38" spans="2:8" ht="18.75" customHeight="1">
      <c r="B38" t="s">
        <v>238</v>
      </c>
      <c r="D38" s="6" t="s">
        <v>303</v>
      </c>
      <c r="E38" s="57" t="s">
        <v>304</v>
      </c>
      <c r="F38" s="11" t="s">
        <v>305</v>
      </c>
      <c r="H38" t="s">
        <v>21</v>
      </c>
    </row>
    <row r="39" spans="2:8" ht="18.75" customHeight="1">
      <c r="B39" t="s">
        <v>238</v>
      </c>
      <c r="D39" s="6" t="s">
        <v>303</v>
      </c>
      <c r="E39" t="s">
        <v>306</v>
      </c>
      <c r="F39" s="11" t="s">
        <v>305</v>
      </c>
      <c r="H39" t="s">
        <v>21</v>
      </c>
    </row>
    <row r="40" spans="2:8" ht="18.75" customHeight="1">
      <c r="B40" t="s">
        <v>238</v>
      </c>
      <c r="D40" s="6" t="s">
        <v>303</v>
      </c>
      <c r="E40" t="s">
        <v>307</v>
      </c>
      <c r="F40" s="11" t="s">
        <v>305</v>
      </c>
      <c r="H40" t="s">
        <v>21</v>
      </c>
    </row>
    <row r="41" spans="2:8" ht="18.75" customHeight="1">
      <c r="B41" t="s">
        <v>238</v>
      </c>
      <c r="D41" s="6" t="s">
        <v>303</v>
      </c>
      <c r="E41" s="6" t="s">
        <v>308</v>
      </c>
      <c r="F41" s="11" t="s">
        <v>305</v>
      </c>
      <c r="H41" t="s">
        <v>21</v>
      </c>
    </row>
    <row r="42" spans="2:8">
      <c r="B42" t="s">
        <v>238</v>
      </c>
      <c r="D42" s="6" t="s">
        <v>309</v>
      </c>
      <c r="E42" t="s">
        <v>310</v>
      </c>
      <c r="F42" s="7" t="s">
        <v>311</v>
      </c>
      <c r="H42" t="s">
        <v>21</v>
      </c>
    </row>
    <row r="43" spans="2:8">
      <c r="B43" t="s">
        <v>238</v>
      </c>
      <c r="D43" s="6" t="s">
        <v>309</v>
      </c>
      <c r="E43" t="s">
        <v>312</v>
      </c>
      <c r="F43" s="7" t="s">
        <v>311</v>
      </c>
      <c r="H43" t="s">
        <v>21</v>
      </c>
    </row>
    <row r="44" spans="2:8">
      <c r="B44" t="s">
        <v>238</v>
      </c>
      <c r="D44" s="6" t="s">
        <v>309</v>
      </c>
      <c r="E44" t="s">
        <v>313</v>
      </c>
      <c r="F44" s="7" t="s">
        <v>311</v>
      </c>
      <c r="H44" t="s">
        <v>21</v>
      </c>
    </row>
    <row r="45" spans="2:8">
      <c r="B45" t="s">
        <v>238</v>
      </c>
      <c r="D45" s="6" t="s">
        <v>309</v>
      </c>
      <c r="E45" t="s">
        <v>314</v>
      </c>
      <c r="F45" s="7" t="s">
        <v>311</v>
      </c>
      <c r="H45" t="s">
        <v>21</v>
      </c>
    </row>
    <row r="46" spans="2:8">
      <c r="B46" t="s">
        <v>238</v>
      </c>
      <c r="D46" s="6" t="s">
        <v>315</v>
      </c>
      <c r="E46" t="s">
        <v>316</v>
      </c>
      <c r="F46" s="7" t="s">
        <v>317</v>
      </c>
      <c r="H46" t="s">
        <v>21</v>
      </c>
    </row>
    <row r="47" spans="2:8">
      <c r="B47" t="s">
        <v>238</v>
      </c>
      <c r="D47" s="6" t="s">
        <v>315</v>
      </c>
      <c r="E47" t="s">
        <v>318</v>
      </c>
      <c r="F47" s="7" t="s">
        <v>317</v>
      </c>
      <c r="H47" t="s">
        <v>21</v>
      </c>
    </row>
    <row r="48" spans="2:8">
      <c r="B48" t="s">
        <v>238</v>
      </c>
      <c r="D48" s="6" t="s">
        <v>315</v>
      </c>
      <c r="E48" t="s">
        <v>319</v>
      </c>
      <c r="F48" s="7" t="s">
        <v>317</v>
      </c>
      <c r="H48" t="s">
        <v>21</v>
      </c>
    </row>
    <row r="49" spans="2:6">
      <c r="B49" t="s">
        <v>238</v>
      </c>
      <c r="D49" s="6" t="s">
        <v>320</v>
      </c>
      <c r="E49" t="s">
        <v>321</v>
      </c>
      <c r="F49" s="7" t="s">
        <v>322</v>
      </c>
    </row>
    <row r="50" spans="2:6">
      <c r="B50" t="s">
        <v>238</v>
      </c>
      <c r="D50" s="6" t="s">
        <v>320</v>
      </c>
      <c r="E50" t="s">
        <v>323</v>
      </c>
      <c r="F50" s="7" t="s">
        <v>322</v>
      </c>
    </row>
    <row r="51" spans="2:6">
      <c r="B51" t="s">
        <v>238</v>
      </c>
      <c r="D51" s="6" t="s">
        <v>320</v>
      </c>
      <c r="E51" t="s">
        <v>324</v>
      </c>
      <c r="F51" s="7" t="s">
        <v>322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8728-7361-45E9-8BDA-031318420EE4}">
  <sheetPr filterMode="1"/>
  <dimension ref="A1:M33"/>
  <sheetViews>
    <sheetView zoomScale="70" zoomScaleNormal="70" workbookViewId="0">
      <pane ySplit="1" topLeftCell="A3" activePane="bottomLeft" state="frozen"/>
      <selection pane="bottomLeft" activeCell="A3" sqref="A3"/>
    </sheetView>
  </sheetViews>
  <sheetFormatPr defaultColWidth="8.85546875" defaultRowHeight="12.95"/>
  <cols>
    <col min="1" max="1" width="34.42578125" style="31" bestFit="1" customWidth="1"/>
    <col min="2" max="2" width="25.42578125" style="31" bestFit="1" customWidth="1"/>
    <col min="3" max="3" width="75.7109375" style="34" customWidth="1"/>
    <col min="4" max="4" width="12.5703125" style="31" bestFit="1" customWidth="1"/>
    <col min="5" max="5" width="48.28515625" style="31" customWidth="1"/>
    <col min="6" max="6" width="62.42578125" style="31" customWidth="1"/>
    <col min="7" max="7" width="36.28515625" style="31" bestFit="1" customWidth="1"/>
    <col min="8" max="8" width="28.42578125" style="31" customWidth="1"/>
    <col min="9" max="9" width="50.7109375" style="34" customWidth="1"/>
    <col min="10" max="10" width="48.5703125" style="34" customWidth="1"/>
    <col min="11" max="11" width="50.7109375" style="34" customWidth="1"/>
    <col min="12" max="12" width="19.85546875" style="31" bestFit="1" customWidth="1"/>
    <col min="13" max="13" width="23.5703125" style="31" bestFit="1" customWidth="1"/>
    <col min="14" max="16384" width="8.85546875" style="31"/>
  </cols>
  <sheetData>
    <row r="1" spans="1:13" s="16" customFormat="1" ht="29.1">
      <c r="A1" s="14" t="s">
        <v>325</v>
      </c>
      <c r="B1" s="14" t="s">
        <v>326</v>
      </c>
      <c r="C1" s="15" t="s">
        <v>327</v>
      </c>
      <c r="D1" s="14" t="s">
        <v>328</v>
      </c>
      <c r="E1" s="14" t="s">
        <v>329</v>
      </c>
      <c r="F1" s="14" t="s">
        <v>330</v>
      </c>
      <c r="G1" s="14" t="s">
        <v>331</v>
      </c>
      <c r="H1" s="15" t="s">
        <v>332</v>
      </c>
      <c r="I1" s="15" t="s">
        <v>333</v>
      </c>
      <c r="J1" s="15" t="s">
        <v>334</v>
      </c>
      <c r="K1" s="15" t="s">
        <v>335</v>
      </c>
      <c r="L1" s="35" t="s">
        <v>336</v>
      </c>
      <c r="M1" s="35" t="s">
        <v>337</v>
      </c>
    </row>
    <row r="2" spans="1:13" s="22" customFormat="1" ht="363.95" hidden="1">
      <c r="A2" s="17" t="s">
        <v>338</v>
      </c>
      <c r="B2" s="18" t="s">
        <v>339</v>
      </c>
      <c r="C2" s="18" t="s">
        <v>340</v>
      </c>
      <c r="D2" s="17" t="s">
        <v>7</v>
      </c>
      <c r="E2" s="17" t="s">
        <v>341</v>
      </c>
      <c r="F2" s="18" t="s">
        <v>342</v>
      </c>
      <c r="G2" s="24" t="s">
        <v>343</v>
      </c>
      <c r="H2" s="23"/>
      <c r="I2" s="18" t="s">
        <v>344</v>
      </c>
      <c r="J2" s="18" t="s">
        <v>345</v>
      </c>
      <c r="K2" s="18" t="s">
        <v>346</v>
      </c>
      <c r="L2" s="22" t="str">
        <f t="shared" ref="L2:L33" si="0">IF(ISBLANK(H2),"No","Yes")</f>
        <v>No</v>
      </c>
      <c r="M2" s="22" t="str">
        <f>IF(OR(COUNTIF('Finance &amp; Enterprise'!D:D,A2)&gt;0,COUNTIF(Operations!E:E,A2)&gt;0,COUNTIF(Enablers!D:D,A2)&gt;0),"Yes","No")</f>
        <v>No</v>
      </c>
    </row>
    <row r="3" spans="1:13" s="22" customFormat="1" ht="377.1">
      <c r="A3" s="52" t="s">
        <v>295</v>
      </c>
      <c r="B3" s="18" t="s">
        <v>347</v>
      </c>
      <c r="C3" s="18" t="s">
        <v>348</v>
      </c>
      <c r="D3" s="17" t="s">
        <v>237</v>
      </c>
      <c r="E3" s="19" t="s">
        <v>349</v>
      </c>
      <c r="F3" s="18" t="s">
        <v>350</v>
      </c>
      <c r="G3" s="20" t="s">
        <v>351</v>
      </c>
      <c r="H3" s="21" t="s">
        <v>352</v>
      </c>
      <c r="I3" s="18" t="s">
        <v>353</v>
      </c>
      <c r="J3" s="18" t="s">
        <v>354</v>
      </c>
      <c r="K3" s="18" t="s">
        <v>355</v>
      </c>
      <c r="L3" s="22" t="str">
        <f t="shared" si="0"/>
        <v>Yes</v>
      </c>
      <c r="M3" s="22" t="str">
        <f>IF(OR(COUNTIF('Finance &amp; Enterprise'!D:D,A3)&gt;0,COUNTIF(Operations!E:E,A3)&gt;0,COUNTIF(Enablers!D:D,A3)&gt;0),"Yes","No")</f>
        <v>Yes</v>
      </c>
    </row>
    <row r="4" spans="1:13" s="22" customFormat="1" ht="409.5">
      <c r="A4" s="36" t="s">
        <v>293</v>
      </c>
      <c r="B4" s="37" t="s">
        <v>356</v>
      </c>
      <c r="C4" s="37" t="s">
        <v>357</v>
      </c>
      <c r="D4" s="36" t="s">
        <v>237</v>
      </c>
      <c r="E4" s="41" t="s">
        <v>358</v>
      </c>
      <c r="F4" s="37" t="s">
        <v>359</v>
      </c>
      <c r="G4" s="41" t="s">
        <v>360</v>
      </c>
      <c r="H4" s="42"/>
      <c r="I4" s="37" t="s">
        <v>361</v>
      </c>
      <c r="J4" s="37" t="s">
        <v>362</v>
      </c>
      <c r="K4" s="37" t="s">
        <v>363</v>
      </c>
      <c r="L4" s="40" t="str">
        <f t="shared" si="0"/>
        <v>No</v>
      </c>
      <c r="M4" s="40" t="str">
        <f>IF(OR(COUNTIF('Finance &amp; Enterprise'!D:D,A4)&gt;0,COUNTIF(Operations!E:E,A4)&gt;0,COUNTIF(Enablers!D:D,A4)&gt;0),"Yes","No")</f>
        <v>Yes</v>
      </c>
    </row>
    <row r="5" spans="1:13" s="22" customFormat="1" ht="207.95" hidden="1">
      <c r="A5" s="52" t="s">
        <v>147</v>
      </c>
      <c r="B5" s="53" t="s">
        <v>119</v>
      </c>
      <c r="C5" s="53" t="s">
        <v>364</v>
      </c>
      <c r="D5" s="52" t="s">
        <v>7</v>
      </c>
      <c r="E5" s="54" t="s">
        <v>365</v>
      </c>
      <c r="F5" s="53" t="s">
        <v>366</v>
      </c>
      <c r="G5" s="54" t="s">
        <v>367</v>
      </c>
      <c r="H5" s="55"/>
      <c r="I5" s="53" t="s">
        <v>368</v>
      </c>
      <c r="J5" s="53" t="s">
        <v>369</v>
      </c>
      <c r="K5" s="53" t="s">
        <v>370</v>
      </c>
      <c r="L5" s="56" t="str">
        <f t="shared" si="0"/>
        <v>No</v>
      </c>
      <c r="M5" s="56" t="str">
        <f>IF(OR(COUNTIF('Finance &amp; Enterprise'!D:D,A5)&gt;0,COUNTIF(Operations!E:E,A5)&gt;0,COUNTIF(Enablers!D:D,A5)&gt;0),"Yes","No")</f>
        <v>Yes</v>
      </c>
    </row>
    <row r="6" spans="1:13" s="22" customFormat="1" ht="231.95" hidden="1">
      <c r="A6" s="36" t="s">
        <v>26</v>
      </c>
      <c r="B6" s="46" t="s">
        <v>14</v>
      </c>
      <c r="C6" s="37" t="s">
        <v>371</v>
      </c>
      <c r="D6" s="46" t="s">
        <v>7</v>
      </c>
      <c r="E6" s="36" t="s">
        <v>341</v>
      </c>
      <c r="F6" s="48" t="s">
        <v>372</v>
      </c>
      <c r="G6" s="41" t="s">
        <v>373</v>
      </c>
      <c r="H6" s="44" t="s">
        <v>374</v>
      </c>
      <c r="I6" s="48" t="s">
        <v>375</v>
      </c>
      <c r="J6" s="48" t="s">
        <v>376</v>
      </c>
      <c r="K6" s="48" t="s">
        <v>377</v>
      </c>
      <c r="L6" s="47" t="str">
        <f t="shared" si="0"/>
        <v>Yes</v>
      </c>
      <c r="M6" s="47" t="str">
        <f>IF(OR(COUNTIF('Finance &amp; Enterprise'!D:D,A6)&gt;0,COUNTIF(Operations!E:E,A6)&gt;0,COUNTIF(Enablers!D:D,A6)&gt;0),"Yes","No")</f>
        <v>Yes</v>
      </c>
    </row>
    <row r="7" spans="1:13" s="22" customFormat="1" ht="234">
      <c r="A7" s="17" t="s">
        <v>378</v>
      </c>
      <c r="B7" s="18" t="s">
        <v>356</v>
      </c>
      <c r="C7" s="18" t="s">
        <v>379</v>
      </c>
      <c r="D7" s="17" t="s">
        <v>237</v>
      </c>
      <c r="E7" s="19" t="s">
        <v>380</v>
      </c>
      <c r="F7" s="18" t="s">
        <v>381</v>
      </c>
      <c r="G7" s="18" t="s">
        <v>382</v>
      </c>
      <c r="H7" s="23"/>
      <c r="I7" s="18" t="s">
        <v>383</v>
      </c>
      <c r="J7" s="18" t="s">
        <v>384</v>
      </c>
      <c r="K7" s="18" t="s">
        <v>385</v>
      </c>
      <c r="L7" s="22" t="str">
        <f t="shared" si="0"/>
        <v>No</v>
      </c>
      <c r="M7" s="22" t="str">
        <f>IF(OR(COUNTIF('Finance &amp; Enterprise'!D:D,A7)&gt;0,COUNTIF(Operations!E:E,A7)&gt;0,COUNTIF(Enablers!D:D,A7)&gt;0),"Yes","No")</f>
        <v>No</v>
      </c>
    </row>
    <row r="8" spans="1:13" s="22" customFormat="1" ht="246.95">
      <c r="A8" s="17" t="s">
        <v>386</v>
      </c>
      <c r="B8" s="18" t="s">
        <v>356</v>
      </c>
      <c r="C8" s="18" t="s">
        <v>387</v>
      </c>
      <c r="D8" s="17" t="s">
        <v>237</v>
      </c>
      <c r="E8" s="19" t="s">
        <v>388</v>
      </c>
      <c r="F8" s="18" t="s">
        <v>389</v>
      </c>
      <c r="G8" s="24" t="s">
        <v>390</v>
      </c>
      <c r="H8" s="25"/>
      <c r="I8" s="18" t="s">
        <v>391</v>
      </c>
      <c r="J8" s="18" t="s">
        <v>392</v>
      </c>
      <c r="K8" s="18" t="s">
        <v>393</v>
      </c>
      <c r="L8" s="22" t="str">
        <f t="shared" si="0"/>
        <v>No</v>
      </c>
      <c r="M8" s="22" t="str">
        <f>IF(OR(COUNTIF('Finance &amp; Enterprise'!D:D,A8)&gt;0,COUNTIF(Operations!E:E,A8)&gt;0,COUNTIF(Enablers!D:D,A8)&gt;0),"Yes","No")</f>
        <v>No</v>
      </c>
    </row>
    <row r="9" spans="1:13" s="22" customFormat="1" ht="338.1" hidden="1">
      <c r="A9" s="52" t="s">
        <v>394</v>
      </c>
      <c r="B9" s="18" t="s">
        <v>119</v>
      </c>
      <c r="C9" s="17" t="s">
        <v>395</v>
      </c>
      <c r="D9" s="17" t="s">
        <v>7</v>
      </c>
      <c r="E9" s="19" t="s">
        <v>145</v>
      </c>
      <c r="F9" s="18" t="s">
        <v>396</v>
      </c>
      <c r="G9" s="20" t="s">
        <v>397</v>
      </c>
      <c r="H9" s="21"/>
      <c r="I9" s="18" t="s">
        <v>398</v>
      </c>
      <c r="J9" s="18" t="s">
        <v>399</v>
      </c>
      <c r="K9" s="18" t="s">
        <v>400</v>
      </c>
      <c r="L9" s="22" t="str">
        <f t="shared" si="0"/>
        <v>No</v>
      </c>
      <c r="M9" s="22" t="str">
        <f>IF(OR(COUNTIF('Finance &amp; Enterprise'!D:D,A9)&gt;0,COUNTIF(Operations!E:E,A9)&gt;0,COUNTIF(Enablers!D:D,A9)&gt;0),"Yes","No")</f>
        <v>No</v>
      </c>
    </row>
    <row r="10" spans="1:13" s="22" customFormat="1" ht="409.5">
      <c r="A10" s="52" t="s">
        <v>282</v>
      </c>
      <c r="B10" s="18" t="s">
        <v>347</v>
      </c>
      <c r="C10" s="18" t="s">
        <v>401</v>
      </c>
      <c r="D10" s="17" t="s">
        <v>237</v>
      </c>
      <c r="E10" s="17" t="s">
        <v>402</v>
      </c>
      <c r="F10" s="18" t="s">
        <v>403</v>
      </c>
      <c r="G10" s="24" t="s">
        <v>404</v>
      </c>
      <c r="H10" s="23"/>
      <c r="I10" s="18" t="s">
        <v>405</v>
      </c>
      <c r="J10" s="18" t="s">
        <v>406</v>
      </c>
      <c r="K10" s="18" t="s">
        <v>407</v>
      </c>
      <c r="L10" s="22" t="str">
        <f t="shared" si="0"/>
        <v>No</v>
      </c>
      <c r="M10" s="22" t="str">
        <f>IF(OR(COUNTIF('Finance &amp; Enterprise'!D:D,A10)&gt;0,COUNTIF(Operations!E:E,A10)&gt;0,COUNTIF(Enablers!D:D,A10)&gt;0),"Yes","No")</f>
        <v>Yes</v>
      </c>
    </row>
    <row r="11" spans="1:13" s="22" customFormat="1" ht="409.5">
      <c r="A11" s="36" t="s">
        <v>287</v>
      </c>
      <c r="B11" s="37" t="s">
        <v>356</v>
      </c>
      <c r="C11" s="37" t="s">
        <v>408</v>
      </c>
      <c r="D11" s="36" t="s">
        <v>237</v>
      </c>
      <c r="E11" s="38" t="s">
        <v>409</v>
      </c>
      <c r="F11" s="37" t="s">
        <v>410</v>
      </c>
      <c r="G11" s="38" t="s">
        <v>411</v>
      </c>
      <c r="H11" s="39"/>
      <c r="I11" s="37" t="s">
        <v>412</v>
      </c>
      <c r="J11" s="37" t="s">
        <v>413</v>
      </c>
      <c r="K11" s="37" t="s">
        <v>414</v>
      </c>
      <c r="L11" s="40" t="str">
        <f t="shared" si="0"/>
        <v>No</v>
      </c>
      <c r="M11" s="40" t="str">
        <f>IF(OR(COUNTIF('Finance &amp; Enterprise'!D:D,A11)&gt;0,COUNTIF(Operations!E:E,A11)&gt;0,COUNTIF(Enablers!D:D,A11)&gt;0),"Yes","No")</f>
        <v>Yes</v>
      </c>
    </row>
    <row r="12" spans="1:13" s="22" customFormat="1" ht="182.1" hidden="1">
      <c r="A12" s="36" t="s">
        <v>121</v>
      </c>
      <c r="B12" s="37" t="s">
        <v>119</v>
      </c>
      <c r="C12" s="37" t="s">
        <v>415</v>
      </c>
      <c r="D12" s="36" t="s">
        <v>7</v>
      </c>
      <c r="E12" s="41" t="s">
        <v>127</v>
      </c>
      <c r="F12" s="37" t="s">
        <v>416</v>
      </c>
      <c r="G12" s="41" t="s">
        <v>417</v>
      </c>
      <c r="H12" s="39"/>
      <c r="I12" s="37" t="s">
        <v>418</v>
      </c>
      <c r="J12" s="37" t="s">
        <v>419</v>
      </c>
      <c r="K12" s="37" t="s">
        <v>420</v>
      </c>
      <c r="L12" s="40" t="str">
        <f t="shared" si="0"/>
        <v>No</v>
      </c>
      <c r="M12" s="40" t="str">
        <f>IF(OR(COUNTIF('Finance &amp; Enterprise'!D:D,A12)&gt;0,COUNTIF(Operations!E:E,A12)&gt;0,COUNTIF(Enablers!D:D,A12)&gt;0),"Yes","No")</f>
        <v>Yes</v>
      </c>
    </row>
    <row r="13" spans="1:13" s="22" customFormat="1" ht="402.95" hidden="1">
      <c r="A13" s="17" t="s">
        <v>421</v>
      </c>
      <c r="B13" s="18" t="s">
        <v>339</v>
      </c>
      <c r="C13" s="18" t="s">
        <v>422</v>
      </c>
      <c r="D13" s="17" t="s">
        <v>7</v>
      </c>
      <c r="E13" s="17" t="s">
        <v>341</v>
      </c>
      <c r="F13" s="18" t="s">
        <v>423</v>
      </c>
      <c r="G13" s="24" t="s">
        <v>424</v>
      </c>
      <c r="H13" s="23"/>
      <c r="I13" s="18" t="s">
        <v>425</v>
      </c>
      <c r="J13" s="18" t="s">
        <v>345</v>
      </c>
      <c r="K13" s="18" t="s">
        <v>426</v>
      </c>
      <c r="L13" s="22" t="str">
        <f t="shared" si="0"/>
        <v>No</v>
      </c>
      <c r="M13" s="22" t="str">
        <f>IF(OR(COUNTIF('Finance &amp; Enterprise'!D:D,A13)&gt;0,COUNTIF(Operations!E:E,A13)&gt;0,COUNTIF(Enablers!D:D,A13)&gt;0),"Yes","No")</f>
        <v>No</v>
      </c>
    </row>
    <row r="14" spans="1:13" s="22" customFormat="1" ht="51.95">
      <c r="A14" s="17" t="s">
        <v>427</v>
      </c>
      <c r="B14" s="18" t="s">
        <v>428</v>
      </c>
      <c r="C14" s="18" t="s">
        <v>429</v>
      </c>
      <c r="D14" s="17" t="s">
        <v>237</v>
      </c>
      <c r="E14" s="26" t="s">
        <v>341</v>
      </c>
      <c r="F14" s="18" t="s">
        <v>430</v>
      </c>
      <c r="G14" s="24" t="s">
        <v>431</v>
      </c>
      <c r="H14" s="23"/>
      <c r="I14" s="18" t="s">
        <v>432</v>
      </c>
      <c r="J14" s="18" t="s">
        <v>433</v>
      </c>
      <c r="K14" s="18" t="s">
        <v>434</v>
      </c>
      <c r="L14" s="22" t="str">
        <f t="shared" si="0"/>
        <v>No</v>
      </c>
      <c r="M14" s="22" t="str">
        <f>IF(OR(COUNTIF('Finance &amp; Enterprise'!D:D,A14)&gt;0,COUNTIF(Operations!E:E,A14)&gt;0,COUNTIF(Enablers!D:D,A14)&gt;0),"Yes","No")</f>
        <v>No</v>
      </c>
    </row>
    <row r="15" spans="1:13" s="22" customFormat="1" ht="234" hidden="1">
      <c r="A15" s="17" t="s">
        <v>435</v>
      </c>
      <c r="B15" s="18" t="s">
        <v>436</v>
      </c>
      <c r="C15" s="18" t="s">
        <v>437</v>
      </c>
      <c r="D15" s="30" t="s">
        <v>7</v>
      </c>
      <c r="E15" s="30" t="s">
        <v>341</v>
      </c>
      <c r="F15" s="18" t="s">
        <v>438</v>
      </c>
      <c r="G15" s="24" t="s">
        <v>439</v>
      </c>
      <c r="H15" s="28" t="s">
        <v>440</v>
      </c>
      <c r="I15" s="18" t="s">
        <v>441</v>
      </c>
      <c r="J15" s="18" t="s">
        <v>442</v>
      </c>
      <c r="K15" s="18" t="s">
        <v>443</v>
      </c>
      <c r="L15" s="31" t="str">
        <f t="shared" si="0"/>
        <v>Yes</v>
      </c>
      <c r="M15" s="31" t="str">
        <f>IF(OR(COUNTIF('Finance &amp; Enterprise'!D:D,A15)&gt;0,COUNTIF(Operations!E:E,A15)&gt;0,COUNTIF(Enablers!D:D,A15)&gt;0),"Yes","No")</f>
        <v>No</v>
      </c>
    </row>
    <row r="16" spans="1:13" s="22" customFormat="1" ht="234" hidden="1">
      <c r="A16" s="17" t="s">
        <v>444</v>
      </c>
      <c r="B16" s="18" t="s">
        <v>445</v>
      </c>
      <c r="C16" s="18" t="s">
        <v>446</v>
      </c>
      <c r="D16" s="17" t="s">
        <v>7</v>
      </c>
      <c r="E16" s="17" t="s">
        <v>341</v>
      </c>
      <c r="F16" s="18" t="s">
        <v>447</v>
      </c>
      <c r="G16" s="24" t="s">
        <v>448</v>
      </c>
      <c r="H16" s="23"/>
      <c r="I16" s="18" t="s">
        <v>449</v>
      </c>
      <c r="J16" s="18" t="s">
        <v>450</v>
      </c>
      <c r="K16" s="18" t="s">
        <v>451</v>
      </c>
      <c r="L16" s="22" t="str">
        <f t="shared" si="0"/>
        <v>No</v>
      </c>
      <c r="M16" s="22" t="str">
        <f>IF(OR(COUNTIF('Finance &amp; Enterprise'!D:D,A16)&gt;0,COUNTIF(Operations!E:E,A16)&gt;0,COUNTIF(Enablers!D:D,A16)&gt;0),"Yes","No")</f>
        <v>No</v>
      </c>
    </row>
    <row r="17" spans="1:13" s="22" customFormat="1" ht="174" hidden="1">
      <c r="A17" s="36" t="s">
        <v>32</v>
      </c>
      <c r="B17" s="46" t="s">
        <v>14</v>
      </c>
      <c r="C17" s="37" t="s">
        <v>452</v>
      </c>
      <c r="D17" s="46" t="s">
        <v>7</v>
      </c>
      <c r="E17" s="36" t="s">
        <v>341</v>
      </c>
      <c r="F17" s="48" t="s">
        <v>453</v>
      </c>
      <c r="G17" s="41" t="s">
        <v>373</v>
      </c>
      <c r="H17" s="45" t="s">
        <v>454</v>
      </c>
      <c r="I17" s="48" t="s">
        <v>455</v>
      </c>
      <c r="J17" s="48" t="s">
        <v>456</v>
      </c>
      <c r="K17" s="48" t="s">
        <v>457</v>
      </c>
      <c r="L17" s="47" t="str">
        <f t="shared" si="0"/>
        <v>Yes</v>
      </c>
      <c r="M17" s="47" t="str">
        <f>IF(OR(COUNTIF('Finance &amp; Enterprise'!D:D,A17)&gt;0,COUNTIF(Operations!E:E,A17)&gt;0,COUNTIF(Enablers!D:D,A17)&gt;0),"Yes","No")</f>
        <v>Yes</v>
      </c>
    </row>
    <row r="18" spans="1:13" s="22" customFormat="1" ht="312" hidden="1">
      <c r="A18" s="36" t="s">
        <v>177</v>
      </c>
      <c r="B18" s="37" t="s">
        <v>119</v>
      </c>
      <c r="C18" s="37" t="s">
        <v>458</v>
      </c>
      <c r="D18" s="36" t="s">
        <v>7</v>
      </c>
      <c r="E18" s="36" t="s">
        <v>341</v>
      </c>
      <c r="F18" s="37" t="s">
        <v>459</v>
      </c>
      <c r="G18" s="41" t="s">
        <v>417</v>
      </c>
      <c r="H18" s="42"/>
      <c r="I18" s="37" t="s">
        <v>460</v>
      </c>
      <c r="J18" s="37" t="s">
        <v>461</v>
      </c>
      <c r="K18" s="37" t="s">
        <v>462</v>
      </c>
      <c r="L18" s="40" t="str">
        <f t="shared" si="0"/>
        <v>No</v>
      </c>
      <c r="M18" s="40" t="str">
        <f>IF(OR(COUNTIF('Finance &amp; Enterprise'!D:D,A18)&gt;0,COUNTIF(Operations!E:E,A18)&gt;0,COUNTIF(Enablers!D:D,A18)&gt;0),"Yes","No")</f>
        <v>Yes</v>
      </c>
    </row>
    <row r="19" spans="1:13" s="22" customFormat="1" ht="409.5" hidden="1">
      <c r="A19" s="36" t="s">
        <v>16</v>
      </c>
      <c r="B19" s="36" t="s">
        <v>14</v>
      </c>
      <c r="C19" s="37" t="s">
        <v>463</v>
      </c>
      <c r="D19" s="36" t="s">
        <v>7</v>
      </c>
      <c r="E19" s="41" t="s">
        <v>464</v>
      </c>
      <c r="F19" s="37" t="s">
        <v>465</v>
      </c>
      <c r="G19" s="41" t="s">
        <v>466</v>
      </c>
      <c r="H19" s="44" t="s">
        <v>467</v>
      </c>
      <c r="I19" s="37" t="s">
        <v>468</v>
      </c>
      <c r="J19" s="37" t="s">
        <v>469</v>
      </c>
      <c r="K19" s="37" t="s">
        <v>470</v>
      </c>
      <c r="L19" s="40" t="str">
        <f t="shared" si="0"/>
        <v>Yes</v>
      </c>
      <c r="M19" s="40" t="str">
        <f>IF(OR(COUNTIF('Finance &amp; Enterprise'!D:D,A19)&gt;0,COUNTIF(Operations!E:E,A19)&gt;0,COUNTIF(Enablers!D:D,A19)&gt;0),"Yes","No")</f>
        <v>Yes</v>
      </c>
    </row>
    <row r="20" spans="1:13" s="22" customFormat="1" ht="260.10000000000002">
      <c r="A20" s="52" t="s">
        <v>309</v>
      </c>
      <c r="B20" s="18" t="s">
        <v>428</v>
      </c>
      <c r="C20" s="18" t="s">
        <v>471</v>
      </c>
      <c r="D20" s="17" t="s">
        <v>237</v>
      </c>
      <c r="E20" s="19" t="s">
        <v>472</v>
      </c>
      <c r="F20" s="18" t="s">
        <v>473</v>
      </c>
      <c r="G20" s="27" t="s">
        <v>474</v>
      </c>
      <c r="H20" s="28"/>
      <c r="I20" s="18" t="s">
        <v>475</v>
      </c>
      <c r="J20" s="18" t="s">
        <v>476</v>
      </c>
      <c r="K20" s="18" t="s">
        <v>477</v>
      </c>
      <c r="L20" s="22" t="str">
        <f t="shared" si="0"/>
        <v>No</v>
      </c>
      <c r="M20" s="22" t="str">
        <f>IF(OR(COUNTIF('Finance &amp; Enterprise'!D:D,A20)&gt;0,COUNTIF(Operations!E:E,A20)&gt;0,COUNTIF(Enablers!D:D,A20)&gt;0),"Yes","No")</f>
        <v>Yes</v>
      </c>
    </row>
    <row r="21" spans="1:13" s="22" customFormat="1" ht="144.94999999999999" hidden="1">
      <c r="A21" s="52" t="s">
        <v>278</v>
      </c>
      <c r="B21" s="17" t="s">
        <v>347</v>
      </c>
      <c r="C21" s="33" t="s">
        <v>478</v>
      </c>
      <c r="D21" s="17"/>
      <c r="E21" s="17"/>
      <c r="F21" s="17"/>
      <c r="G21" s="17"/>
      <c r="H21" s="51" t="s">
        <v>479</v>
      </c>
      <c r="I21" s="33" t="s">
        <v>480</v>
      </c>
      <c r="J21" s="33" t="s">
        <v>481</v>
      </c>
      <c r="K21" s="33" t="s">
        <v>482</v>
      </c>
      <c r="L21" s="22" t="str">
        <f t="shared" si="0"/>
        <v>Yes</v>
      </c>
      <c r="M21" s="22" t="str">
        <f>IF(OR(COUNTIF('Finance &amp; Enterprise'!D:D,A21)&gt;0,COUNTIF(Operations!E:E,A21)&gt;0,COUNTIF(Enablers!D:D,A21)&gt;0),"Yes","No")</f>
        <v>Yes</v>
      </c>
    </row>
    <row r="22" spans="1:13" s="22" customFormat="1" ht="409.5" hidden="1">
      <c r="A22" s="36" t="s">
        <v>39</v>
      </c>
      <c r="B22" s="36" t="s">
        <v>14</v>
      </c>
      <c r="C22" s="37" t="s">
        <v>483</v>
      </c>
      <c r="D22" s="36" t="s">
        <v>7</v>
      </c>
      <c r="E22" s="37" t="s">
        <v>484</v>
      </c>
      <c r="F22" s="37" t="s">
        <v>485</v>
      </c>
      <c r="G22" s="38" t="s">
        <v>486</v>
      </c>
      <c r="H22" s="45" t="s">
        <v>487</v>
      </c>
      <c r="I22" s="37" t="s">
        <v>488</v>
      </c>
      <c r="J22" s="37" t="s">
        <v>489</v>
      </c>
      <c r="K22" s="37" t="s">
        <v>490</v>
      </c>
      <c r="L22" s="40" t="str">
        <f t="shared" si="0"/>
        <v>Yes</v>
      </c>
      <c r="M22" s="40" t="str">
        <f>IF(OR(COUNTIF('Finance &amp; Enterprise'!D:D,A22)&gt;0,COUNTIF(Operations!E:E,A22)&gt;0,COUNTIF(Enablers!D:D,A22)&gt;0),"Yes","No")</f>
        <v>Yes</v>
      </c>
    </row>
    <row r="23" spans="1:13" s="22" customFormat="1" ht="221.1" hidden="1">
      <c r="A23" s="52" t="s">
        <v>96</v>
      </c>
      <c r="B23" s="18" t="s">
        <v>339</v>
      </c>
      <c r="C23" s="18" t="s">
        <v>491</v>
      </c>
      <c r="D23" s="17" t="s">
        <v>7</v>
      </c>
      <c r="E23" s="17" t="s">
        <v>341</v>
      </c>
      <c r="F23" s="18" t="s">
        <v>492</v>
      </c>
      <c r="G23" s="24" t="s">
        <v>493</v>
      </c>
      <c r="H23" s="23"/>
      <c r="I23" s="18" t="s">
        <v>494</v>
      </c>
      <c r="J23" s="18" t="s">
        <v>495</v>
      </c>
      <c r="K23" s="18" t="s">
        <v>496</v>
      </c>
      <c r="L23" s="22" t="str">
        <f t="shared" si="0"/>
        <v>No</v>
      </c>
      <c r="M23" s="22" t="str">
        <f>IF(OR(COUNTIF('Finance &amp; Enterprise'!D:D,A23)&gt;0,COUNTIF(Operations!E:E,A23)&gt;0,COUNTIF(Enablers!D:D,A23)&gt;0),"Yes","No")</f>
        <v>Yes</v>
      </c>
    </row>
    <row r="24" spans="1:13" s="22" customFormat="1" ht="273" hidden="1">
      <c r="A24" s="36" t="s">
        <v>131</v>
      </c>
      <c r="B24" s="37" t="s">
        <v>119</v>
      </c>
      <c r="C24" s="37" t="s">
        <v>497</v>
      </c>
      <c r="D24" s="36" t="s">
        <v>7</v>
      </c>
      <c r="E24" s="43" t="s">
        <v>498</v>
      </c>
      <c r="F24" s="37" t="s">
        <v>499</v>
      </c>
      <c r="G24" s="38" t="s">
        <v>500</v>
      </c>
      <c r="H24" s="42"/>
      <c r="I24" s="37" t="s">
        <v>501</v>
      </c>
      <c r="J24" s="37" t="s">
        <v>502</v>
      </c>
      <c r="K24" s="37" t="s">
        <v>503</v>
      </c>
      <c r="L24" s="40" t="str">
        <f t="shared" si="0"/>
        <v>No</v>
      </c>
      <c r="M24" s="40" t="str">
        <f>IF(OR(COUNTIF('Finance &amp; Enterprise'!D:D,A24)&gt;0,COUNTIF(Operations!E:E,A24)&gt;0,COUNTIF(Enablers!D:D,A24)&gt;0),"Yes","No")</f>
        <v>Yes</v>
      </c>
    </row>
    <row r="25" spans="1:13" s="22" customFormat="1" ht="338.1" hidden="1">
      <c r="A25" s="36" t="s">
        <v>504</v>
      </c>
      <c r="B25" s="36" t="s">
        <v>14</v>
      </c>
      <c r="C25" s="37" t="s">
        <v>505</v>
      </c>
      <c r="D25" s="36" t="s">
        <v>7</v>
      </c>
      <c r="E25" s="41" t="s">
        <v>506</v>
      </c>
      <c r="F25" s="37" t="s">
        <v>507</v>
      </c>
      <c r="G25" s="41" t="s">
        <v>508</v>
      </c>
      <c r="H25" s="45" t="s">
        <v>509</v>
      </c>
      <c r="I25" s="37" t="s">
        <v>510</v>
      </c>
      <c r="J25" s="37" t="s">
        <v>511</v>
      </c>
      <c r="K25" s="37" t="s">
        <v>512</v>
      </c>
      <c r="L25" s="40" t="str">
        <f t="shared" si="0"/>
        <v>Yes</v>
      </c>
      <c r="M25" s="40" t="str">
        <f>IF(OR(COUNTIF('Finance &amp; Enterprise'!D:D,A25)&gt;0,COUNTIF(Operations!E:E,A25)&gt;0,COUNTIF(Enablers!D:D,A25)&gt;0),"Yes","No")</f>
        <v>No</v>
      </c>
    </row>
    <row r="26" spans="1:13" s="22" customFormat="1" ht="351" hidden="1">
      <c r="A26" s="36" t="s">
        <v>115</v>
      </c>
      <c r="B26" s="36" t="s">
        <v>14</v>
      </c>
      <c r="C26" s="37" t="s">
        <v>513</v>
      </c>
      <c r="D26" s="36" t="s">
        <v>7</v>
      </c>
      <c r="E26" s="36" t="s">
        <v>341</v>
      </c>
      <c r="F26" s="37" t="s">
        <v>514</v>
      </c>
      <c r="G26" s="41" t="s">
        <v>515</v>
      </c>
      <c r="H26" s="42" t="s">
        <v>516</v>
      </c>
      <c r="I26" s="37" t="s">
        <v>517</v>
      </c>
      <c r="J26" s="37" t="s">
        <v>518</v>
      </c>
      <c r="K26" s="37" t="s">
        <v>519</v>
      </c>
      <c r="L26" s="40" t="str">
        <f t="shared" si="0"/>
        <v>Yes</v>
      </c>
      <c r="M26" s="40" t="str">
        <f>IF(OR(COUNTIF('Finance &amp; Enterprise'!D:D,A26)&gt;0,COUNTIF(Operations!E:E,A26)&gt;0,COUNTIF(Enablers!D:D,A26)&gt;0),"Yes","No")</f>
        <v>Yes</v>
      </c>
    </row>
    <row r="27" spans="1:13" s="22" customFormat="1" ht="168.95" hidden="1">
      <c r="A27" s="36" t="s">
        <v>87</v>
      </c>
      <c r="B27" s="36" t="s">
        <v>14</v>
      </c>
      <c r="C27" s="37" t="s">
        <v>520</v>
      </c>
      <c r="D27" s="36" t="s">
        <v>7</v>
      </c>
      <c r="E27" s="41" t="s">
        <v>521</v>
      </c>
      <c r="F27" s="37" t="s">
        <v>522</v>
      </c>
      <c r="G27" s="41" t="s">
        <v>523</v>
      </c>
      <c r="H27" s="42" t="s">
        <v>516</v>
      </c>
      <c r="I27" s="37" t="s">
        <v>524</v>
      </c>
      <c r="J27" s="37" t="s">
        <v>525</v>
      </c>
      <c r="K27" s="37" t="s">
        <v>526</v>
      </c>
      <c r="L27" s="40" t="str">
        <f t="shared" si="0"/>
        <v>Yes</v>
      </c>
      <c r="M27" s="40" t="str">
        <f>IF(OR(COUNTIF('Finance &amp; Enterprise'!D:D,A27)&gt;0,COUNTIF(Operations!E:E,A27)&gt;0,COUNTIF(Enablers!D:D,A27)&gt;0),"Yes","No")</f>
        <v>Yes</v>
      </c>
    </row>
    <row r="28" spans="1:13" s="22" customFormat="1" ht="409.5">
      <c r="A28" s="52" t="s">
        <v>303</v>
      </c>
      <c r="B28" s="18" t="s">
        <v>527</v>
      </c>
      <c r="C28" s="18" t="s">
        <v>528</v>
      </c>
      <c r="D28" s="17" t="s">
        <v>237</v>
      </c>
      <c r="E28" s="17" t="s">
        <v>341</v>
      </c>
      <c r="F28" s="17" t="s">
        <v>529</v>
      </c>
      <c r="G28" s="19" t="s">
        <v>530</v>
      </c>
      <c r="H28" s="25"/>
      <c r="I28" s="18" t="s">
        <v>531</v>
      </c>
      <c r="J28" s="29" t="s">
        <v>532</v>
      </c>
      <c r="K28" s="18" t="s">
        <v>533</v>
      </c>
      <c r="L28" s="22" t="str">
        <f t="shared" si="0"/>
        <v>No</v>
      </c>
      <c r="M28" s="22" t="str">
        <f>IF(OR(COUNTIF('Finance &amp; Enterprise'!D:D,A28)&gt;0,COUNTIF(Operations!E:E,A28)&gt;0,COUNTIF(Enablers!D:D,A28)&gt;0),"Yes","No")</f>
        <v>Yes</v>
      </c>
    </row>
    <row r="29" spans="1:13" ht="285.95" hidden="1">
      <c r="A29" s="52" t="s">
        <v>534</v>
      </c>
      <c r="B29" s="17" t="s">
        <v>14</v>
      </c>
      <c r="C29" s="18" t="s">
        <v>535</v>
      </c>
      <c r="D29" s="17" t="s">
        <v>7</v>
      </c>
      <c r="E29" s="17" t="s">
        <v>341</v>
      </c>
      <c r="F29" s="18" t="s">
        <v>536</v>
      </c>
      <c r="G29" s="24" t="s">
        <v>537</v>
      </c>
      <c r="H29" s="21" t="s">
        <v>538</v>
      </c>
      <c r="I29" s="18" t="s">
        <v>539</v>
      </c>
      <c r="J29" s="18" t="s">
        <v>540</v>
      </c>
      <c r="K29" s="18" t="s">
        <v>541</v>
      </c>
      <c r="L29" s="22" t="str">
        <f t="shared" si="0"/>
        <v>Yes</v>
      </c>
      <c r="M29" s="22" t="str">
        <f>IF(OR(COUNTIF('Finance &amp; Enterprise'!D:D,A29)&gt;0,COUNTIF(Operations!E:E,A29)&gt;0,COUNTIF(Enablers!D:D,A29)&gt;0),"Yes","No")</f>
        <v>No</v>
      </c>
    </row>
    <row r="30" spans="1:13" s="22" customFormat="1" ht="182.1" hidden="1">
      <c r="A30" s="52" t="s">
        <v>204</v>
      </c>
      <c r="B30" s="17" t="s">
        <v>119</v>
      </c>
      <c r="C30" s="18" t="s">
        <v>542</v>
      </c>
      <c r="D30" s="17" t="s">
        <v>7</v>
      </c>
      <c r="E30" s="27" t="s">
        <v>543</v>
      </c>
      <c r="F30" s="18" t="s">
        <v>544</v>
      </c>
      <c r="G30" s="19" t="s">
        <v>545</v>
      </c>
      <c r="H30" s="25"/>
      <c r="I30" s="18" t="s">
        <v>546</v>
      </c>
      <c r="J30" s="18" t="s">
        <v>547</v>
      </c>
      <c r="K30" s="18" t="s">
        <v>548</v>
      </c>
      <c r="L30" s="22" t="str">
        <f t="shared" si="0"/>
        <v>No</v>
      </c>
      <c r="M30" s="22" t="str">
        <f>IF(OR(COUNTIF('Finance &amp; Enterprise'!D:D,A30)&gt;0,COUNTIF(Operations!E:E,A30)&gt;0,COUNTIF(Enablers!D:D,A30)&gt;0),"Yes","No")</f>
        <v>Yes</v>
      </c>
    </row>
    <row r="31" spans="1:13" ht="195">
      <c r="A31" s="36" t="s">
        <v>301</v>
      </c>
      <c r="B31" s="37" t="s">
        <v>356</v>
      </c>
      <c r="C31" s="37" t="s">
        <v>549</v>
      </c>
      <c r="D31" s="36" t="s">
        <v>237</v>
      </c>
      <c r="E31" s="41" t="s">
        <v>550</v>
      </c>
      <c r="F31" s="49" t="s">
        <v>551</v>
      </c>
      <c r="G31" s="40" t="s">
        <v>552</v>
      </c>
      <c r="H31" s="40"/>
      <c r="I31" s="49" t="s">
        <v>553</v>
      </c>
      <c r="J31" s="49" t="s">
        <v>554</v>
      </c>
      <c r="K31" s="49" t="s">
        <v>555</v>
      </c>
      <c r="L31" s="40" t="str">
        <f t="shared" si="0"/>
        <v>No</v>
      </c>
      <c r="M31" s="40" t="str">
        <f>IF(OR(COUNTIF('Finance &amp; Enterprise'!D:D,A31)&gt;0,COUNTIF(Operations!E:E,A31)&gt;0,COUNTIF(Enablers!D:D,A31)&gt;0),"Yes","No")</f>
        <v>Yes</v>
      </c>
    </row>
    <row r="32" spans="1:13" ht="409.5">
      <c r="A32" s="52" t="s">
        <v>315</v>
      </c>
      <c r="B32" s="18" t="s">
        <v>347</v>
      </c>
      <c r="C32" s="18" t="s">
        <v>556</v>
      </c>
      <c r="D32" s="17" t="s">
        <v>237</v>
      </c>
      <c r="E32" s="17" t="s">
        <v>557</v>
      </c>
      <c r="F32" s="34" t="s">
        <v>558</v>
      </c>
      <c r="G32" s="32" t="s">
        <v>559</v>
      </c>
      <c r="H32" s="50" t="s">
        <v>560</v>
      </c>
      <c r="I32" s="34" t="s">
        <v>561</v>
      </c>
      <c r="J32" s="34" t="s">
        <v>562</v>
      </c>
      <c r="K32" s="34" t="s">
        <v>563</v>
      </c>
      <c r="L32" s="22" t="str">
        <f t="shared" si="0"/>
        <v>Yes</v>
      </c>
      <c r="M32" s="22" t="str">
        <f>IF(OR(COUNTIF('Finance &amp; Enterprise'!D:D,A32)&gt;0,COUNTIF(Operations!E:E,A32)&gt;0,COUNTIF(Enablers!D:D,A32)&gt;0),"Yes","No")</f>
        <v>Yes</v>
      </c>
    </row>
    <row r="33" spans="1:13" s="22" customFormat="1" ht="409.5" hidden="1">
      <c r="A33" s="52" t="s">
        <v>564</v>
      </c>
      <c r="B33" s="18" t="s">
        <v>119</v>
      </c>
      <c r="C33" s="18" t="s">
        <v>565</v>
      </c>
      <c r="D33" s="17" t="s">
        <v>7</v>
      </c>
      <c r="E33" s="19" t="s">
        <v>566</v>
      </c>
      <c r="F33" s="18" t="s">
        <v>567</v>
      </c>
      <c r="G33" s="17" t="s">
        <v>568</v>
      </c>
      <c r="I33" s="34" t="s">
        <v>569</v>
      </c>
      <c r="J33" s="34" t="s">
        <v>570</v>
      </c>
      <c r="K33" s="34" t="s">
        <v>571</v>
      </c>
      <c r="L33" s="22" t="str">
        <f t="shared" si="0"/>
        <v>No</v>
      </c>
      <c r="M33" s="22" t="str">
        <f>IF(OR(COUNTIF('Finance &amp; Enterprise'!D:D,A33)&gt;0,COUNTIF(Operations!E:E,A33)&gt;0,COUNTIF(Enablers!D:D,A33)&gt;0),"Yes","No")</f>
        <v>No</v>
      </c>
    </row>
  </sheetData>
  <autoFilter ref="A1:M33" xr:uid="{B2148728-7361-45E9-8BDA-031318420EE4}">
    <filterColumn colId="3">
      <filters>
        <filter val="Enabler"/>
      </filters>
    </filterColumn>
    <sortState xmlns:xlrd2="http://schemas.microsoft.com/office/spreadsheetml/2017/richdata2" ref="A2:M33">
      <sortCondition ref="A1"/>
    </sortState>
  </autoFilter>
  <hyperlinks>
    <hyperlink ref="E3" r:id="rId1" xr:uid="{261E7456-DD7C-4E85-A8D0-B2869A140AC3}"/>
    <hyperlink ref="E32" r:id="rId2" xr:uid="{EE2BDDB4-0530-4575-A8C6-1532720AD8F2}"/>
    <hyperlink ref="E10" r:id="rId3" xr:uid="{19C2EC04-D370-491A-8CD3-EC351E180B3C}"/>
    <hyperlink ref="E11" r:id="rId4" xr:uid="{C6BE780B-DA43-41AD-9718-BFC91234C49F}"/>
    <hyperlink ref="G11" r:id="rId5" xr:uid="{7F5464E4-EDE2-4A73-9972-6F6DC7952AC1}"/>
    <hyperlink ref="G28" r:id="rId6" xr:uid="{E5ED9F21-8D27-4DD4-BAB8-F51EA6D97249}"/>
    <hyperlink ref="G8" r:id="rId7" xr:uid="{3E5D70B2-D781-4241-9A1C-0843B92A165A}"/>
    <hyperlink ref="G24" r:id="rId8" xr:uid="{DC3976D0-3C82-4E83-AD29-13C0290BC2B5}"/>
    <hyperlink ref="G14" r:id="rId9" xr:uid="{42F94428-0608-4F1B-A97A-2D133B1DC9D8}"/>
    <hyperlink ref="G10" r:id="rId10" xr:uid="{029F02C2-2D37-49B9-9100-8985782A0F09}"/>
    <hyperlink ref="G22" r:id="rId11" display="mailto:RBENITEZ@IADB.ORG" xr:uid="{FB803BCD-7929-443B-B6CF-046EF4B27F4B}"/>
    <hyperlink ref="E5" r:id="rId12" xr:uid="{95C1A89D-D09F-4BEF-A106-F1B87EA2966C}"/>
    <hyperlink ref="E30" r:id="rId13" display="https://iadb-ttd.atlassian.net/jira/software/c/projects/FNR/issues?jql=project%20%3D%20%22FNR%22%20ORDER%20BY%20created%20DESC" xr:uid="{B238F410-3B15-4EE5-A869-0547E1B61608}"/>
    <hyperlink ref="E12" r:id="rId14" xr:uid="{25071294-6830-4D51-B296-5F2E552C7F64}"/>
    <hyperlink ref="E24" r:id="rId15" display="https://iadb-ttd.atlassian.net/jira/software/c/projects/PMOES/boards/20_x000a_" xr:uid="{3DB5616C-FC54-4A20-8270-2AF7DF5DC7F5}"/>
    <hyperlink ref="E33" r:id="rId16" xr:uid="{05149368-6BC8-4E02-9B8D-1AD726ECC53A}"/>
    <hyperlink ref="E9" r:id="rId17" xr:uid="{9EB21769-D456-42E6-92D2-2EAC96A8896D}"/>
    <hyperlink ref="E19" r:id="rId18" xr:uid="{3F6DE1F5-31BF-4655-869D-9D1DC9ADF9ED}"/>
    <hyperlink ref="E25" r:id="rId19" xr:uid="{F02961FC-CC70-4571-A2A3-B73C006105B2}"/>
    <hyperlink ref="E27" r:id="rId20" xr:uid="{6072D45F-1B8F-4D26-B82A-FF255218523B}"/>
    <hyperlink ref="E20" r:id="rId21" xr:uid="{4729FA6B-E304-4383-A651-12ACFA3B8D7F}"/>
    <hyperlink ref="E31" r:id="rId22" xr:uid="{5B89D574-C27A-40CB-9818-343EB5A00ECB}"/>
    <hyperlink ref="E7" r:id="rId23" xr:uid="{BAC57BC8-4170-4B1F-AD18-BF38BAD332DC}"/>
    <hyperlink ref="E8" r:id="rId24" xr:uid="{D91340FB-4E96-4DDB-B38D-0519E1605C9C}"/>
    <hyperlink ref="E4" r:id="rId25" xr:uid="{CE89CA57-050C-456C-8C69-F590142512A1}"/>
    <hyperlink ref="G30" r:id="rId26" xr:uid="{56912CE5-7183-4E4A-A4DA-5C8ED01931CF}"/>
    <hyperlink ref="G5" r:id="rId27" xr:uid="{BA98C8B2-5541-4A70-A0AD-AA5FB6CE9569}"/>
    <hyperlink ref="G12" r:id="rId28" xr:uid="{21134E44-6374-4417-B95F-1A80C1A44301}"/>
    <hyperlink ref="G18" r:id="rId29" xr:uid="{4429E6B6-9EE8-41B0-A715-A03DC756C302}"/>
    <hyperlink ref="G19" r:id="rId30" xr:uid="{64479AF3-D2F0-4C8E-A3F3-8E6700760D5B}"/>
    <hyperlink ref="G25" r:id="rId31" xr:uid="{4DF71937-4A7F-4DC6-A655-762365EF0094}"/>
    <hyperlink ref="G26" r:id="rId32" xr:uid="{6681B345-649A-4250-9668-72EFCD07A392}"/>
    <hyperlink ref="G32" r:id="rId33" xr:uid="{AA533439-E05A-4904-8CDF-7466947DF30D}"/>
    <hyperlink ref="G20" r:id="rId34" xr:uid="{B81DD38B-A93A-4D6A-937B-4B7882C1670F}"/>
    <hyperlink ref="G27" r:id="rId35" xr:uid="{17DC3502-5632-4A36-AE87-DB203ED76B50}"/>
    <hyperlink ref="G4" r:id="rId36" xr:uid="{A9893DEF-7959-4B3C-B2AF-3A50A4292CD3}"/>
    <hyperlink ref="G9" r:id="rId37" display="mailto:KJOHANNAC@IADB.ORG" xr:uid="{D1FDDAA9-5C28-4F52-8237-45B3147E1EB6}"/>
    <hyperlink ref="G16" r:id="rId38" xr:uid="{00B9468F-234D-47D5-BA74-077B146FC302}"/>
    <hyperlink ref="G2" r:id="rId39" xr:uid="{B9D6ECC6-EE91-494E-96FA-CE22E5381FE8}"/>
    <hyperlink ref="G13" r:id="rId40" xr:uid="{B91E57D2-A772-4459-B19B-AB348EC02F87}"/>
    <hyperlink ref="G23" r:id="rId41" xr:uid="{9C0DCCAD-B9EE-432C-969C-B1D61FE05749}"/>
    <hyperlink ref="G29" r:id="rId42" xr:uid="{A813EDF6-72B9-4C49-A3D8-90BBFA673559}"/>
    <hyperlink ref="G3" r:id="rId43" xr:uid="{544D7E66-00FF-492B-9588-B117EDEA1D28}"/>
    <hyperlink ref="H19" r:id="rId44" display="DAVIDCAS@IADB.ORG" xr:uid="{E291910B-13EC-436F-B49F-B61F22A4E8AF}"/>
    <hyperlink ref="H22" r:id="rId45" xr:uid="{AA7F71A0-3ACB-4516-A8B6-E0E863C1A9FD}"/>
    <hyperlink ref="H25" r:id="rId46" xr:uid="{B0124414-64DE-4359-BBE8-348E2A15EACC}"/>
    <hyperlink ref="H15" r:id="rId47" xr:uid="{EE12A0D1-A06B-49B1-869B-1FDE70966260}"/>
    <hyperlink ref="G17" r:id="rId48" xr:uid="{528BA18E-4437-4F04-B7E7-6A978776580F}"/>
    <hyperlink ref="H17" r:id="rId49" xr:uid="{E0BD39A8-7165-4C53-B463-DACDAA0E49FF}"/>
    <hyperlink ref="H6" r:id="rId50" xr:uid="{4213287B-F069-4121-BBB3-A2610AD1C0CE}"/>
    <hyperlink ref="G6" r:id="rId51" xr:uid="{B8D9CC53-16D8-45D7-A660-91C417FE1DD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ez-Corporate IT System" ma:contentTypeID="0x010100B9188494D702D94ABB11B3DA77046B5D0097E7CED8A95FA04E8243D6348A7B56BB" ma:contentTypeVersion="12" ma:contentTypeDescription="" ma:contentTypeScope="" ma:versionID="966f3c46087e25f97b009b1a6258204e">
  <xsd:schema xmlns:xsd="http://www.w3.org/2001/XMLSchema" xmlns:xs="http://www.w3.org/2001/XMLSchema" xmlns:p="http://schemas.microsoft.com/office/2006/metadata/properties" xmlns:ns2="cdc7663a-08f0-4737-9e8c-148ce897a09c" xmlns:ns3="5cfe82e5-beff-40bc-b221-b08ae26ca384" targetNamespace="http://schemas.microsoft.com/office/2006/metadata/properties" ma:root="true" ma:fieldsID="88b1757806330402d0c44ba60d75f7c1" ns2:_="" ns3:_="">
    <xsd:import namespace="cdc7663a-08f0-4737-9e8c-148ce897a09c"/>
    <xsd:import namespace="5cfe82e5-beff-40bc-b221-b08ae26ca384"/>
    <xsd:element name="properties">
      <xsd:complexType>
        <xsd:sequence>
          <xsd:element name="documentManagement">
            <xsd:complexType>
              <xsd:all>
                <xsd:element ref="ns2:Document_x0020_Author" minOccurs="0"/>
                <xsd:element ref="ns2:System_x0020_Name" minOccurs="0"/>
                <xsd:element ref="ns2:Close_x0020_Date" minOccurs="0"/>
                <xsd:element ref="ns2:Identifier" minOccurs="0"/>
                <xsd:element ref="ns2:Access_x0020_to_x0020_Information_x00a0_Policy"/>
                <xsd:element ref="ns2:Division_x0020_or_x0020_Unit" minOccurs="0"/>
                <xsd:element ref="ns2:Document_x0020_Language_x0020_IDB" minOccurs="0"/>
                <xsd:element ref="ns2:Other_x0020_Author" minOccurs="0"/>
                <xsd:element ref="ns2:From_x003a_" minOccurs="0"/>
                <xsd:element ref="ns2:To_x003a_" minOccurs="0"/>
                <xsd:element ref="ns2:Fiscal_x0020_Year_x0020_IDB" minOccurs="0"/>
                <xsd:element ref="ns2:SISCOR_x0020_Number" minOccurs="0"/>
                <xsd:element ref="ns2:IDBDocs_x0020_Number" minOccurs="0"/>
                <xsd:element ref="ns2:Migration_x0020_Info" minOccurs="0"/>
                <xsd:element ref="ns2:j65ec2e3a7e44c39a1acebfd2a19200a" minOccurs="0"/>
                <xsd:element ref="ns2:_dlc_DocIdUrl" minOccurs="0"/>
                <xsd:element ref="ns2:_dlc_DocIdPersistId" minOccurs="0"/>
                <xsd:element ref="ns2:ic46d7e087fd4a108fb86518ca413cc6" minOccurs="0"/>
                <xsd:element ref="ns2:cf0f1ca6d90e4583ad80995bcde0e58a" minOccurs="0"/>
                <xsd:element ref="ns2:TaxCatchAll" minOccurs="0"/>
                <xsd:element ref="ns2:TaxCatchAllLabel" minOccurs="0"/>
                <xsd:element ref="ns2:_dlc_DocId" minOccurs="0"/>
                <xsd:element ref="ns2:d933bf2e6f0d4c04be71f5141624c7c1" minOccurs="0"/>
                <xsd:element ref="ns3:TaxKeyword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c7663a-08f0-4737-9e8c-148ce897a09c" elementFormDefault="qualified">
    <xsd:import namespace="http://schemas.microsoft.com/office/2006/documentManagement/types"/>
    <xsd:import namespace="http://schemas.microsoft.com/office/infopath/2007/PartnerControls"/>
    <xsd:element name="Document_x0020_Author" ma:index="2" nillable="true" ma:displayName="Document Author" ma:internalName="Document_x0020_Author">
      <xsd:simpleType>
        <xsd:restriction base="dms:Text">
          <xsd:maxLength value="255"/>
        </xsd:restriction>
      </xsd:simpleType>
    </xsd:element>
    <xsd:element name="System_x0020_Name" ma:index="3" nillable="true" ma:displayName="System Name" ma:internalName="System_x0020_Name">
      <xsd:simpleType>
        <xsd:restriction base="dms:Text">
          <xsd:maxLength value="255"/>
        </xsd:restriction>
      </xsd:simpleType>
    </xsd:element>
    <xsd:element name="Close_x0020_Date" ma:index="5" nillable="true" ma:displayName="Close Date" ma:format="DateOnly" ma:internalName="Close_x0020_Date">
      <xsd:simpleType>
        <xsd:restriction base="dms:DateTime"/>
      </xsd:simpleType>
    </xsd:element>
    <xsd:element name="Identifier" ma:index="6" nillable="true" ma:displayName="Identifier" ma:internalName="Identifier">
      <xsd:simpleType>
        <xsd:restriction base="dms:Text">
          <xsd:maxLength value="255"/>
        </xsd:restriction>
      </xsd:simpleType>
    </xsd:element>
    <xsd:element name="Access_x0020_to_x0020_Information_x00a0_Policy" ma:index="7" ma:displayName="Access to Information Policy" ma:default="Confidential" ma:format="Dropdown" ma:internalName="Access_x0020_to_x0020_Information_x00A0_Policy">
      <xsd:simpleType>
        <xsd:restriction base="dms:Choice">
          <xsd:enumeration value="Confidential"/>
          <xsd:enumeration value="Disclosed Over Time - 5 years"/>
          <xsd:enumeration value="Disclosed Over Time - 10 years"/>
          <xsd:enumeration value="Disclosed Over Time - 20 years"/>
          <xsd:enumeration value="Public"/>
          <xsd:enumeration value="Public - Simultaneous Disclosure"/>
        </xsd:restriction>
      </xsd:simpleType>
    </xsd:element>
    <xsd:element name="Division_x0020_or_x0020_Unit" ma:index="10" nillable="true" ma:displayName="Division or Unit" ma:internalName="Division_x0020_or_x0020_Unit">
      <xsd:simpleType>
        <xsd:restriction base="dms:Text">
          <xsd:maxLength value="255"/>
        </xsd:restriction>
      </xsd:simpleType>
    </xsd:element>
    <xsd:element name="Document_x0020_Language_x0020_IDB" ma:index="11" nillable="true" ma:displayName="Document Language IDB" ma:format="Dropdown" ma:internalName="Document_x0020_Language_x0020_IDB">
      <xsd:simpleType>
        <xsd:restriction base="dms:Choice">
          <xsd:enumeration value="English"/>
          <xsd:enumeration value="French"/>
          <xsd:enumeration value="Italian"/>
          <xsd:enumeration value="Japanese"/>
          <xsd:enumeration value="Korean"/>
          <xsd:enumeration value="Other"/>
          <xsd:enumeration value="Portuguese"/>
          <xsd:enumeration value="Spanish"/>
        </xsd:restriction>
      </xsd:simpleType>
    </xsd:element>
    <xsd:element name="Other_x0020_Author" ma:index="12" nillable="true" ma:displayName="Other Author" ma:internalName="Other_x0020_Author">
      <xsd:simpleType>
        <xsd:restriction base="dms:Text">
          <xsd:maxLength value="255"/>
        </xsd:restriction>
      </xsd:simpleType>
    </xsd:element>
    <xsd:element name="From_x003a_" ma:index="14" nillable="true" ma:displayName="From:" ma:description="Sender name from email message" ma:internalName="From_x003A_">
      <xsd:simpleType>
        <xsd:restriction base="dms:Text">
          <xsd:maxLength value="255"/>
        </xsd:restriction>
      </xsd:simpleType>
    </xsd:element>
    <xsd:element name="To_x003a_" ma:index="15" nillable="true" ma:displayName="To:" ma:description="Addressee names from email message&#10;" ma:internalName="To_x003A_">
      <xsd:simpleType>
        <xsd:restriction base="dms:Text">
          <xsd:maxLength value="255"/>
        </xsd:restriction>
      </xsd:simpleType>
    </xsd:element>
    <xsd:element name="Fiscal_x0020_Year_x0020_IDB" ma:index="16" nillable="true" ma:displayName="Fiscal Year IDB" ma:internalName="Fiscal_x0020_Year_x0020_IDB">
      <xsd:simpleType>
        <xsd:restriction base="dms:Text">
          <xsd:maxLength value="255"/>
        </xsd:restriction>
      </xsd:simpleType>
    </xsd:element>
    <xsd:element name="SISCOR_x0020_Number" ma:index="17" nillable="true" ma:displayName="SISCOR Number" ma:internalName="SISCOR_x0020_Number">
      <xsd:simpleType>
        <xsd:restriction base="dms:Text">
          <xsd:maxLength value="255"/>
        </xsd:restriction>
      </xsd:simpleType>
    </xsd:element>
    <xsd:element name="IDBDocs_x0020_Number" ma:index="18" nillable="true" ma:displayName="IDBDocs Number" ma:internalName="IDBDocs_x0020_Number">
      <xsd:simpleType>
        <xsd:restriction base="dms:Text">
          <xsd:maxLength value="255"/>
        </xsd:restriction>
      </xsd:simpleType>
    </xsd:element>
    <xsd:element name="Migration_x0020_Info" ma:index="19" nillable="true" ma:displayName="Migration Info" ma:internalName="Migration_x0020_Info">
      <xsd:simpleType>
        <xsd:restriction base="dms:Note"/>
      </xsd:simpleType>
    </xsd:element>
    <xsd:element name="j65ec2e3a7e44c39a1acebfd2a19200a" ma:index="20" nillable="true" ma:taxonomy="true" ma:internalName="j65ec2e3a7e44c39a1acebfd2a19200a" ma:taxonomyFieldName="Series_x0020_Corporate_x0020_IDB" ma:displayName="Series Corporate IDB" ma:default="" ma:fieldId="{365ec2e3-a7e4-4c39-a1ac-ebfd2a19200a}" ma:sspId="ae61f9b1-e23d-4f49-b3d7-56b991556c4b" ma:termSetId="309dd783-e737-4304-818f-f24bd2ff36bb" ma:anchorId="00000000-0000-0000-0000-000000000000" ma:open="false" ma:isKeyword="false">
      <xsd:complexType>
        <xsd:sequence>
          <xsd:element ref="pc:Terms" minOccurs="0" maxOccurs="1"/>
        </xsd:sequence>
      </xsd:complexType>
    </xsd:element>
    <xsd:element name="_dlc_DocIdUrl" ma:index="2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2" nillable="true" ma:displayName="Persist ID" ma:description="Keep ID on add." ma:hidden="true" ma:internalName="_dlc_DocIdPersistId" ma:readOnly="true">
      <xsd:simpleType>
        <xsd:restriction base="dms:Boolean"/>
      </xsd:simpleType>
    </xsd:element>
    <xsd:element name="ic46d7e087fd4a108fb86518ca413cc6" ma:index="25" nillable="true" ma:taxonomy="true" ma:internalName="ic46d7e087fd4a108fb86518ca413cc6" ma:taxonomyFieldName="Country" ma:displayName="Country" ma:default="" ma:fieldId="{2c46d7e0-87fd-4a10-8fb8-6518ca413cc6}" ma:taxonomyMulti="true" ma:sspId="ae61f9b1-e23d-4f49-b3d7-56b991556c4b" ma:termSetId="e1cf2cf4-6e0f-476b-b38c-a4927f870e86" ma:anchorId="00000000-0000-0000-0000-000000000000" ma:open="false" ma:isKeyword="false">
      <xsd:complexType>
        <xsd:sequence>
          <xsd:element ref="pc:Terms" minOccurs="0" maxOccurs="1"/>
        </xsd:sequence>
      </xsd:complexType>
    </xsd:element>
    <xsd:element name="cf0f1ca6d90e4583ad80995bcde0e58a" ma:index="29" nillable="true" ma:taxonomy="true" ma:internalName="cf0f1ca6d90e4583ad80995bcde0e58a" ma:taxonomyFieldName="Function_x0020_Corporate_x0020_IDB" ma:displayName="Function Corporate IDB" ma:default="" ma:fieldId="{cf0f1ca6-d90e-4583-ad80-995bcde0e58a}" ma:sspId="ae61f9b1-e23d-4f49-b3d7-56b991556c4b" ma:termSetId="87c2acd2-4473-4e75-9749-843c35148602" ma:anchorId="00000000-0000-0000-0000-000000000000" ma:open="false" ma:isKeyword="false">
      <xsd:complexType>
        <xsd:sequence>
          <xsd:element ref="pc:Terms" minOccurs="0" maxOccurs="1"/>
        </xsd:sequence>
      </xsd:complexType>
    </xsd:element>
    <xsd:element name="TaxCatchAll" ma:index="30" nillable="true" ma:displayName="Taxonomy Catch All Column" ma:hidden="true" ma:list="{ba7998a1-fc1a-4356-a65f-2139851d4337}" ma:internalName="TaxCatchAll" ma:showField="CatchAllData" ma:web="5cfe82e5-beff-40bc-b221-b08ae26ca384">
      <xsd:complexType>
        <xsd:complexContent>
          <xsd:extension base="dms:MultiChoiceLookup">
            <xsd:sequence>
              <xsd:element name="Value" type="dms:Lookup" maxOccurs="unbounded" minOccurs="0" nillable="true"/>
            </xsd:sequence>
          </xsd:extension>
        </xsd:complexContent>
      </xsd:complexType>
    </xsd:element>
    <xsd:element name="TaxCatchAllLabel" ma:index="31" nillable="true" ma:displayName="Taxonomy Catch All Column1" ma:hidden="true" ma:list="{ba7998a1-fc1a-4356-a65f-2139851d4337}" ma:internalName="TaxCatchAllLabel" ma:readOnly="true" ma:showField="CatchAllDataLabel" ma:web="5cfe82e5-beff-40bc-b221-b08ae26ca384">
      <xsd:complexType>
        <xsd:complexContent>
          <xsd:extension base="dms:MultiChoiceLookup">
            <xsd:sequence>
              <xsd:element name="Value" type="dms:Lookup" maxOccurs="unbounded" minOccurs="0" nillable="true"/>
            </xsd:sequence>
          </xsd:extension>
        </xsd:complexContent>
      </xsd:complexType>
    </xsd:element>
    <xsd:element name="_dlc_DocId" ma:index="32" nillable="true" ma:displayName="Document ID Value" ma:description="The value of the document ID assigned to this item." ma:indexed="true" ma:internalName="_dlc_DocId" ma:readOnly="true">
      <xsd:simpleType>
        <xsd:restriction base="dms:Text"/>
      </xsd:simpleType>
    </xsd:element>
    <xsd:element name="d933bf2e6f0d4c04be71f5141624c7c1" ma:index="33" nillable="true" ma:taxonomy="true" ma:internalName="d933bf2e6f0d4c04be71f5141624c7c1" ma:taxonomyFieldName="IDB_x0020_Technological_x0020_Framework" ma:displayName="IDB Technological Framework" ma:default="" ma:fieldId="{d933bf2e-6f0d-4c04-be71-f5141624c7c1}" ma:sspId="ae61f9b1-e23d-4f49-b3d7-56b991556c4b" ma:termSetId="82dbc750-d6c9-4e48-9e63-baba30304fd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cfe82e5-beff-40bc-b221-b08ae26ca384" elementFormDefault="qualified">
    <xsd:import namespace="http://schemas.microsoft.com/office/2006/documentManagement/types"/>
    <xsd:import namespace="http://schemas.microsoft.com/office/infopath/2007/PartnerControls"/>
    <xsd:element name="TaxKeywordTaxHTField" ma:index="35" nillable="true" ma:taxonomy="true" ma:internalName="TaxKeywordTaxHTField" ma:taxonomyFieldName="TaxKeyword" ma:displayName="Tags" ma:fieldId="{23f27201-bee3-471e-b2e7-b64fd8b7ca38}" ma:taxonomyMulti="true" ma:sspId="ae61f9b1-e23d-4f49-b3d7-56b991556c4b"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TaxCatchAll xmlns="cdc7663a-08f0-4737-9e8c-148ce897a09c">
      <Value>2</Value>
      <Value>1</Value>
    </TaxCatchAll>
    <Access_x0020_to_x0020_Information_x00a0_Policy xmlns="cdc7663a-08f0-4737-9e8c-148ce897a09c">Confidential</Access_x0020_to_x0020_Information_x00a0_Policy>
    <SISCOR_x0020_Number xmlns="cdc7663a-08f0-4737-9e8c-148ce897a09c" xsi:nil="true"/>
    <IDBDocs_x0020_Number xmlns="cdc7663a-08f0-4737-9e8c-148ce897a09c" xsi:nil="true"/>
    <ic46d7e087fd4a108fb86518ca413cc6 xmlns="cdc7663a-08f0-4737-9e8c-148ce897a09c">
      <Terms xmlns="http://schemas.microsoft.com/office/infopath/2007/PartnerControls"/>
    </ic46d7e087fd4a108fb86518ca413cc6>
    <Division_x0020_or_x0020_Unit xmlns="cdc7663a-08f0-4737-9e8c-148ce897a09c" xsi:nil="true"/>
    <From_x003a_ xmlns="cdc7663a-08f0-4737-9e8c-148ce897a09c" xsi:nil="true"/>
    <Fiscal_x0020_Year_x0020_IDB xmlns="cdc7663a-08f0-4737-9e8c-148ce897a09c" xsi:nil="true"/>
    <Other_x0020_Author xmlns="cdc7663a-08f0-4737-9e8c-148ce897a09c" xsi:nil="true"/>
    <Migration_x0020_Info xmlns="cdc7663a-08f0-4737-9e8c-148ce897a09c" xsi:nil="true"/>
    <j65ec2e3a7e44c39a1acebfd2a19200a xmlns="cdc7663a-08f0-4737-9e8c-148ce897a09c">
      <Terms xmlns="http://schemas.microsoft.com/office/infopath/2007/PartnerControls">
        <TermInfo xmlns="http://schemas.microsoft.com/office/infopath/2007/PartnerControls">
          <TermName xmlns="http://schemas.microsoft.com/office/infopath/2007/PartnerControls">R-06 IT Product/ System Documentation</TermName>
          <TermId xmlns="http://schemas.microsoft.com/office/infopath/2007/PartnerControls">88e2ff22-fc83-4a1f-9055-f5b81b2e397c</TermId>
        </TermInfo>
      </Terms>
    </j65ec2e3a7e44c39a1acebfd2a19200a>
    <Document_x0020_Author xmlns="cdc7663a-08f0-4737-9e8c-148ce897a09c" xsi:nil="true"/>
    <System_x0020_Name xmlns="cdc7663a-08f0-4737-9e8c-148ce897a09c" xsi:nil="true"/>
    <Document_x0020_Language_x0020_IDB xmlns="cdc7663a-08f0-4737-9e8c-148ce897a09c" xsi:nil="true"/>
    <TaxKeywordTaxHTField xmlns="5cfe82e5-beff-40bc-b221-b08ae26ca384">
      <Terms xmlns="http://schemas.microsoft.com/office/infopath/2007/PartnerControls"/>
    </TaxKeywordTaxHTField>
    <Close_x0020_Date xmlns="cdc7663a-08f0-4737-9e8c-148ce897a09c" xsi:nil="true"/>
    <Identifier xmlns="cdc7663a-08f0-4737-9e8c-148ce897a09c" xsi:nil="true"/>
    <To_x003a_ xmlns="cdc7663a-08f0-4737-9e8c-148ce897a09c" xsi:nil="true"/>
    <d933bf2e6f0d4c04be71f5141624c7c1 xmlns="cdc7663a-08f0-4737-9e8c-148ce897a09c">
      <Terms xmlns="http://schemas.microsoft.com/office/infopath/2007/PartnerControls"/>
    </d933bf2e6f0d4c04be71f5141624c7c1>
    <cf0f1ca6d90e4583ad80995bcde0e58a xmlns="cdc7663a-08f0-4737-9e8c-148ce897a09c">
      <Terms xmlns="http://schemas.microsoft.com/office/infopath/2007/PartnerControls">
        <TermInfo xmlns="http://schemas.microsoft.com/office/infopath/2007/PartnerControls">
          <TermName xmlns="http://schemas.microsoft.com/office/infopath/2007/PartnerControls">9. Records and Information Management</TermName>
          <TermId xmlns="http://schemas.microsoft.com/office/infopath/2007/PartnerControls">cce7ea92-2b4e-47a6-83e6-720092702895</TermId>
        </TermInfo>
      </Terms>
    </cf0f1ca6d90e4583ad80995bcde0e58a>
    <_dlc_DocId xmlns="cdc7663a-08f0-4737-9e8c-148ce897a09c">EZIDB001378-1999899147-85</_dlc_DocId>
    <_dlc_DocIdUrl xmlns="cdc7663a-08f0-4737-9e8c-148ce897a09c">
      <Url>https://idbg.sharepoint.com/teams/ez-TTD-NSPM/_layouts/15/DocIdRedir.aspx?ID=EZIDB001378-1999899147-85</Url>
      <Description>EZIDB001378-1999899147-85</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haredContentType xmlns="Microsoft.SharePoint.Taxonomy.ContentTypeSync" SourceId="ae61f9b1-e23d-4f49-b3d7-56b991556c4b" ContentTypeId="0x010100B9188494D702D94ABB11B3DA77046B5D" PreviousValue="false"/>
</file>

<file path=customXml/item6.xml><?xml version="1.0" encoding="utf-8"?>
<?mso-contentType ?>
<FormUrls xmlns="http://schemas.microsoft.com/sharepoint/v3/contenttype/forms/url">
  <Display>_catalogs/masterpage/ECMForms/CorporateITSystemCT/View.aspx</Display>
  <Edit>_catalogs/masterpage/ECMForms/CorporateITSystemCT/Edit.aspx</Edit>
  <NewComponentId>&amp;amp;amp;amp;amp;amp;amp;amp;amp;lt;FormUrls xmlns="http://schemas.microsoft.com/sharepoint/v3/contenttype/forms/url"&amp;amp;amp;amp;amp;amp;amp;amp;amp;gt;&amp;amp;amp;amp;amp;amp;amp;amp;amp;lt;Display&amp;amp;amp;amp;amp;amp;amp;amp;amp;gt;_catalogs/masterpage/ECMForms/CorporateITSystemCT/View.aspx&amp;amp;amp;amp;amp;amp;amp;amp;amp;lt;/Display&amp;amp;amp;amp;amp;amp;amp;amp;amp;gt;&amp;amp;amp;amp;amp;amp;amp;amp;amp;lt;Edit&amp;amp;amp;amp;amp;amp;amp;amp;amp;gt;_catalogs/masterpage/ECMForms/CorporateITSystemCT/Edit.aspx&amp;amp;amp;amp;amp;amp;amp;amp;amp;lt;/Edit&amp;amp;amp;amp;amp;amp;amp;amp;amp;gt;&amp;amp;amp;amp;amp;amp;amp;amp;amp;lt;/FormUrls&amp;amp;amp;amp;amp;amp;amp;amp;amp;gt;</NewComponentId>
  <DisplayFormTarget>NewWindow</DisplayFormTarget>
  <EditFormTarget>NewWindow</EditFormTarget>
  <NewFormTarget>NewWindow</NewFormTarget>
</FormUrls>
</file>

<file path=customXml/itemProps1.xml><?xml version="1.0" encoding="utf-8"?>
<ds:datastoreItem xmlns:ds="http://schemas.openxmlformats.org/officeDocument/2006/customXml" ds:itemID="{D86787DC-91D7-41C2-9A2D-574C9C2F2D93}"/>
</file>

<file path=customXml/itemProps2.xml><?xml version="1.0" encoding="utf-8"?>
<ds:datastoreItem xmlns:ds="http://schemas.openxmlformats.org/officeDocument/2006/customXml" ds:itemID="{2C24A29A-9A76-4254-9BD3-F1C863F17BE6}"/>
</file>

<file path=customXml/itemProps3.xml><?xml version="1.0" encoding="utf-8"?>
<ds:datastoreItem xmlns:ds="http://schemas.openxmlformats.org/officeDocument/2006/customXml" ds:itemID="{FC00624E-7849-4224-A20E-53090735DB6B}"/>
</file>

<file path=customXml/itemProps4.xml><?xml version="1.0" encoding="utf-8"?>
<ds:datastoreItem xmlns:ds="http://schemas.openxmlformats.org/officeDocument/2006/customXml" ds:itemID="{2C53A8CC-43C7-4AC0-B292-330F440CCC7D}"/>
</file>

<file path=customXml/itemProps5.xml><?xml version="1.0" encoding="utf-8"?>
<ds:datastoreItem xmlns:ds="http://schemas.openxmlformats.org/officeDocument/2006/customXml" ds:itemID="{6D596026-8089-45EB-ABFD-4435B6DBE7B9}"/>
</file>

<file path=customXml/itemProps6.xml><?xml version="1.0" encoding="utf-8"?>
<ds:datastoreItem xmlns:ds="http://schemas.openxmlformats.org/officeDocument/2006/customXml" ds:itemID="{EBEB036C-3798-443B-82D3-27347D889727}"/>
</file>

<file path=docProps/app.xml><?xml version="1.0" encoding="utf-8"?>
<Properties xmlns="http://schemas.openxmlformats.org/officeDocument/2006/extended-properties" xmlns:vt="http://schemas.openxmlformats.org/officeDocument/2006/docPropsVTypes">
  <Application>Microsoft Excel Online</Application>
  <Manager/>
  <Company>Inter-American Development Bank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Garces Gonzalez Cesar Augusto</dc:creator>
  <cp:keywords/>
  <dc:description/>
  <cp:lastModifiedBy/>
  <cp:revision/>
  <dcterms:created xsi:type="dcterms:W3CDTF">2026-03-25T20:04:14Z</dcterms:created>
  <dcterms:modified xsi:type="dcterms:W3CDTF">2026-09-04T18:48:47Z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0x010100B9188494D702D94ABB11B3DA77046B5D0097E7CED8A95FA04E8243D6348A7B56BB</vt:lpwstr>
  </property>
  <property fmtid="{D5CDD505-2E9C-101B-9397-08002B2CF9AE}" pid="3" name="MediaServiceImageTags">
    <vt:lpwstr/>
  </property>
  <property fmtid="{D5CDD505-2E9C-101B-9397-08002B2CF9AE}" pid="4" name="_dlc_DocIdItemGuid">
    <vt:lpwstr>ef9c709e-71a2-4788-89f0-249357ea5883</vt:lpwstr>
  </property>
  <property fmtid="{D5CDD505-2E9C-101B-9397-08002B2CF9AE}" pid="5" name="IDB_x0020_Technological_x0020_Framework">
    <vt:lpwstr/>
  </property>
  <property fmtid="{D5CDD505-2E9C-101B-9397-08002B2CF9AE}" pid="6" name="TaxKeyword">
    <vt:lpwstr/>
  </property>
  <property fmtid="{D5CDD505-2E9C-101B-9397-08002B2CF9AE}" pid="7" name="Function_x0020_Corporate_x0020_IDB">
    <vt:lpwstr>2;#9. Records and Information Management|cce7ea92-2b4e-47a6-83e6-720092702895</vt:lpwstr>
  </property>
  <property fmtid="{D5CDD505-2E9C-101B-9397-08002B2CF9AE}" pid="8" name="IDB Technological Framework">
    <vt:lpwstr/>
  </property>
  <property fmtid="{D5CDD505-2E9C-101B-9397-08002B2CF9AE}" pid="9" name="Country">
    <vt:lpwstr/>
  </property>
  <property fmtid="{D5CDD505-2E9C-101B-9397-08002B2CF9AE}" pid="10" name="Function Corporate IDB">
    <vt:lpwstr>2;#9. Records and Information Management|cce7ea92-2b4e-47a6-83e6-720092702895</vt:lpwstr>
  </property>
  <property fmtid="{D5CDD505-2E9C-101B-9397-08002B2CF9AE}" pid="11" name="Series Corporate IDB">
    <vt:lpwstr>1;#R-06 IT Product/ System Documentation|88e2ff22-fc83-4a1f-9055-f5b81b2e397c</vt:lpwstr>
  </property>
  <property fmtid="{D5CDD505-2E9C-101B-9397-08002B2CF9AE}" pid="12" name="Series_x0020_Corporate_x0020_IDB">
    <vt:lpwstr>1;#R-06 IT Product/ System Documentation|88e2ff22-fc83-4a1f-9055-f5b81b2e397c</vt:lpwstr>
  </property>
</Properties>
</file>