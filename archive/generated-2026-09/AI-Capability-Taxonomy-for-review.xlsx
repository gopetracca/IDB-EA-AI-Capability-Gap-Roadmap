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Read me" sheetId="1" state="visible" r:id="rId1"/>
    <sheet name="1. Taxonomy" sheetId="2" state="visible" r:id="rId2"/>
    <sheet name="2. IDB owners" sheetId="3" state="visible" r:id="rId3"/>
    <sheet name="3. No owner or partial" sheetId="4" state="visible" r:id="rId4"/>
    <sheet name="4. Proposed additions" sheetId="5" state="visible" r:id="rId5"/>
  </sheets>
  <definedNames>
    <definedName name="_xlnm._FilterDatabase" localSheetId="1" hidden="1">'1. Taxonomy'!$A$1:$T$319</definedName>
    <definedName name="_xlnm._FilterDatabase" localSheetId="3" hidden="1">'3. No owner or partial'!$A$1:$H$27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1F3864"/>
      <sz val="16"/>
    </font>
    <font>
      <name val="Arial"/>
      <b val="1"/>
      <sz val="10"/>
    </font>
    <font>
      <name val="Arial"/>
      <sz val="10"/>
    </font>
    <font>
      <name val="Arial"/>
      <b val="1"/>
      <color rgb="FF1F3864"/>
      <sz val="12"/>
    </font>
    <font>
      <name val="Arial"/>
      <b val="1"/>
      <color rgb="FFFFFFFF"/>
      <sz val="10"/>
    </font>
    <font>
      <name val="Arial"/>
      <b val="1"/>
      <color rgb="FF1F3864"/>
      <sz val="11"/>
    </font>
    <font>
      <name val="Arial"/>
      <b val="1"/>
      <color rgb="FF0E1114"/>
      <sz val="10"/>
    </font>
    <font>
      <name val="Arial"/>
      <b val="1"/>
      <color rgb="FF9C0006"/>
      <sz val="10"/>
    </font>
    <font>
      <name val="Arial"/>
      <b val="1"/>
      <color rgb="FF375623"/>
      <sz val="10"/>
    </font>
    <font>
      <name val="Arial"/>
      <i val="1"/>
      <sz val="10"/>
    </font>
    <font>
      <name val="Arial"/>
      <i val="1"/>
      <color rgb="FF808080"/>
      <sz val="10"/>
    </font>
  </fonts>
  <fills count="10">
    <fill>
      <patternFill/>
    </fill>
    <fill>
      <patternFill patternType="gray125"/>
    </fill>
    <fill>
      <patternFill patternType="solid">
        <fgColor rgb="FF1F3864"/>
      </patternFill>
    </fill>
    <fill>
      <patternFill patternType="solid">
        <fgColor rgb="FFDCE6F1"/>
      </patternFill>
    </fill>
    <fill>
      <patternFill patternType="solid">
        <fgColor rgb="FFF2F2F2"/>
      </patternFill>
    </fill>
    <fill>
      <patternFill patternType="solid">
        <fgColor rgb="FFE2EFDA"/>
      </patternFill>
    </fill>
    <fill>
      <patternFill patternType="solid">
        <fgColor rgb="FFFFF2CC"/>
      </patternFill>
    </fill>
    <fill>
      <patternFill patternType="solid">
        <fgColor rgb="FFEDF3E8"/>
      </patternFill>
    </fill>
    <fill>
      <patternFill patternType="solid">
        <fgColor rgb="FFFFE699"/>
      </patternFill>
    </fill>
    <fill>
      <patternFill patternType="solid">
        <fgColor rgb="FFF8CBAD"/>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3" fillId="0" borderId="0" pivotButton="0" quotePrefix="0" xfId="0"/>
    <xf numFmtId="0" fontId="5" fillId="2" borderId="0" applyAlignment="1" pivotButton="0" quotePrefix="0" xfId="0">
      <alignment vertical="center" wrapText="1"/>
    </xf>
    <xf numFmtId="0" fontId="6"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7" fillId="5" borderId="1" applyAlignment="1" pivotButton="0" quotePrefix="0" xfId="0">
      <alignment horizontal="center" vertical="top"/>
    </xf>
    <xf numFmtId="0" fontId="3" fillId="6"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vertical="top" wrapText="1" indent="1"/>
    </xf>
    <xf numFmtId="0" fontId="7" fillId="7" borderId="1" applyAlignment="1" pivotButton="0" quotePrefix="0" xfId="0">
      <alignment horizontal="center" vertical="top"/>
    </xf>
    <xf numFmtId="0" fontId="7" fillId="8" borderId="1" applyAlignment="1" pivotButton="0" quotePrefix="0" xfId="0">
      <alignment horizontal="center" vertical="top"/>
    </xf>
    <xf numFmtId="0" fontId="8" fillId="9" borderId="1" applyAlignment="1" pivotButton="0" quotePrefix="0" xfId="0">
      <alignment vertical="top" wrapText="1"/>
    </xf>
    <xf numFmtId="0" fontId="8" fillId="9" borderId="1" applyAlignment="1" pivotButton="0" quotePrefix="0" xfId="0">
      <alignment horizontal="center" vertical="top"/>
    </xf>
    <xf numFmtId="0" fontId="9" fillId="5" borderId="1" applyAlignment="1" pivotButton="0" quotePrefix="0" xfId="0">
      <alignment vertical="top" wrapText="1"/>
    </xf>
    <xf numFmtId="0" fontId="2" fillId="0" borderId="1" applyAlignment="1" pivotButton="0" quotePrefix="0" xfId="0">
      <alignment vertical="top" wrapText="1"/>
    </xf>
    <xf numFmtId="0" fontId="10" fillId="0" borderId="0" applyAlignment="1" pivotButton="0" quotePrefix="0" xfId="0">
      <alignment vertical="top" wrapText="1"/>
    </xf>
    <xf numFmtId="0" fontId="7" fillId="8" borderId="1" applyAlignment="1" pivotButton="0" quotePrefix="0" xfId="0">
      <alignment vertical="top" wrapText="1"/>
    </xf>
    <xf numFmtId="0" fontId="11" fillId="0" borderId="0" applyAlignment="1" pivotButton="0" quotePrefix="0" xfId="0">
      <alignment vertical="top" wrapText="1"/>
    </xf>
    <xf numFmtId="0" fontId="3"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4"/>
  <sheetViews>
    <sheetView showGridLines="0" workbookViewId="0">
      <selection activeCell="A1" sqref="A1"/>
    </sheetView>
  </sheetViews>
  <sheetFormatPr baseColWidth="8" defaultRowHeight="15"/>
  <cols>
    <col width="3" customWidth="1" min="1" max="1"/>
    <col width="34" customWidth="1" min="2" max="2"/>
    <col width="96" customWidth="1" min="3" max="3"/>
  </cols>
  <sheetData>
    <row r="1">
      <c r="B1" s="1" t="inlineStr">
        <is>
          <t>AI Capability Taxonomy - for review</t>
        </is>
      </c>
    </row>
    <row r="2" ht="28" customHeight="1">
      <c r="B2" s="2" t="inlineStr"/>
      <c r="C2" s="3" t="inlineStr">
        <is>
          <t>Structure only. No maturity, no readiness, no realizations, no evidence. Those live in the assessment workbook.</t>
        </is>
      </c>
    </row>
    <row r="3" ht="14" customHeight="1">
      <c r="B3" s="2" t="inlineStr"/>
      <c r="C3" s="3" t="inlineStr">
        <is>
          <t>Purpose: agree the shape of the map before anything is scored against it.</t>
        </is>
      </c>
    </row>
    <row r="5">
      <c r="B5" s="4" t="inlineStr">
        <is>
          <t>How to use it</t>
        </is>
      </c>
    </row>
    <row r="6" ht="28" customHeight="1">
      <c r="B6" s="2" t="inlineStr">
        <is>
          <t>1. Read sheet "1. Taxonomy"</t>
        </is>
      </c>
      <c r="C6" s="3" t="inlineStr">
        <is>
          <t>One row per node. Domains and L2 capabilities are frozen at the top; L3 rows collapse with the +/- controls in the left margin.</t>
        </is>
      </c>
    </row>
    <row r="7" ht="14" customHeight="1">
      <c r="B7" s="2" t="inlineStr">
        <is>
          <t>2. Fill column L "Decision"</t>
        </is>
      </c>
      <c r="C7" s="3" t="inlineStr">
        <is>
          <t>Pick from the dropdown. Blank means Keep - you only need to touch the rows you disagree with.</t>
        </is>
      </c>
    </row>
    <row r="8" ht="28" customHeight="1">
      <c r="B8" s="2" t="inlineStr">
        <is>
          <t>3. Use M and N</t>
        </is>
      </c>
      <c r="C8" s="3" t="inlineStr">
        <is>
          <t>"Rename to" for a better name. "Notes" for anything else - wrong owner, wrong domain, missing sibling, definition too vague.</t>
        </is>
      </c>
    </row>
    <row r="9" ht="14" customHeight="1">
      <c r="B9" s="2" t="inlineStr">
        <is>
          <t>4. Anything missing?</t>
        </is>
      </c>
      <c r="C9" s="3" t="inlineStr">
        <is>
          <t>Add it on sheet "4. Proposed additions". One row per capability you think is absent. Rough wording is fine.</t>
        </is>
      </c>
    </row>
    <row r="10" ht="14" customHeight="1">
      <c r="B10" s="2" t="inlineStr">
        <is>
          <t>5. Send it back</t>
        </is>
      </c>
      <c r="C10" s="3" t="inlineStr">
        <is>
          <t>Nothing else needs filling. I will apply the decisions to the model and rebuild the assessment from it.</t>
        </is>
      </c>
    </row>
    <row r="12">
      <c r="B12" s="4" t="inlineStr">
        <is>
          <t>What the columns mean</t>
        </is>
      </c>
    </row>
    <row r="13" ht="14" customHeight="1">
      <c r="B13" s="2" t="inlineStr">
        <is>
          <t>Level</t>
        </is>
      </c>
      <c r="C13" s="3" t="inlineStr">
        <is>
          <t>Domain (8) &gt; L2 capability (52) &gt; L3 capability (258). L2 is the unit that gets assessed and owned.</t>
        </is>
      </c>
    </row>
    <row r="14" ht="14" customHeight="1">
      <c r="B14" s="2" t="inlineStr">
        <is>
          <t>Definition</t>
        </is>
      </c>
      <c r="C14" s="3" t="inlineStr">
        <is>
          <t>Written as "Able to ..." at L2. The test is that one accountable owner could be held to it.</t>
        </is>
      </c>
    </row>
    <row r="15" ht="14" customHeight="1">
      <c r="B15" s="2" t="inlineStr">
        <is>
          <t>Owner</t>
        </is>
      </c>
      <c r="C15" s="3" t="inlineStr">
        <is>
          <t>Proposed accountable role, not a person. Contested owners are the point of the review.</t>
        </is>
      </c>
    </row>
    <row r="16" ht="28" customHeight="1">
      <c r="B16" s="2" t="inlineStr">
        <is>
          <t>Anchor</t>
        </is>
      </c>
      <c r="C16" s="3" t="inlineStr">
        <is>
          <t>How this relates to IDB's existing enterprise capability map: new = no equivalent today; specialization = an AI-specific narrowing of one that exists; lens = do NOT create a node, the existing enterprise capability already covers it and this is only an AI view of it.</t>
        </is>
      </c>
    </row>
    <row r="17" ht="14" customHeight="1">
      <c r="B17" s="2" t="inlineStr">
        <is>
          <t>Agentic</t>
        </is>
      </c>
      <c r="C17" s="3" t="inlineStr">
        <is>
          <t>Y = this capability only becomes necessary once agents act autonomously. Used to phase the roadmap.</t>
        </is>
      </c>
    </row>
    <row r="18" ht="14" customHeight="1">
      <c r="B18" s="2" t="inlineStr">
        <is>
          <t>Confidence</t>
        </is>
      </c>
      <c r="C18" s="3" t="inlineStr">
        <is>
          <t>How settled I consider the node. low = expect to change it. Prioritise your reading there.</t>
        </is>
      </c>
    </row>
    <row r="19" ht="14" customHeight="1">
      <c r="B19" s="2" t="inlineStr">
        <is>
          <t>Sources</t>
        </is>
      </c>
      <c r="C19" s="3" t="inlineStr">
        <is>
          <t>The published frameworks the node was derived from, so you can check it rather than take it on trust.</t>
        </is>
      </c>
    </row>
    <row r="21">
      <c r="B21" s="4" t="inlineStr">
        <is>
          <t>Changed in this round</t>
        </is>
      </c>
    </row>
    <row r="22" ht="28" customHeight="1">
      <c r="B22" s="2" t="inlineStr">
        <is>
          <t>Added 1.5</t>
        </is>
      </c>
      <c r="C22" s="3" t="inlineStr">
        <is>
          <t>AI Ecosystem &amp; Alliance Management (D1) - non-supplier external relationships. 1.4 was procurement-shaped only.</t>
        </is>
      </c>
    </row>
    <row r="23" ht="14" customHeight="1">
      <c r="B23" s="2" t="inlineStr">
        <is>
          <t>Added 2.6</t>
        </is>
      </c>
      <c r="C23" s="3" t="inlineStr">
        <is>
          <t>AI Innovation &amp; Incubation (D2) - idea to evidence to funded product, or a cheap recorded stop.</t>
        </is>
      </c>
    </row>
    <row r="24" ht="28" customHeight="1">
      <c r="B24" s="2" t="inlineStr">
        <is>
          <t>Removed 8.6.4</t>
        </is>
      </c>
      <c r="C24" s="3" t="inlineStr">
        <is>
          <t>Experimentation &amp; Learning Culture, promoted into 2.6 so experimentation is an owned capability rather than a cultural aspiration.</t>
        </is>
      </c>
    </row>
    <row r="26">
      <c r="B26" s="4" t="inlineStr">
        <is>
          <t>Counts</t>
        </is>
      </c>
    </row>
    <row r="27">
      <c r="B27" s="2" t="inlineStr">
        <is>
          <t>Domains</t>
        </is>
      </c>
      <c r="C27" s="5">
        <f>COUNTIF('1. Taxonomy'!$A:$A,"Domain")</f>
        <v/>
      </c>
    </row>
    <row r="28">
      <c r="B28" s="2" t="inlineStr">
        <is>
          <t>L2 capabilities</t>
        </is>
      </c>
      <c r="C28" s="5">
        <f>COUNTIF('1. Taxonomy'!$A:$A,"L2")</f>
        <v/>
      </c>
    </row>
    <row r="29">
      <c r="B29" s="2" t="inlineStr">
        <is>
          <t>L3 capabilities</t>
        </is>
      </c>
      <c r="C29" s="5">
        <f>COUNTIF('1. Taxonomy'!$A:$A,"L3")</f>
        <v/>
      </c>
    </row>
    <row r="30">
      <c r="B30" s="2" t="inlineStr">
        <is>
          <t>Rows you have marked</t>
        </is>
      </c>
      <c r="C30" s="5">
        <f>COUNTA('1. Taxonomy'!$P$2:$P$400)</f>
        <v/>
      </c>
    </row>
    <row r="31">
      <c r="B31" s="2" t="inlineStr">
        <is>
          <t>Owners - direct match</t>
        </is>
      </c>
      <c r="C31" s="5">
        <f>COUNTIF('1. Taxonomy'!$H$2:$H$400,"Direct")</f>
        <v/>
      </c>
    </row>
    <row r="32">
      <c r="B32" s="2" t="inlineStr">
        <is>
          <t>Owners - inferred</t>
        </is>
      </c>
      <c r="C32" s="5">
        <f>COUNTIF('1. Taxonomy'!$H$2:$H$400,"Inferred")</f>
        <v/>
      </c>
    </row>
    <row r="33">
      <c r="B33" s="2" t="inlineStr">
        <is>
          <t>Owners - partial</t>
        </is>
      </c>
      <c r="C33" s="5">
        <f>COUNTIF('1. Taxonomy'!$H$2:$H$400,"Partial")</f>
        <v/>
      </c>
    </row>
    <row r="34">
      <c r="B34" s="2" t="inlineStr">
        <is>
          <t>Capabilities with NO owner</t>
        </is>
      </c>
      <c r="C34" s="5">
        <f>COUNTIF('1. Taxonomy'!$H$2:$H$400,"NO MATCH")</f>
        <v/>
      </c>
    </row>
  </sheetData>
  <pageMargins left="0.75" right="0.75" top="1" bottom="1" header="0.5" footer="0.5"/>
</worksheet>
</file>

<file path=xl/worksheets/sheet2.xml><?xml version="1.0" encoding="utf-8"?>
<worksheet xmlns="http://schemas.openxmlformats.org/spreadsheetml/2006/main">
  <sheetPr>
    <outlinePr summaryBelow="0" summaryRight="1"/>
    <pageSetUpPr/>
  </sheetPr>
  <dimension ref="A1:T3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7" customWidth="1" min="3" max="3"/>
    <col width="42" customWidth="1" min="4" max="4"/>
    <col width="76" customWidth="1" min="5" max="5"/>
    <col width="30" customWidth="1" min="6" max="6"/>
    <col width="24" customWidth="1" min="7" max="7"/>
    <col width="11" customWidth="1" min="8" max="8"/>
    <col width="78" customWidth="1" min="9" max="9"/>
    <col width="26" customWidth="1" min="10" max="10"/>
    <col width="14" customWidth="1" min="11" max="11"/>
    <col width="9" customWidth="1" min="12" max="12"/>
    <col width="11" customWidth="1" min="13" max="13"/>
    <col width="36" customWidth="1" min="14" max="14"/>
    <col width="17" customWidth="1" min="15" max="15"/>
    <col width="20" customWidth="1" min="16" max="16"/>
    <col width="26" customWidth="1" min="17" max="17"/>
    <col width="20" customWidth="1" min="18" max="18"/>
    <col width="28" customWidth="1" min="19" max="19"/>
    <col width="50" customWidth="1" min="20" max="20"/>
  </cols>
  <sheetData>
    <row r="1" ht="30" customHeight="1">
      <c r="A1" s="6" t="inlineStr">
        <is>
          <t>Level</t>
        </is>
      </c>
      <c r="B1" s="6" t="inlineStr">
        <is>
          <t>ID</t>
        </is>
      </c>
      <c r="C1" s="6" t="inlineStr">
        <is>
          <t>Domain</t>
        </is>
      </c>
      <c r="D1" s="6" t="inlineStr">
        <is>
          <t>Name</t>
        </is>
      </c>
      <c r="E1" s="6" t="inlineStr">
        <is>
          <t>Definition</t>
        </is>
      </c>
      <c r="F1" s="6" t="inlineStr">
        <is>
          <t>Owner - IDB product / enabler</t>
        </is>
      </c>
      <c r="G1" s="6" t="inlineStr">
        <is>
          <t>Lead</t>
        </is>
      </c>
      <c r="H1" s="6" t="inlineStr">
        <is>
          <t>Match</t>
        </is>
      </c>
      <c r="I1" s="6" t="inlineStr">
        <is>
          <t>Basis / what to settle</t>
        </is>
      </c>
      <c r="J1" s="6" t="inlineStr">
        <is>
          <t>Previously proposed role</t>
        </is>
      </c>
      <c r="K1" s="6" t="inlineStr">
        <is>
          <t>Anchor</t>
        </is>
      </c>
      <c r="L1" s="6" t="inlineStr">
        <is>
          <t>Agentic</t>
        </is>
      </c>
      <c r="M1" s="6" t="inlineStr">
        <is>
          <t>Confidence</t>
        </is>
      </c>
      <c r="N1" s="6" t="inlineStr">
        <is>
          <t>Sources</t>
        </is>
      </c>
      <c r="O1" s="6" t="inlineStr">
        <is>
          <t>Change this round</t>
        </is>
      </c>
      <c r="P1" s="6" t="inlineStr">
        <is>
          <t>Decision</t>
        </is>
      </c>
      <c r="Q1" s="6" t="inlineStr">
        <is>
          <t>Rename to</t>
        </is>
      </c>
      <c r="R1" s="6" t="inlineStr">
        <is>
          <t>Owner decision</t>
        </is>
      </c>
      <c r="S1" s="6" t="inlineStr">
        <is>
          <t>Correct owner</t>
        </is>
      </c>
      <c r="T1" s="6" t="inlineStr">
        <is>
          <t>Notes</t>
        </is>
      </c>
    </row>
    <row r="2">
      <c r="A2" s="7" t="inlineStr">
        <is>
          <t>Domain</t>
        </is>
      </c>
      <c r="B2" s="7" t="inlineStr">
        <is>
          <t>D1</t>
        </is>
      </c>
      <c r="C2" s="7" t="inlineStr">
        <is>
          <t>D1</t>
        </is>
      </c>
      <c r="D2" s="7" t="inlineStr">
        <is>
          <t>AI Strategy &amp; Value Management</t>
        </is>
      </c>
      <c r="E2" s="7" t="inlineStr">
        <is>
          <t>Able to set direction for AI and convert it into measurable institutional value.</t>
        </is>
      </c>
      <c r="F2" s="7" t="n"/>
      <c r="G2" s="7" t="n"/>
      <c r="H2" s="7" t="n"/>
      <c r="I2" s="7" t="n"/>
      <c r="J2" s="7" t="n"/>
      <c r="K2" s="7" t="n"/>
      <c r="L2" s="7" t="n"/>
      <c r="M2" s="7" t="n"/>
      <c r="N2" s="7" t="n"/>
      <c r="O2" s="7" t="n"/>
      <c r="P2" s="7" t="n"/>
      <c r="Q2" s="7" t="n"/>
      <c r="R2" s="7" t="n"/>
      <c r="S2" s="7" t="n"/>
      <c r="T2" s="7" t="inlineStr"/>
    </row>
    <row r="3">
      <c r="A3" s="8" t="inlineStr">
        <is>
          <t>L2</t>
        </is>
      </c>
      <c r="B3" s="8" t="inlineStr">
        <is>
          <t>1.1</t>
        </is>
      </c>
      <c r="C3" s="8" t="inlineStr">
        <is>
          <t>D1</t>
        </is>
      </c>
      <c r="D3" s="8" t="inlineStr">
        <is>
          <t>AI Vision &amp; Strategy Definition</t>
        </is>
      </c>
      <c r="E3" s="8" t="inlineStr">
        <is>
          <t>Able to establish and maintain a stated institutional position on AI and keep it current.</t>
        </is>
      </c>
      <c r="F3" s="8" t="inlineStr">
        <is>
          <t>Artificial Intelligence</t>
        </is>
      </c>
      <c r="G3" s="9" t="inlineStr">
        <is>
          <t>JAIRORI@IADB.ORG</t>
        </is>
      </c>
      <c r="H3" s="10" t="inlineStr">
        <is>
          <t>Direct</t>
        </is>
      </c>
      <c r="I3" s="9" t="inlineStr">
        <is>
          <t>AI enabler claims 'Strategy &amp; Roadmap: co-define and own the corporate AI capability strategy and execution roadmap with the Tech Office (TDA, TDS) and DT'.</t>
        </is>
      </c>
      <c r="J3" s="9" t="inlineStr">
        <is>
          <t>Chief AI Officer</t>
        </is>
      </c>
      <c r="K3" s="9" t="inlineStr">
        <is>
          <t>new</t>
        </is>
      </c>
      <c r="L3" s="9" t="inlineStr"/>
      <c r="M3" s="9" t="inlineStr">
        <is>
          <t>medium</t>
        </is>
      </c>
      <c r="N3" s="9" t="inlineStr">
        <is>
          <t>AWS CAF-AI - Business perspective; ISO/IEC 38507; MITRE AI Maturity Model</t>
        </is>
      </c>
      <c r="O3" s="9" t="inlineStr"/>
      <c r="P3" s="11" t="inlineStr"/>
      <c r="Q3" s="11" t="inlineStr"/>
      <c r="R3" s="11" t="inlineStr"/>
      <c r="S3" s="11" t="inlineStr"/>
      <c r="T3" s="11" t="inlineStr"/>
    </row>
    <row r="4" outlineLevel="1">
      <c r="A4" s="12" t="inlineStr">
        <is>
          <t>L3</t>
        </is>
      </c>
      <c r="B4" s="12" t="inlineStr">
        <is>
          <t>1.1.1</t>
        </is>
      </c>
      <c r="C4" s="12" t="inlineStr">
        <is>
          <t>D1</t>
        </is>
      </c>
      <c r="D4" s="13" t="inlineStr">
        <is>
          <t>AI Ambition &amp; Positioning</t>
        </is>
      </c>
      <c r="E4" s="12" t="inlineStr">
        <is>
          <t>Define what role AI plays in the institutional mandate and how far the organization intends to go.</t>
        </is>
      </c>
      <c r="F4" s="12" t="inlineStr"/>
      <c r="G4" s="12" t="inlineStr"/>
      <c r="H4" s="12" t="inlineStr"/>
      <c r="I4" s="12" t="inlineStr"/>
      <c r="J4" s="12" t="inlineStr"/>
      <c r="K4" s="12" t="inlineStr"/>
      <c r="L4" s="12" t="inlineStr"/>
      <c r="M4" s="12" t="inlineStr"/>
      <c r="N4" s="12" t="inlineStr"/>
      <c r="O4" s="12" t="inlineStr"/>
      <c r="P4" s="11" t="inlineStr"/>
      <c r="Q4" s="11" t="inlineStr"/>
      <c r="R4" s="12" t="inlineStr"/>
      <c r="S4" s="12" t="inlineStr"/>
      <c r="T4" s="11" t="inlineStr"/>
    </row>
    <row r="5" outlineLevel="1">
      <c r="A5" s="12" t="inlineStr">
        <is>
          <t>L3</t>
        </is>
      </c>
      <c r="B5" s="12" t="inlineStr">
        <is>
          <t>1.1.2</t>
        </is>
      </c>
      <c r="C5" s="12" t="inlineStr">
        <is>
          <t>D1</t>
        </is>
      </c>
      <c r="D5" s="13" t="inlineStr">
        <is>
          <t>AI Strategy Formulation &amp; Refresh</t>
        </is>
      </c>
      <c r="E5" s="12" t="inlineStr">
        <is>
          <t>Produce and periodically revise an endorsed AI strategy with explicit scope and stated exclusions.</t>
        </is>
      </c>
      <c r="F5" s="12" t="inlineStr"/>
      <c r="G5" s="12" t="inlineStr"/>
      <c r="H5" s="12" t="inlineStr"/>
      <c r="I5" s="12" t="inlineStr"/>
      <c r="J5" s="12" t="inlineStr"/>
      <c r="K5" s="12" t="inlineStr"/>
      <c r="L5" s="12" t="inlineStr"/>
      <c r="M5" s="12" t="inlineStr"/>
      <c r="N5" s="12" t="inlineStr"/>
      <c r="O5" s="12" t="inlineStr"/>
      <c r="P5" s="11" t="inlineStr"/>
      <c r="Q5" s="11" t="inlineStr"/>
      <c r="R5" s="12" t="inlineStr"/>
      <c r="S5" s="12" t="inlineStr"/>
      <c r="T5" s="11" t="inlineStr"/>
    </row>
    <row r="6" outlineLevel="1">
      <c r="A6" s="12" t="inlineStr">
        <is>
          <t>L3</t>
        </is>
      </c>
      <c r="B6" s="12" t="inlineStr">
        <is>
          <t>1.1.3</t>
        </is>
      </c>
      <c r="C6" s="12" t="inlineStr">
        <is>
          <t>D1</t>
        </is>
      </c>
      <c r="D6" s="13" t="inlineStr">
        <is>
          <t>Strategic Alignment to Institutional Priorities</t>
        </is>
      </c>
      <c r="E6" s="12" t="inlineStr">
        <is>
          <t>Trace every AI objective to a corporate goal, sector strategy or country program.</t>
        </is>
      </c>
      <c r="F6" s="12" t="inlineStr"/>
      <c r="G6" s="12" t="inlineStr"/>
      <c r="H6" s="12" t="inlineStr"/>
      <c r="I6" s="12" t="inlineStr"/>
      <c r="J6" s="12" t="inlineStr"/>
      <c r="K6" s="12" t="inlineStr"/>
      <c r="L6" s="12" t="inlineStr"/>
      <c r="M6" s="12" t="inlineStr"/>
      <c r="N6" s="12" t="inlineStr"/>
      <c r="O6" s="12" t="inlineStr"/>
      <c r="P6" s="11" t="inlineStr"/>
      <c r="Q6" s="11" t="inlineStr"/>
      <c r="R6" s="12" t="inlineStr"/>
      <c r="S6" s="12" t="inlineStr"/>
      <c r="T6" s="11" t="inlineStr"/>
    </row>
    <row r="7" outlineLevel="1">
      <c r="A7" s="12" t="inlineStr">
        <is>
          <t>L3</t>
        </is>
      </c>
      <c r="B7" s="12" t="inlineStr">
        <is>
          <t>1.1.4</t>
        </is>
      </c>
      <c r="C7" s="12" t="inlineStr">
        <is>
          <t>D1</t>
        </is>
      </c>
      <c r="D7" s="13" t="inlineStr">
        <is>
          <t>AI Principles &amp; Ethical Positioning</t>
        </is>
      </c>
      <c r="E7" s="12" t="inlineStr">
        <is>
          <t>Set the non-negotiable commitments that constrain all downstream AI decisions.</t>
        </is>
      </c>
      <c r="F7" s="12" t="inlineStr"/>
      <c r="G7" s="12" t="inlineStr"/>
      <c r="H7" s="12" t="inlineStr"/>
      <c r="I7" s="12" t="inlineStr"/>
      <c r="J7" s="12" t="inlineStr"/>
      <c r="K7" s="12" t="inlineStr"/>
      <c r="L7" s="12" t="inlineStr"/>
      <c r="M7" s="12" t="inlineStr"/>
      <c r="N7" s="12" t="inlineStr"/>
      <c r="O7" s="12" t="inlineStr"/>
      <c r="P7" s="11" t="inlineStr"/>
      <c r="Q7" s="11" t="inlineStr"/>
      <c r="R7" s="12" t="inlineStr"/>
      <c r="S7" s="12" t="inlineStr"/>
      <c r="T7" s="11" t="inlineStr"/>
    </row>
    <row r="8" outlineLevel="1">
      <c r="A8" s="12" t="inlineStr">
        <is>
          <t>L3</t>
        </is>
      </c>
      <c r="B8" s="12" t="inlineStr">
        <is>
          <t>1.1.5</t>
        </is>
      </c>
      <c r="C8" s="12" t="inlineStr">
        <is>
          <t>D1</t>
        </is>
      </c>
      <c r="D8" s="13" t="inlineStr">
        <is>
          <t>Horizon Scanning &amp; Technology Foresight</t>
        </is>
      </c>
      <c r="E8" s="12" t="inlineStr">
        <is>
          <t>Track emerging AI capability and judge what it changes for the institution.</t>
        </is>
      </c>
      <c r="F8" s="12" t="inlineStr"/>
      <c r="G8" s="12" t="inlineStr"/>
      <c r="H8" s="12" t="inlineStr"/>
      <c r="I8" s="12" t="inlineStr"/>
      <c r="J8" s="12" t="inlineStr"/>
      <c r="K8" s="12" t="inlineStr"/>
      <c r="L8" s="12" t="inlineStr"/>
      <c r="M8" s="12" t="inlineStr"/>
      <c r="N8" s="12" t="inlineStr"/>
      <c r="O8" s="12" t="inlineStr"/>
      <c r="P8" s="11" t="inlineStr"/>
      <c r="Q8" s="11" t="inlineStr"/>
      <c r="R8" s="12" t="inlineStr"/>
      <c r="S8" s="12" t="inlineStr"/>
      <c r="T8" s="11" t="inlineStr"/>
    </row>
    <row r="9">
      <c r="A9" s="8" t="inlineStr">
        <is>
          <t>L2</t>
        </is>
      </c>
      <c r="B9" s="8" t="inlineStr">
        <is>
          <t>1.2</t>
        </is>
      </c>
      <c r="C9" s="8" t="inlineStr">
        <is>
          <t>D1</t>
        </is>
      </c>
      <c r="D9" s="8" t="inlineStr">
        <is>
          <t>AI Portfolio &amp; Investment Management</t>
        </is>
      </c>
      <c r="E9" s="8" t="inlineStr">
        <is>
          <t>Able to decide which AI work is funded, in what order, and when it stops.</t>
        </is>
      </c>
      <c r="F9" s="8" t="inlineStr">
        <is>
          <t>Strategic Portfolio Management</t>
        </is>
      </c>
      <c r="G9" s="9" t="inlineStr">
        <is>
          <t>SUSANAP@IADB.ORG / Cesar Garces</t>
        </is>
      </c>
      <c r="H9" s="10" t="inlineStr">
        <is>
          <t>Direct</t>
        </is>
      </c>
      <c r="I9" s="9" t="inlineStr">
        <is>
          <t>SPM claims Strategic Portfolio Management, Prioritization (WSJF, strategic alignment, value, risk) and the Capacity &amp; Budget Dashboard.</t>
        </is>
      </c>
      <c r="J9" s="9" t="inlineStr">
        <is>
          <t>Enterprise Portfolio Owner</t>
        </is>
      </c>
      <c r="K9" s="9" t="inlineStr">
        <is>
          <t>lens</t>
        </is>
      </c>
      <c r="L9" s="9" t="inlineStr"/>
      <c r="M9" s="9" t="inlineStr">
        <is>
          <t>high</t>
        </is>
      </c>
      <c r="N9" s="9" t="inlineStr">
        <is>
          <t>AWS CAF-AI; Gartner (analyst, non-public); TOGAF (capability-based planning)</t>
        </is>
      </c>
      <c r="O9" s="9" t="inlineStr"/>
      <c r="P9" s="11" t="inlineStr"/>
      <c r="Q9" s="11" t="inlineStr"/>
      <c r="R9" s="11" t="inlineStr"/>
      <c r="S9" s="11" t="inlineStr"/>
      <c r="T9" s="11" t="inlineStr"/>
    </row>
    <row r="10" outlineLevel="1">
      <c r="A10" s="12" t="inlineStr">
        <is>
          <t>L3</t>
        </is>
      </c>
      <c r="B10" s="12" t="inlineStr">
        <is>
          <t>1.2.1</t>
        </is>
      </c>
      <c r="C10" s="12" t="inlineStr">
        <is>
          <t>D1</t>
        </is>
      </c>
      <c r="D10" s="13" t="inlineStr">
        <is>
          <t>AI Investment Case Development</t>
        </is>
      </c>
      <c r="E10" s="12" t="inlineStr">
        <is>
          <t>Build comparable business cases stating cost, benefit and risk on a common basis.</t>
        </is>
      </c>
      <c r="F10" s="12" t="inlineStr"/>
      <c r="G10" s="12" t="inlineStr"/>
      <c r="H10" s="12" t="inlineStr"/>
      <c r="I10" s="12" t="inlineStr"/>
      <c r="J10" s="12" t="inlineStr"/>
      <c r="K10" s="12" t="inlineStr"/>
      <c r="L10" s="12" t="inlineStr"/>
      <c r="M10" s="12" t="inlineStr"/>
      <c r="N10" s="12" t="inlineStr"/>
      <c r="O10" s="12" t="inlineStr"/>
      <c r="P10" s="11" t="inlineStr"/>
      <c r="Q10" s="11" t="inlineStr"/>
      <c r="R10" s="12" t="inlineStr"/>
      <c r="S10" s="12" t="inlineStr"/>
      <c r="T10" s="11" t="inlineStr"/>
    </row>
    <row r="11" outlineLevel="1">
      <c r="A11" s="12" t="inlineStr">
        <is>
          <t>L3</t>
        </is>
      </c>
      <c r="B11" s="12" t="inlineStr">
        <is>
          <t>1.2.2</t>
        </is>
      </c>
      <c r="C11" s="12" t="inlineStr">
        <is>
          <t>D1</t>
        </is>
      </c>
      <c r="D11" s="13" t="inlineStr">
        <is>
          <t>Portfolio Prioritization &amp; Sequencing</t>
        </is>
      </c>
      <c r="E11" s="12" t="inlineStr">
        <is>
          <t>Rank and stage the AI portfolio against delivery capacity, risk appetite and dependency.</t>
        </is>
      </c>
      <c r="F11" s="12" t="inlineStr"/>
      <c r="G11" s="12" t="inlineStr"/>
      <c r="H11" s="12" t="inlineStr"/>
      <c r="I11" s="12" t="inlineStr"/>
      <c r="J11" s="12" t="inlineStr"/>
      <c r="K11" s="12" t="inlineStr"/>
      <c r="L11" s="12" t="inlineStr"/>
      <c r="M11" s="12" t="inlineStr"/>
      <c r="N11" s="12" t="inlineStr"/>
      <c r="O11" s="12" t="inlineStr"/>
      <c r="P11" s="11" t="inlineStr"/>
      <c r="Q11" s="11" t="inlineStr"/>
      <c r="R11" s="12" t="inlineStr"/>
      <c r="S11" s="12" t="inlineStr"/>
      <c r="T11" s="11" t="inlineStr"/>
    </row>
    <row r="12" outlineLevel="1">
      <c r="A12" s="12" t="inlineStr">
        <is>
          <t>L3</t>
        </is>
      </c>
      <c r="B12" s="12" t="inlineStr">
        <is>
          <t>1.2.3</t>
        </is>
      </c>
      <c r="C12" s="12" t="inlineStr">
        <is>
          <t>D1</t>
        </is>
      </c>
      <c r="D12" s="13" t="inlineStr">
        <is>
          <t>Funding &amp; Budget Allocation</t>
        </is>
      </c>
      <c r="E12" s="12" t="inlineStr">
        <is>
          <t>Route funds to AI work through a mechanism that survives audit and annual planning.</t>
        </is>
      </c>
      <c r="F12" s="12" t="inlineStr"/>
      <c r="G12" s="12" t="inlineStr"/>
      <c r="H12" s="12" t="inlineStr"/>
      <c r="I12" s="12" t="inlineStr"/>
      <c r="J12" s="12" t="inlineStr"/>
      <c r="K12" s="12" t="inlineStr"/>
      <c r="L12" s="12" t="inlineStr"/>
      <c r="M12" s="12" t="inlineStr"/>
      <c r="N12" s="12" t="inlineStr"/>
      <c r="O12" s="12" t="inlineStr"/>
      <c r="P12" s="11" t="inlineStr"/>
      <c r="Q12" s="11" t="inlineStr"/>
      <c r="R12" s="12" t="inlineStr"/>
      <c r="S12" s="12" t="inlineStr"/>
      <c r="T12" s="11" t="inlineStr"/>
    </row>
    <row r="13" outlineLevel="1">
      <c r="A13" s="12" t="inlineStr">
        <is>
          <t>L3</t>
        </is>
      </c>
      <c r="B13" s="12" t="inlineStr">
        <is>
          <t>1.2.4</t>
        </is>
      </c>
      <c r="C13" s="12" t="inlineStr">
        <is>
          <t>D1</t>
        </is>
      </c>
      <c r="D13" s="13" t="inlineStr">
        <is>
          <t>Portfolio Balance &amp; Exposure Management</t>
        </is>
      </c>
      <c r="E13" s="12" t="inlineStr">
        <is>
          <t>Keep the mix of experimental, scaling and production AI within stated tolerance.</t>
        </is>
      </c>
      <c r="F13" s="12" t="inlineStr"/>
      <c r="G13" s="12" t="inlineStr"/>
      <c r="H13" s="12" t="inlineStr"/>
      <c r="I13" s="12" t="inlineStr"/>
      <c r="J13" s="12" t="inlineStr"/>
      <c r="K13" s="12" t="inlineStr"/>
      <c r="L13" s="12" t="inlineStr"/>
      <c r="M13" s="12" t="inlineStr"/>
      <c r="N13" s="12" t="inlineStr"/>
      <c r="O13" s="12" t="inlineStr"/>
      <c r="P13" s="11" t="inlineStr"/>
      <c r="Q13" s="11" t="inlineStr"/>
      <c r="R13" s="12" t="inlineStr"/>
      <c r="S13" s="12" t="inlineStr"/>
      <c r="T13" s="11" t="inlineStr"/>
    </row>
    <row r="14" outlineLevel="1">
      <c r="A14" s="12" t="inlineStr">
        <is>
          <t>L3</t>
        </is>
      </c>
      <c r="B14" s="12" t="inlineStr">
        <is>
          <t>1.2.5</t>
        </is>
      </c>
      <c r="C14" s="12" t="inlineStr">
        <is>
          <t>D1</t>
        </is>
      </c>
      <c r="D14" s="13" t="inlineStr">
        <is>
          <t>Stage-Gate &amp; Investment Review</t>
        </is>
      </c>
      <c r="E14" s="12" t="inlineStr">
        <is>
          <t>Decide continuation, pivot or termination at defined decision points on recorded criteria.</t>
        </is>
      </c>
      <c r="F14" s="12" t="inlineStr"/>
      <c r="G14" s="12" t="inlineStr"/>
      <c r="H14" s="12" t="inlineStr"/>
      <c r="I14" s="12" t="inlineStr"/>
      <c r="J14" s="12" t="inlineStr"/>
      <c r="K14" s="12" t="inlineStr"/>
      <c r="L14" s="12" t="inlineStr"/>
      <c r="M14" s="12" t="inlineStr"/>
      <c r="N14" s="12" t="inlineStr"/>
      <c r="O14" s="12" t="inlineStr"/>
      <c r="P14" s="11" t="inlineStr"/>
      <c r="Q14" s="11" t="inlineStr"/>
      <c r="R14" s="12" t="inlineStr"/>
      <c r="S14" s="12" t="inlineStr"/>
      <c r="T14" s="11" t="inlineStr"/>
    </row>
    <row r="15">
      <c r="A15" s="8" t="inlineStr">
        <is>
          <t>L2</t>
        </is>
      </c>
      <c r="B15" s="8" t="inlineStr">
        <is>
          <t>1.3</t>
        </is>
      </c>
      <c r="C15" s="8" t="inlineStr">
        <is>
          <t>D1</t>
        </is>
      </c>
      <c r="D15" s="8" t="inlineStr">
        <is>
          <t>Value Realization &amp; Performance Reporting</t>
        </is>
      </c>
      <c r="E15" s="8" t="inlineStr">
        <is>
          <t>Able to prove what AI actually delivered, to the standard a governing body accepts.</t>
        </is>
      </c>
      <c r="F15" s="8" t="inlineStr">
        <is>
          <t>Strategic Portfolio Management</t>
        </is>
      </c>
      <c r="G15" s="9" t="inlineStr">
        <is>
          <t>SUSANAP@IADB.ORG / Cesar Garces</t>
        </is>
      </c>
      <c r="H15" s="14" t="inlineStr">
        <is>
          <t>Inferred</t>
        </is>
      </c>
      <c r="I15" s="9" t="inlineStr">
        <is>
          <t>SPM claims Portfolio Health Monitoring (progress, risk, impact). It does not claim value attribution for AI specifically — confirm whether AI benefit tracking sits here or with the AI enabler.</t>
        </is>
      </c>
      <c r="J15" s="9" t="inlineStr">
        <is>
          <t>Strategy Performance Owner</t>
        </is>
      </c>
      <c r="K15" s="9" t="inlineStr">
        <is>
          <t>lens</t>
        </is>
      </c>
      <c r="L15" s="9" t="inlineStr"/>
      <c r="M15" s="9" t="inlineStr">
        <is>
          <t>high</t>
        </is>
      </c>
      <c r="N15" s="9" t="inlineStr">
        <is>
          <t>WEF AI-First Operating System; MIT CISR; GAO AI Accountability Framework</t>
        </is>
      </c>
      <c r="O15" s="9" t="inlineStr"/>
      <c r="P15" s="11" t="inlineStr"/>
      <c r="Q15" s="11" t="inlineStr"/>
      <c r="R15" s="11" t="inlineStr"/>
      <c r="S15" s="11" t="inlineStr"/>
      <c r="T15" s="11" t="inlineStr"/>
    </row>
    <row r="16" outlineLevel="1">
      <c r="A16" s="12" t="inlineStr">
        <is>
          <t>L3</t>
        </is>
      </c>
      <c r="B16" s="12" t="inlineStr">
        <is>
          <t>1.3.1</t>
        </is>
      </c>
      <c r="C16" s="12" t="inlineStr">
        <is>
          <t>D1</t>
        </is>
      </c>
      <c r="D16" s="13" t="inlineStr">
        <is>
          <t>Benefit Definition &amp; Baselining</t>
        </is>
      </c>
      <c r="E16" s="12" t="inlineStr">
        <is>
          <t>State expected benefit in measurable terms before build, with a recorded pre-intervention baseline.</t>
        </is>
      </c>
      <c r="F16" s="12" t="inlineStr"/>
      <c r="G16" s="12" t="inlineStr"/>
      <c r="H16" s="12" t="inlineStr"/>
      <c r="I16" s="12" t="inlineStr"/>
      <c r="J16" s="12" t="inlineStr"/>
      <c r="K16" s="12" t="inlineStr"/>
      <c r="L16" s="12" t="inlineStr"/>
      <c r="M16" s="12" t="inlineStr"/>
      <c r="N16" s="12" t="inlineStr"/>
      <c r="O16" s="12" t="inlineStr"/>
      <c r="P16" s="11" t="inlineStr"/>
      <c r="Q16" s="11" t="inlineStr"/>
      <c r="R16" s="12" t="inlineStr"/>
      <c r="S16" s="12" t="inlineStr"/>
      <c r="T16" s="11" t="inlineStr"/>
    </row>
    <row r="17" outlineLevel="1">
      <c r="A17" s="12" t="inlineStr">
        <is>
          <t>L3</t>
        </is>
      </c>
      <c r="B17" s="12" t="inlineStr">
        <is>
          <t>1.3.2</t>
        </is>
      </c>
      <c r="C17" s="12" t="inlineStr">
        <is>
          <t>D1</t>
        </is>
      </c>
      <c r="D17" s="13" t="inlineStr">
        <is>
          <t>Value Tracking &amp; Attribution</t>
        </is>
      </c>
      <c r="E17" s="12" t="inlineStr">
        <is>
          <t>Measure realized benefit and attribute it defensibly to the AI intervention rather than to trend.</t>
        </is>
      </c>
      <c r="F17" s="12" t="inlineStr"/>
      <c r="G17" s="12" t="inlineStr"/>
      <c r="H17" s="12" t="inlineStr"/>
      <c r="I17" s="12" t="inlineStr"/>
      <c r="J17" s="12" t="inlineStr"/>
      <c r="K17" s="12" t="inlineStr"/>
      <c r="L17" s="12" t="inlineStr"/>
      <c r="M17" s="12" t="inlineStr"/>
      <c r="N17" s="12" t="inlineStr"/>
      <c r="O17" s="12" t="inlineStr"/>
      <c r="P17" s="11" t="inlineStr"/>
      <c r="Q17" s="11" t="inlineStr"/>
      <c r="R17" s="12" t="inlineStr"/>
      <c r="S17" s="12" t="inlineStr"/>
      <c r="T17" s="11" t="inlineStr"/>
    </row>
    <row r="18" outlineLevel="1">
      <c r="A18" s="12" t="inlineStr">
        <is>
          <t>L3</t>
        </is>
      </c>
      <c r="B18" s="12" t="inlineStr">
        <is>
          <t>1.3.3</t>
        </is>
      </c>
      <c r="C18" s="12" t="inlineStr">
        <is>
          <t>D1</t>
        </is>
      </c>
      <c r="D18" s="13" t="inlineStr">
        <is>
          <t>AI Performance Metrics &amp; KPI Management</t>
        </is>
      </c>
      <c r="E18" s="12" t="inlineStr">
        <is>
          <t>Maintain the indicator set that describes AI performance institution-wide.</t>
        </is>
      </c>
      <c r="F18" s="12" t="inlineStr"/>
      <c r="G18" s="12" t="inlineStr"/>
      <c r="H18" s="12" t="inlineStr"/>
      <c r="I18" s="12" t="inlineStr"/>
      <c r="J18" s="12" t="inlineStr"/>
      <c r="K18" s="12" t="inlineStr"/>
      <c r="L18" s="12" t="inlineStr"/>
      <c r="M18" s="12" t="inlineStr"/>
      <c r="N18" s="12" t="inlineStr"/>
      <c r="O18" s="12" t="inlineStr"/>
      <c r="P18" s="11" t="inlineStr"/>
      <c r="Q18" s="11" t="inlineStr"/>
      <c r="R18" s="12" t="inlineStr"/>
      <c r="S18" s="12" t="inlineStr"/>
      <c r="T18" s="11" t="inlineStr"/>
    </row>
    <row r="19" outlineLevel="1">
      <c r="A19" s="12" t="inlineStr">
        <is>
          <t>L3</t>
        </is>
      </c>
      <c r="B19" s="12" t="inlineStr">
        <is>
          <t>1.3.4</t>
        </is>
      </c>
      <c r="C19" s="12" t="inlineStr">
        <is>
          <t>D1</t>
        </is>
      </c>
      <c r="D19" s="13" t="inlineStr">
        <is>
          <t>Executive &amp; Board Reporting</t>
        </is>
      </c>
      <c r="E19" s="12" t="inlineStr">
        <is>
          <t>Report AI status, risk and value to governing bodies at their cadence and in their language.</t>
        </is>
      </c>
      <c r="F19" s="12" t="inlineStr"/>
      <c r="G19" s="12" t="inlineStr"/>
      <c r="H19" s="12" t="inlineStr"/>
      <c r="I19" s="12" t="inlineStr"/>
      <c r="J19" s="12" t="inlineStr"/>
      <c r="K19" s="12" t="inlineStr"/>
      <c r="L19" s="12" t="inlineStr"/>
      <c r="M19" s="12" t="inlineStr"/>
      <c r="N19" s="12" t="inlineStr"/>
      <c r="O19" s="12" t="inlineStr"/>
      <c r="P19" s="11" t="inlineStr"/>
      <c r="Q19" s="11" t="inlineStr"/>
      <c r="R19" s="12" t="inlineStr"/>
      <c r="S19" s="12" t="inlineStr"/>
      <c r="T19" s="11" t="inlineStr"/>
    </row>
    <row r="20" outlineLevel="1">
      <c r="A20" s="12" t="inlineStr">
        <is>
          <t>L3</t>
        </is>
      </c>
      <c r="B20" s="12" t="inlineStr">
        <is>
          <t>1.3.5</t>
        </is>
      </c>
      <c r="C20" s="12" t="inlineStr">
        <is>
          <t>D1</t>
        </is>
      </c>
      <c r="D20" s="13" t="inlineStr">
        <is>
          <t>Post-Implementation Review</t>
        </is>
      </c>
      <c r="E20" s="12" t="inlineStr">
        <is>
          <t>Assess delivered outcomes against the approved case and feed findings back into prioritization.</t>
        </is>
      </c>
      <c r="F20" s="12" t="inlineStr"/>
      <c r="G20" s="12" t="inlineStr"/>
      <c r="H20" s="12" t="inlineStr"/>
      <c r="I20" s="12" t="inlineStr"/>
      <c r="J20" s="12" t="inlineStr"/>
      <c r="K20" s="12" t="inlineStr"/>
      <c r="L20" s="12" t="inlineStr"/>
      <c r="M20" s="12" t="inlineStr"/>
      <c r="N20" s="12" t="inlineStr"/>
      <c r="O20" s="12" t="inlineStr"/>
      <c r="P20" s="11" t="inlineStr"/>
      <c r="Q20" s="11" t="inlineStr"/>
      <c r="R20" s="12" t="inlineStr"/>
      <c r="S20" s="12" t="inlineStr"/>
      <c r="T20" s="11" t="inlineStr"/>
    </row>
    <row r="21">
      <c r="A21" s="8" t="inlineStr">
        <is>
          <t>L2</t>
        </is>
      </c>
      <c r="B21" s="8" t="inlineStr">
        <is>
          <t>1.4</t>
        </is>
      </c>
      <c r="C21" s="8" t="inlineStr">
        <is>
          <t>D1</t>
        </is>
      </c>
      <c r="D21" s="8" t="inlineStr">
        <is>
          <t>AI Sourcing &amp; Partner Strategy</t>
        </is>
      </c>
      <c r="E21" s="8" t="inlineStr">
        <is>
          <t>Able to decide what is built, bought or partnered, and to stay able to change that decision.</t>
        </is>
      </c>
      <c r="F21" s="8" t="inlineStr">
        <is>
          <t>Strategic Resource Management</t>
        </is>
      </c>
      <c r="G21" s="9" t="inlineStr">
        <is>
          <t>BrunoFe@iadb.org</t>
        </is>
      </c>
      <c r="H21" s="15" t="inlineStr">
        <is>
          <t>Partial</t>
        </is>
      </c>
      <c r="I21" s="9" t="inlineStr">
        <is>
          <t>SRM claims Vendor Management. Nothing claims AI-specific contractual safeguards, model-provider evaluation, or concentration and exit risk. Second owner likely needed (Legal / Procurement).</t>
        </is>
      </c>
      <c r="J21" s="9" t="inlineStr">
        <is>
          <t>Chief Procurement Officer</t>
        </is>
      </c>
      <c r="K21" s="9" t="inlineStr">
        <is>
          <t>specialization</t>
        </is>
      </c>
      <c r="L21" s="9" t="inlineStr"/>
      <c r="M21" s="9" t="inlineStr">
        <is>
          <t>medium</t>
        </is>
      </c>
      <c r="N21" s="9" t="inlineStr">
        <is>
          <t>ISO/IEC 42001 - third-party control; AWS CAF-AI</t>
        </is>
      </c>
      <c r="O21" s="9" t="inlineStr"/>
      <c r="P21" s="11" t="inlineStr"/>
      <c r="Q21" s="11" t="inlineStr"/>
      <c r="R21" s="11" t="inlineStr"/>
      <c r="S21" s="11" t="inlineStr"/>
      <c r="T21" s="11" t="inlineStr">
        <is>
          <t>Boundary check: 1.4 is now procurement/contract only. Ecosystem-level dependency moved to 1.5.</t>
        </is>
      </c>
    </row>
    <row r="22" outlineLevel="1">
      <c r="A22" s="12" t="inlineStr">
        <is>
          <t>L3</t>
        </is>
      </c>
      <c r="B22" s="12" t="inlineStr">
        <is>
          <t>1.4.1</t>
        </is>
      </c>
      <c r="C22" s="12" t="inlineStr">
        <is>
          <t>D1</t>
        </is>
      </c>
      <c r="D22" s="13" t="inlineStr">
        <is>
          <t>Build / Buy / Partner Decisioning</t>
        </is>
      </c>
      <c r="E22" s="12" t="inlineStr">
        <is>
          <t>Choose the sourcing route per capability with recorded rationale and revisit triggers.</t>
        </is>
      </c>
      <c r="F22" s="12" t="inlineStr"/>
      <c r="G22" s="12" t="inlineStr"/>
      <c r="H22" s="12" t="inlineStr"/>
      <c r="I22" s="12" t="inlineStr"/>
      <c r="J22" s="12" t="inlineStr"/>
      <c r="K22" s="12" t="inlineStr"/>
      <c r="L22" s="12" t="inlineStr"/>
      <c r="M22" s="12" t="inlineStr"/>
      <c r="N22" s="12" t="inlineStr"/>
      <c r="O22" s="12" t="inlineStr"/>
      <c r="P22" s="11" t="inlineStr"/>
      <c r="Q22" s="11" t="inlineStr"/>
      <c r="R22" s="12" t="inlineStr"/>
      <c r="S22" s="12" t="inlineStr"/>
      <c r="T22" s="11" t="inlineStr"/>
    </row>
    <row r="23" outlineLevel="1">
      <c r="A23" s="12" t="inlineStr">
        <is>
          <t>L3</t>
        </is>
      </c>
      <c r="B23" s="12" t="inlineStr">
        <is>
          <t>1.4.2</t>
        </is>
      </c>
      <c r="C23" s="12" t="inlineStr">
        <is>
          <t>D1</t>
        </is>
      </c>
      <c r="D23" s="13" t="inlineStr">
        <is>
          <t>AI Vendor &amp; Model Provider Evaluation</t>
        </is>
      </c>
      <c r="E23" s="12" t="inlineStr">
        <is>
          <t>Assess providers on capability, trustworthiness, transparency and cost of exit.</t>
        </is>
      </c>
      <c r="F23" s="12" t="inlineStr"/>
      <c r="G23" s="12" t="inlineStr"/>
      <c r="H23" s="12" t="inlineStr"/>
      <c r="I23" s="12" t="inlineStr"/>
      <c r="J23" s="12" t="inlineStr"/>
      <c r="K23" s="12" t="inlineStr"/>
      <c r="L23" s="12" t="inlineStr"/>
      <c r="M23" s="12" t="inlineStr"/>
      <c r="N23" s="12" t="inlineStr"/>
      <c r="O23" s="12" t="inlineStr"/>
      <c r="P23" s="11" t="inlineStr"/>
      <c r="Q23" s="11" t="inlineStr"/>
      <c r="R23" s="12" t="inlineStr"/>
      <c r="S23" s="12" t="inlineStr"/>
      <c r="T23" s="11" t="inlineStr"/>
    </row>
    <row r="24" outlineLevel="1">
      <c r="A24" s="12" t="inlineStr">
        <is>
          <t>L3</t>
        </is>
      </c>
      <c r="B24" s="12" t="inlineStr">
        <is>
          <t>1.4.3</t>
        </is>
      </c>
      <c r="C24" s="12" t="inlineStr">
        <is>
          <t>D1</t>
        </is>
      </c>
      <c r="D24" s="13" t="inlineStr">
        <is>
          <t>Contractual Safeguards &amp; AI Clauses</t>
        </is>
      </c>
      <c r="E24" s="12" t="inlineStr">
        <is>
          <t>Secure rights covering data use, IP, indemnity, audit access and notification of model change.</t>
        </is>
      </c>
      <c r="F24" s="12" t="inlineStr"/>
      <c r="G24" s="12" t="inlineStr"/>
      <c r="H24" s="12" t="inlineStr"/>
      <c r="I24" s="12" t="inlineStr"/>
      <c r="J24" s="12" t="inlineStr"/>
      <c r="K24" s="12" t="inlineStr"/>
      <c r="L24" s="12" t="inlineStr"/>
      <c r="M24" s="12" t="inlineStr"/>
      <c r="N24" s="12" t="inlineStr"/>
      <c r="O24" s="12" t="inlineStr"/>
      <c r="P24" s="11" t="inlineStr"/>
      <c r="Q24" s="11" t="inlineStr"/>
      <c r="R24" s="12" t="inlineStr"/>
      <c r="S24" s="12" t="inlineStr"/>
      <c r="T24" s="11" t="inlineStr"/>
    </row>
    <row r="25" outlineLevel="1">
      <c r="A25" s="12" t="inlineStr">
        <is>
          <t>L3</t>
        </is>
      </c>
      <c r="B25" s="12" t="inlineStr">
        <is>
          <t>1.4.4</t>
        </is>
      </c>
      <c r="C25" s="12" t="inlineStr">
        <is>
          <t>D1</t>
        </is>
      </c>
      <c r="D25" s="13" t="inlineStr">
        <is>
          <t>Concentration &amp; Exit Risk Management</t>
        </is>
      </c>
      <c r="E25" s="12" t="inlineStr">
        <is>
          <t>Limit dependence on any single provider and keep a tested, costed exit path.</t>
        </is>
      </c>
      <c r="F25" s="12" t="inlineStr"/>
      <c r="G25" s="12" t="inlineStr"/>
      <c r="H25" s="12" t="inlineStr"/>
      <c r="I25" s="12" t="inlineStr"/>
      <c r="J25" s="12" t="inlineStr"/>
      <c r="K25" s="12" t="inlineStr"/>
      <c r="L25" s="12" t="inlineStr"/>
      <c r="M25" s="12" t="inlineStr"/>
      <c r="N25" s="12" t="inlineStr"/>
      <c r="O25" s="12" t="inlineStr"/>
      <c r="P25" s="11" t="inlineStr"/>
      <c r="Q25" s="11" t="inlineStr"/>
      <c r="R25" s="12" t="inlineStr"/>
      <c r="S25" s="12" t="inlineStr"/>
      <c r="T25" s="11" t="inlineStr">
        <is>
          <t>Boundary check: per-supplier concentration and exit. Aggregate ecosystem dependency is 1.5.5 - confirm the split holds.</t>
        </is>
      </c>
    </row>
    <row r="26" outlineLevel="1">
      <c r="A26" s="12" t="inlineStr">
        <is>
          <t>L3</t>
        </is>
      </c>
      <c r="B26" s="12" t="inlineStr">
        <is>
          <t>1.4.5</t>
        </is>
      </c>
      <c r="C26" s="12" t="inlineStr">
        <is>
          <t>D1</t>
        </is>
      </c>
      <c r="D26" s="13" t="inlineStr">
        <is>
          <t>Supplier Performance &amp; Assurance Monitoring</t>
        </is>
      </c>
      <c r="E26" s="12" t="inlineStr">
        <is>
          <t>Monitor contracted providers against their obligations and assurance commitments for the life of the relationship.</t>
        </is>
      </c>
      <c r="F26" s="12" t="inlineStr"/>
      <c r="G26" s="12" t="inlineStr"/>
      <c r="H26" s="12" t="inlineStr"/>
      <c r="I26" s="12" t="inlineStr"/>
      <c r="J26" s="12" t="inlineStr"/>
      <c r="K26" s="12" t="inlineStr"/>
      <c r="L26" s="12" t="inlineStr"/>
      <c r="M26" s="12" t="inlineStr"/>
      <c r="N26" s="12" t="inlineStr"/>
      <c r="O26" s="12" t="inlineStr"/>
      <c r="P26" s="11" t="inlineStr"/>
      <c r="Q26" s="11" t="inlineStr"/>
      <c r="R26" s="12" t="inlineStr"/>
      <c r="S26" s="12" t="inlineStr"/>
      <c r="T26" s="11" t="inlineStr"/>
    </row>
    <row r="27">
      <c r="A27" s="8" t="inlineStr">
        <is>
          <t>L2</t>
        </is>
      </c>
      <c r="B27" s="8" t="inlineStr">
        <is>
          <t>1.5</t>
        </is>
      </c>
      <c r="C27" s="8" t="inlineStr">
        <is>
          <t>D1</t>
        </is>
      </c>
      <c r="D27" s="8" t="inlineStr">
        <is>
          <t>AI Ecosystem &amp; Alliance Management</t>
        </is>
      </c>
      <c r="E27" s="8" t="inlineStr">
        <is>
          <t>Able to hold external AI relationships that are not supplier contracts, and to stay operable when the ecosystem around them changes.</t>
        </is>
      </c>
      <c r="F27" s="16" t="inlineStr">
        <is>
          <t>— none in the catalogue —</t>
        </is>
      </c>
      <c r="G27" s="9" t="inlineStr"/>
      <c r="H27" s="17" t="inlineStr">
        <is>
          <t>NO MATCH</t>
        </is>
      </c>
      <c r="I27" s="9" t="inlineStr">
        <is>
          <t>No product or enabler covers external AI partnerships, academic collaboration or multilateral cooperation. Nearest is Emerging Tech (research, publications, work with central banks), but its remit is technology watch, not alliance management.</t>
        </is>
      </c>
      <c r="J27" s="9" t="inlineStr">
        <is>
          <t>Chief AI Officer</t>
        </is>
      </c>
      <c r="K27" s="9" t="inlineStr">
        <is>
          <t>new</t>
        </is>
      </c>
      <c r="L27" s="9" t="inlineStr"/>
      <c r="M27" s="9" t="inlineStr">
        <is>
          <t>low</t>
        </is>
      </c>
      <c r="N27" s="9" t="inlineStr">
        <is>
          <t>ISO/IEC 42001 - context and interested parties; The Open Group Open Agile Architecture; Institutional practice</t>
        </is>
      </c>
      <c r="O27" s="18" t="inlineStr">
        <is>
          <t>NEW</t>
        </is>
      </c>
      <c r="P27" s="11" t="inlineStr"/>
      <c r="Q27" s="11" t="inlineStr"/>
      <c r="R27" s="11" t="inlineStr"/>
      <c r="S27" s="11" t="inlineStr"/>
      <c r="T27" s="11" t="inlineStr">
        <is>
          <t>ADDED this round. Gap found against an external reference model: 1.4 had no home for non-supplier relationships (academic, multilateral, peer institutions).</t>
        </is>
      </c>
    </row>
    <row r="28" outlineLevel="1">
      <c r="A28" s="12" t="inlineStr">
        <is>
          <t>L3</t>
        </is>
      </c>
      <c r="B28" s="12" t="inlineStr">
        <is>
          <t>1.5.1</t>
        </is>
      </c>
      <c r="C28" s="12" t="inlineStr">
        <is>
          <t>D1</t>
        </is>
      </c>
      <c r="D28" s="13" t="inlineStr">
        <is>
          <t>Partnership Portfolio Definition</t>
        </is>
      </c>
      <c r="E28" s="12" t="inlineStr">
        <is>
          <t>Decide which external relationships the institution needs in order to hold AI capability it will not build itself.</t>
        </is>
      </c>
      <c r="F28" s="12" t="inlineStr"/>
      <c r="G28" s="12" t="inlineStr"/>
      <c r="H28" s="12" t="inlineStr"/>
      <c r="I28" s="12" t="inlineStr"/>
      <c r="J28" s="12" t="inlineStr"/>
      <c r="K28" s="12" t="inlineStr"/>
      <c r="L28" s="12" t="inlineStr"/>
      <c r="M28" s="12" t="inlineStr"/>
      <c r="N28" s="12" t="inlineStr"/>
      <c r="O28" s="12" t="inlineStr">
        <is>
          <t>NEW</t>
        </is>
      </c>
      <c r="P28" s="11" t="inlineStr"/>
      <c r="Q28" s="11" t="inlineStr"/>
      <c r="R28" s="12" t="inlineStr"/>
      <c r="S28" s="12" t="inlineStr"/>
      <c r="T28" s="11" t="inlineStr"/>
    </row>
    <row r="29" outlineLevel="1">
      <c r="A29" s="12" t="inlineStr">
        <is>
          <t>L3</t>
        </is>
      </c>
      <c r="B29" s="12" t="inlineStr">
        <is>
          <t>1.5.2</t>
        </is>
      </c>
      <c r="C29" s="12" t="inlineStr">
        <is>
          <t>D1</t>
        </is>
      </c>
      <c r="D29" s="13" t="inlineStr">
        <is>
          <t>Research &amp; Academic Collaboration</t>
        </is>
      </c>
      <c r="E29" s="12" t="inlineStr">
        <is>
          <t>Operate collaborations whose output is knowledge, method or evidence rather than a delivered system.</t>
        </is>
      </c>
      <c r="F29" s="12" t="inlineStr"/>
      <c r="G29" s="12" t="inlineStr"/>
      <c r="H29" s="12" t="inlineStr"/>
      <c r="I29" s="12" t="inlineStr"/>
      <c r="J29" s="12" t="inlineStr"/>
      <c r="K29" s="12" t="inlineStr"/>
      <c r="L29" s="12" t="inlineStr"/>
      <c r="M29" s="12" t="inlineStr"/>
      <c r="N29" s="12" t="inlineStr"/>
      <c r="O29" s="12" t="inlineStr">
        <is>
          <t>NEW</t>
        </is>
      </c>
      <c r="P29" s="11" t="inlineStr"/>
      <c r="Q29" s="11" t="inlineStr"/>
      <c r="R29" s="12" t="inlineStr"/>
      <c r="S29" s="12" t="inlineStr"/>
      <c r="T29" s="11" t="inlineStr"/>
    </row>
    <row r="30" outlineLevel="1">
      <c r="A30" s="12" t="inlineStr">
        <is>
          <t>L3</t>
        </is>
      </c>
      <c r="B30" s="12" t="inlineStr">
        <is>
          <t>1.5.3</t>
        </is>
      </c>
      <c r="C30" s="12" t="inlineStr">
        <is>
          <t>D1</t>
        </is>
      </c>
      <c r="D30" s="13" t="inlineStr">
        <is>
          <t>Peer &amp; Multilateral Cooperation</t>
        </is>
      </c>
      <c r="E30" s="12" t="inlineStr">
        <is>
          <t>Exchange AI practice, assets and evidence with counterpart institutions under agreed terms.</t>
        </is>
      </c>
      <c r="F30" s="12" t="inlineStr"/>
      <c r="G30" s="12" t="inlineStr"/>
      <c r="H30" s="12" t="inlineStr"/>
      <c r="I30" s="12" t="inlineStr"/>
      <c r="J30" s="12" t="inlineStr"/>
      <c r="K30" s="12" t="inlineStr"/>
      <c r="L30" s="12" t="inlineStr"/>
      <c r="M30" s="12" t="inlineStr"/>
      <c r="N30" s="12" t="inlineStr"/>
      <c r="O30" s="12" t="inlineStr">
        <is>
          <t>NEW</t>
        </is>
      </c>
      <c r="P30" s="11" t="inlineStr"/>
      <c r="Q30" s="11" t="inlineStr"/>
      <c r="R30" s="12" t="inlineStr"/>
      <c r="S30" s="12" t="inlineStr"/>
      <c r="T30" s="11" t="inlineStr"/>
    </row>
    <row r="31" outlineLevel="1">
      <c r="A31" s="12" t="inlineStr">
        <is>
          <t>L3</t>
        </is>
      </c>
      <c r="B31" s="12" t="inlineStr">
        <is>
          <t>1.5.4</t>
        </is>
      </c>
      <c r="C31" s="12" t="inlineStr">
        <is>
          <t>D1</t>
        </is>
      </c>
      <c r="D31" s="13" t="inlineStr">
        <is>
          <t>Insourcing / Outsourcing Posture Management</t>
        </is>
      </c>
      <c r="E31" s="12" t="inlineStr">
        <is>
          <t>Set and periodically revisit which AI work is held internally and which is placed outside.</t>
        </is>
      </c>
      <c r="F31" s="12" t="inlineStr"/>
      <c r="G31" s="12" t="inlineStr"/>
      <c r="H31" s="12" t="inlineStr"/>
      <c r="I31" s="12" t="inlineStr"/>
      <c r="J31" s="12" t="inlineStr"/>
      <c r="K31" s="12" t="inlineStr"/>
      <c r="L31" s="12" t="inlineStr"/>
      <c r="M31" s="12" t="inlineStr"/>
      <c r="N31" s="12" t="inlineStr"/>
      <c r="O31" s="12" t="inlineStr">
        <is>
          <t>NEW</t>
        </is>
      </c>
      <c r="P31" s="11" t="inlineStr"/>
      <c r="Q31" s="11" t="inlineStr"/>
      <c r="R31" s="12" t="inlineStr"/>
      <c r="S31" s="12" t="inlineStr"/>
      <c r="T31" s="11" t="inlineStr"/>
    </row>
    <row r="32" outlineLevel="1">
      <c r="A32" s="12" t="inlineStr">
        <is>
          <t>L3</t>
        </is>
      </c>
      <c r="B32" s="12" t="inlineStr">
        <is>
          <t>1.5.5</t>
        </is>
      </c>
      <c r="C32" s="12" t="inlineStr">
        <is>
          <t>D1</t>
        </is>
      </c>
      <c r="D32" s="13" t="inlineStr">
        <is>
          <t>Ecosystem Dependency &amp; Continuity Management</t>
        </is>
      </c>
      <c r="E32" s="12" t="inlineStr">
        <is>
          <t>Track aggregate dependency across the external AI ecosystem and stay able to operate when a member changes, merges or exits.</t>
        </is>
      </c>
      <c r="F32" s="12" t="inlineStr"/>
      <c r="G32" s="12" t="inlineStr"/>
      <c r="H32" s="12" t="inlineStr"/>
      <c r="I32" s="12" t="inlineStr"/>
      <c r="J32" s="12" t="inlineStr"/>
      <c r="K32" s="12" t="inlineStr"/>
      <c r="L32" s="12" t="inlineStr"/>
      <c r="M32" s="12" t="inlineStr"/>
      <c r="N32" s="12" t="inlineStr"/>
      <c r="O32" s="12" t="inlineStr">
        <is>
          <t>NEW</t>
        </is>
      </c>
      <c r="P32" s="11" t="inlineStr"/>
      <c r="Q32" s="11" t="inlineStr"/>
      <c r="R32" s="12" t="inlineStr"/>
      <c r="S32" s="12" t="inlineStr"/>
      <c r="T32" s="11" t="inlineStr">
        <is>
          <t>Boundary check against 1.4.4 - see note there.</t>
        </is>
      </c>
    </row>
    <row r="33" outlineLevel="1">
      <c r="A33" s="12" t="inlineStr">
        <is>
          <t>L3</t>
        </is>
      </c>
      <c r="B33" s="12" t="inlineStr">
        <is>
          <t>1.5.6</t>
        </is>
      </c>
      <c r="C33" s="12" t="inlineStr">
        <is>
          <t>D1</t>
        </is>
      </c>
      <c r="D33" s="13" t="inlineStr">
        <is>
          <t>Partnership Value &amp; Obligation Tracking</t>
        </is>
      </c>
      <c r="E33" s="12" t="inlineStr">
        <is>
          <t>Monitor what each relationship returns against what it obliges the institution to do.</t>
        </is>
      </c>
      <c r="F33" s="12" t="inlineStr"/>
      <c r="G33" s="12" t="inlineStr"/>
      <c r="H33" s="12" t="inlineStr"/>
      <c r="I33" s="12" t="inlineStr"/>
      <c r="J33" s="12" t="inlineStr"/>
      <c r="K33" s="12" t="inlineStr"/>
      <c r="L33" s="12" t="inlineStr"/>
      <c r="M33" s="12" t="inlineStr"/>
      <c r="N33" s="12" t="inlineStr"/>
      <c r="O33" s="12" t="inlineStr">
        <is>
          <t>NEW</t>
        </is>
      </c>
      <c r="P33" s="11" t="inlineStr"/>
      <c r="Q33" s="11" t="inlineStr"/>
      <c r="R33" s="12" t="inlineStr"/>
      <c r="S33" s="12" t="inlineStr"/>
      <c r="T33" s="11" t="inlineStr"/>
    </row>
    <row r="34">
      <c r="A34" s="7" t="inlineStr">
        <is>
          <t>Domain</t>
        </is>
      </c>
      <c r="B34" s="7" t="inlineStr">
        <is>
          <t>D2</t>
        </is>
      </c>
      <c r="C34" s="7" t="inlineStr">
        <is>
          <t>D2</t>
        </is>
      </c>
      <c r="D34" s="7" t="inlineStr">
        <is>
          <t>AI Demand &amp; Solution Shaping</t>
        </is>
      </c>
      <c r="E34" s="7" t="inlineStr">
        <is>
          <t>Able to find, qualify and shape AI opportunities into deliverable, adoptable solutions.</t>
        </is>
      </c>
      <c r="F34" s="7" t="n"/>
      <c r="G34" s="7" t="n"/>
      <c r="H34" s="7" t="n"/>
      <c r="I34" s="7" t="n"/>
      <c r="J34" s="7" t="n"/>
      <c r="K34" s="7" t="n"/>
      <c r="L34" s="7" t="n"/>
      <c r="M34" s="7" t="n"/>
      <c r="N34" s="7" t="n"/>
      <c r="O34" s="7" t="n"/>
      <c r="P34" s="7" t="n"/>
      <c r="Q34" s="7" t="n"/>
      <c r="R34" s="7" t="n"/>
      <c r="S34" s="7" t="n"/>
      <c r="T34" s="7" t="inlineStr"/>
    </row>
    <row r="35">
      <c r="A35" s="8" t="inlineStr">
        <is>
          <t>L2</t>
        </is>
      </c>
      <c r="B35" s="8" t="inlineStr">
        <is>
          <t>2.1</t>
        </is>
      </c>
      <c r="C35" s="8" t="inlineStr">
        <is>
          <t>D2</t>
        </is>
      </c>
      <c r="D35" s="8" t="inlineStr">
        <is>
          <t>Use Case Discovery &amp; Intake</t>
        </is>
      </c>
      <c r="E35" s="8" t="inlineStr">
        <is>
          <t>Able to surface candidate AI work and admit it through one controlled front door.</t>
        </is>
      </c>
      <c r="F35" s="8" t="inlineStr">
        <is>
          <t>Artificial Intelligence</t>
        </is>
      </c>
      <c r="G35" s="9" t="inlineStr">
        <is>
          <t>JAIRORI@IADB.ORG</t>
        </is>
      </c>
      <c r="H35" s="14" t="inlineStr">
        <is>
          <t>Inferred</t>
        </is>
      </c>
      <c r="I35" s="9" t="inlineStr">
        <is>
          <t>AI enabler maintains the enterprise AI capability catalogue, which implies an intake route, but no capability line names demand intake. Strategic Portfolio Management owns prioritisation. Boundary needs settling.</t>
        </is>
      </c>
      <c r="J35" s="9" t="inlineStr">
        <is>
          <t>Demand Management Owner</t>
        </is>
      </c>
      <c r="K35" s="9" t="inlineStr">
        <is>
          <t>lens</t>
        </is>
      </c>
      <c r="L35" s="9" t="inlineStr"/>
      <c r="M35" s="9" t="inlineStr">
        <is>
          <t>high</t>
        </is>
      </c>
      <c r="N35" s="9" t="inlineStr">
        <is>
          <t>AWS CAF-AI; Google AI Adoption Framework</t>
        </is>
      </c>
      <c r="O35" s="9" t="inlineStr"/>
      <c r="P35" s="11" t="inlineStr"/>
      <c r="Q35" s="11" t="inlineStr"/>
      <c r="R35" s="11" t="inlineStr"/>
      <c r="S35" s="11" t="inlineStr"/>
      <c r="T35" s="11" t="inlineStr">
        <is>
          <t>Boundary check: 2.1 is the controlled front door for demand that is already a request. 2.6 is what happens before an idea is a request.</t>
        </is>
      </c>
    </row>
    <row r="36" outlineLevel="1">
      <c r="A36" s="12" t="inlineStr">
        <is>
          <t>L3</t>
        </is>
      </c>
      <c r="B36" s="12" t="inlineStr">
        <is>
          <t>2.1.1</t>
        </is>
      </c>
      <c r="C36" s="12" t="inlineStr">
        <is>
          <t>D2</t>
        </is>
      </c>
      <c r="D36" s="13" t="inlineStr">
        <is>
          <t>Opportunity Identification &amp; Ideation</t>
        </is>
      </c>
      <c r="E36" s="12" t="inlineStr">
        <is>
          <t>Actively generate candidate use cases from business need rather than waiting for requests.</t>
        </is>
      </c>
      <c r="F36" s="12" t="inlineStr"/>
      <c r="G36" s="12" t="inlineStr"/>
      <c r="H36" s="12" t="inlineStr"/>
      <c r="I36" s="12" t="inlineStr"/>
      <c r="J36" s="12" t="inlineStr"/>
      <c r="K36" s="12" t="inlineStr"/>
      <c r="L36" s="12" t="inlineStr"/>
      <c r="M36" s="12" t="inlineStr"/>
      <c r="N36" s="12" t="inlineStr"/>
      <c r="O36" s="12" t="inlineStr"/>
      <c r="P36" s="11" t="inlineStr"/>
      <c r="Q36" s="11" t="inlineStr"/>
      <c r="R36" s="12" t="inlineStr"/>
      <c r="S36" s="12" t="inlineStr"/>
      <c r="T36" s="11" t="inlineStr">
        <is>
          <t>Boundary check: overlaps 2.6.1. Options: keep both (2.1.1 = business-need sourcing into the funnel, 2.6.1 = open idea capture), or merge into 2.6.1.</t>
        </is>
      </c>
    </row>
    <row r="37" outlineLevel="1">
      <c r="A37" s="12" t="inlineStr">
        <is>
          <t>L3</t>
        </is>
      </c>
      <c r="B37" s="12" t="inlineStr">
        <is>
          <t>2.1.2</t>
        </is>
      </c>
      <c r="C37" s="12" t="inlineStr">
        <is>
          <t>D2</t>
        </is>
      </c>
      <c r="D37" s="13" t="inlineStr">
        <is>
          <t>Demand Intake &amp; Triage</t>
        </is>
      </c>
      <c r="E37" s="12" t="inlineStr">
        <is>
          <t>Operate a single intake route that classifies and routes every AI request.</t>
        </is>
      </c>
      <c r="F37" s="12" t="inlineStr"/>
      <c r="G37" s="12" t="inlineStr"/>
      <c r="H37" s="12" t="inlineStr"/>
      <c r="I37" s="12" t="inlineStr"/>
      <c r="J37" s="12" t="inlineStr"/>
      <c r="K37" s="12" t="inlineStr"/>
      <c r="L37" s="12" t="inlineStr"/>
      <c r="M37" s="12" t="inlineStr"/>
      <c r="N37" s="12" t="inlineStr"/>
      <c r="O37" s="12" t="inlineStr"/>
      <c r="P37" s="11" t="inlineStr"/>
      <c r="Q37" s="11" t="inlineStr"/>
      <c r="R37" s="12" t="inlineStr"/>
      <c r="S37" s="12" t="inlineStr"/>
      <c r="T37" s="11" t="inlineStr"/>
    </row>
    <row r="38" outlineLevel="1">
      <c r="A38" s="12" t="inlineStr">
        <is>
          <t>L3</t>
        </is>
      </c>
      <c r="B38" s="12" t="inlineStr">
        <is>
          <t>2.1.3</t>
        </is>
      </c>
      <c r="C38" s="12" t="inlineStr">
        <is>
          <t>D2</t>
        </is>
      </c>
      <c r="D38" s="13" t="inlineStr">
        <is>
          <t>Use Case Registration &amp; Classification</t>
        </is>
      </c>
      <c r="E38" s="12" t="inlineStr">
        <is>
          <t>Record each candidate against a common taxonomy before any build effort begins.</t>
        </is>
      </c>
      <c r="F38" s="12" t="inlineStr"/>
      <c r="G38" s="12" t="inlineStr"/>
      <c r="H38" s="12" t="inlineStr"/>
      <c r="I38" s="12" t="inlineStr"/>
      <c r="J38" s="12" t="inlineStr"/>
      <c r="K38" s="12" t="inlineStr"/>
      <c r="L38" s="12" t="inlineStr"/>
      <c r="M38" s="12" t="inlineStr"/>
      <c r="N38" s="12" t="inlineStr"/>
      <c r="O38" s="12" t="inlineStr"/>
      <c r="P38" s="11" t="inlineStr"/>
      <c r="Q38" s="11" t="inlineStr"/>
      <c r="R38" s="12" t="inlineStr"/>
      <c r="S38" s="12" t="inlineStr"/>
      <c r="T38" s="11" t="inlineStr"/>
    </row>
    <row r="39" outlineLevel="1">
      <c r="A39" s="12" t="inlineStr">
        <is>
          <t>L3</t>
        </is>
      </c>
      <c r="B39" s="12" t="inlineStr">
        <is>
          <t>2.1.4</t>
        </is>
      </c>
      <c r="C39" s="12" t="inlineStr">
        <is>
          <t>D2</t>
        </is>
      </c>
      <c r="D39" s="13" t="inlineStr">
        <is>
          <t>Duplicate &amp; Reuse Screening</t>
        </is>
      </c>
      <c r="E39" s="12" t="inlineStr">
        <is>
          <t>Detect that a request is already solved, in flight, or satisfiable by an existing asset.</t>
        </is>
      </c>
      <c r="F39" s="12" t="inlineStr"/>
      <c r="G39" s="12" t="inlineStr"/>
      <c r="H39" s="12" t="inlineStr"/>
      <c r="I39" s="12" t="inlineStr"/>
      <c r="J39" s="12" t="inlineStr"/>
      <c r="K39" s="12" t="inlineStr"/>
      <c r="L39" s="12" t="inlineStr"/>
      <c r="M39" s="12" t="inlineStr"/>
      <c r="N39" s="12" t="inlineStr"/>
      <c r="O39" s="12" t="inlineStr"/>
      <c r="P39" s="11" t="inlineStr"/>
      <c r="Q39" s="11" t="inlineStr"/>
      <c r="R39" s="12" t="inlineStr"/>
      <c r="S39" s="12" t="inlineStr"/>
      <c r="T39" s="11" t="inlineStr"/>
    </row>
    <row r="40">
      <c r="A40" s="8" t="inlineStr">
        <is>
          <t>L2</t>
        </is>
      </c>
      <c r="B40" s="8" t="inlineStr">
        <is>
          <t>2.2</t>
        </is>
      </c>
      <c r="C40" s="8" t="inlineStr">
        <is>
          <t>D2</t>
        </is>
      </c>
      <c r="D40" s="8" t="inlineStr">
        <is>
          <t>AI Use-Case Feasibility &amp; Qualification</t>
        </is>
      </c>
      <c r="E40" s="8" t="inlineStr">
        <is>
          <t>Able to judge, before build, whether a use case is technically and operationally deliverable and worth doing.</t>
        </is>
      </c>
      <c r="F40" s="8" t="inlineStr">
        <is>
          <t>Enterprise Architecture</t>
        </is>
      </c>
      <c r="G40" s="9" t="inlineStr">
        <is>
          <t>KARLAVI@IADB.ORG / RauldaSilva</t>
        </is>
      </c>
      <c r="H40" s="14" t="inlineStr">
        <is>
          <t>Inferred</t>
        </is>
      </c>
      <c r="I40" s="9" t="inlineStr">
        <is>
          <t>EA claims co-design sessions and target/transition architecture work with product teams. Feasibility of AI use cases is not named by anyone.</t>
        </is>
      </c>
      <c r="J40" s="9" t="inlineStr">
        <is>
          <t>AI Product Owner</t>
        </is>
      </c>
      <c r="K40" s="9" t="inlineStr">
        <is>
          <t>new</t>
        </is>
      </c>
      <c r="L40" s="9" t="inlineStr"/>
      <c r="M40" s="9" t="inlineStr">
        <is>
          <t>medium</t>
        </is>
      </c>
      <c r="N40" s="9" t="inlineStr">
        <is>
          <t>IBM Generative AI Capability Model; AWS CAF-AI - Business perspective; The Open Group TOGAF</t>
        </is>
      </c>
      <c r="O40" s="9" t="inlineStr"/>
      <c r="P40" s="11" t="inlineStr"/>
      <c r="Q40" s="11" t="inlineStr"/>
      <c r="R40" s="11" t="inlineStr"/>
      <c r="S40" s="11" t="inlineStr"/>
      <c r="T40" s="11" t="inlineStr"/>
    </row>
    <row r="41" outlineLevel="1">
      <c r="A41" s="12" t="inlineStr">
        <is>
          <t>L3</t>
        </is>
      </c>
      <c r="B41" s="12" t="inlineStr">
        <is>
          <t>2.2.1</t>
        </is>
      </c>
      <c r="C41" s="12" t="inlineStr">
        <is>
          <t>D2</t>
        </is>
      </c>
      <c r="D41" s="13" t="inlineStr">
        <is>
          <t>Technical &amp; Data Feasibility Assessment</t>
        </is>
      </c>
      <c r="E41" s="12" t="inlineStr">
        <is>
          <t>Judge whether the data, models and integration required actually exist and are obtainable.</t>
        </is>
      </c>
      <c r="F41" s="12" t="inlineStr"/>
      <c r="G41" s="12" t="inlineStr"/>
      <c r="H41" s="12" t="inlineStr"/>
      <c r="I41" s="12" t="inlineStr"/>
      <c r="J41" s="12" t="inlineStr"/>
      <c r="K41" s="12" t="inlineStr"/>
      <c r="L41" s="12" t="inlineStr"/>
      <c r="M41" s="12" t="inlineStr"/>
      <c r="N41" s="12" t="inlineStr"/>
      <c r="O41" s="12" t="inlineStr"/>
      <c r="P41" s="11" t="inlineStr"/>
      <c r="Q41" s="11" t="inlineStr"/>
      <c r="R41" s="12" t="inlineStr"/>
      <c r="S41" s="12" t="inlineStr"/>
      <c r="T41" s="11" t="inlineStr"/>
    </row>
    <row r="42" outlineLevel="1">
      <c r="A42" s="12" t="inlineStr">
        <is>
          <t>L3</t>
        </is>
      </c>
      <c r="B42" s="12" t="inlineStr">
        <is>
          <t>2.2.2</t>
        </is>
      </c>
      <c r="C42" s="12" t="inlineStr">
        <is>
          <t>D2</t>
        </is>
      </c>
      <c r="D42" s="13" t="inlineStr">
        <is>
          <t>Cost, Effort &amp; Capacity Feasibility</t>
        </is>
      </c>
      <c r="E42" s="12" t="inlineStr">
        <is>
          <t>Estimate build and run cost, effort and the specialist capacity a use case would consume.</t>
        </is>
      </c>
      <c r="F42" s="12" t="inlineStr"/>
      <c r="G42" s="12" t="inlineStr"/>
      <c r="H42" s="12" t="inlineStr"/>
      <c r="I42" s="12" t="inlineStr"/>
      <c r="J42" s="12" t="inlineStr"/>
      <c r="K42" s="12" t="inlineStr"/>
      <c r="L42" s="12" t="inlineStr"/>
      <c r="M42" s="12" t="inlineStr"/>
      <c r="N42" s="12" t="inlineStr"/>
      <c r="O42" s="12" t="inlineStr"/>
      <c r="P42" s="11" t="inlineStr"/>
      <c r="Q42" s="11" t="inlineStr"/>
      <c r="R42" s="12" t="inlineStr"/>
      <c r="S42" s="12" t="inlineStr"/>
      <c r="T42" s="11" t="inlineStr"/>
    </row>
    <row r="43" outlineLevel="1">
      <c r="A43" s="12" t="inlineStr">
        <is>
          <t>L3</t>
        </is>
      </c>
      <c r="B43" s="12" t="inlineStr">
        <is>
          <t>2.2.3</t>
        </is>
      </c>
      <c r="C43" s="12" t="inlineStr">
        <is>
          <t>D2</t>
        </is>
      </c>
      <c r="D43" s="13" t="inlineStr">
        <is>
          <t>Operational &amp; Adoption Feasibility</t>
        </is>
      </c>
      <c r="E43" s="12" t="inlineStr">
        <is>
          <t>Judge whether the receiving business area can absorb, operate and sustain the change.</t>
        </is>
      </c>
      <c r="F43" s="12" t="inlineStr"/>
      <c r="G43" s="12" t="inlineStr"/>
      <c r="H43" s="12" t="inlineStr"/>
      <c r="I43" s="12" t="inlineStr"/>
      <c r="J43" s="12" t="inlineStr"/>
      <c r="K43" s="12" t="inlineStr"/>
      <c r="L43" s="12" t="inlineStr"/>
      <c r="M43" s="12" t="inlineStr"/>
      <c r="N43" s="12" t="inlineStr"/>
      <c r="O43" s="12" t="inlineStr"/>
      <c r="P43" s="11" t="inlineStr"/>
      <c r="Q43" s="11" t="inlineStr"/>
      <c r="R43" s="12" t="inlineStr"/>
      <c r="S43" s="12" t="inlineStr"/>
      <c r="T43" s="11" t="inlineStr"/>
    </row>
    <row r="44" outlineLevel="1">
      <c r="A44" s="12" t="inlineStr">
        <is>
          <t>L3</t>
        </is>
      </c>
      <c r="B44" s="12" t="inlineStr">
        <is>
          <t>2.2.4</t>
        </is>
      </c>
      <c r="C44" s="12" t="inlineStr">
        <is>
          <t>D2</t>
        </is>
      </c>
      <c r="D44" s="13" t="inlineStr">
        <is>
          <t>Go / No-Go Determination</t>
        </is>
      </c>
      <c r="E44" s="12" t="inlineStr">
        <is>
          <t>Make and record a proceed decision with named accountability and stated conditions.</t>
        </is>
      </c>
      <c r="F44" s="12" t="inlineStr"/>
      <c r="G44" s="12" t="inlineStr"/>
      <c r="H44" s="12" t="inlineStr"/>
      <c r="I44" s="12" t="inlineStr"/>
      <c r="J44" s="12" t="inlineStr"/>
      <c r="K44" s="12" t="inlineStr"/>
      <c r="L44" s="12" t="inlineStr"/>
      <c r="M44" s="12" t="inlineStr"/>
      <c r="N44" s="12" t="inlineStr"/>
      <c r="O44" s="12" t="inlineStr"/>
      <c r="P44" s="11" t="inlineStr"/>
      <c r="Q44" s="11" t="inlineStr"/>
      <c r="R44" s="12" t="inlineStr"/>
      <c r="S44" s="12" t="inlineStr"/>
      <c r="T44" s="11" t="inlineStr"/>
    </row>
    <row r="45">
      <c r="A45" s="8" t="inlineStr">
        <is>
          <t>L2</t>
        </is>
      </c>
      <c r="B45" s="8" t="inlineStr">
        <is>
          <t>2.3</t>
        </is>
      </c>
      <c r="C45" s="8" t="inlineStr">
        <is>
          <t>D2</t>
        </is>
      </c>
      <c r="D45" s="8" t="inlineStr">
        <is>
          <t>AI Product Management</t>
        </is>
      </c>
      <c r="E45" s="8" t="inlineStr">
        <is>
          <t>Able to own an AI capability as a product across its life, not as a project that ends.</t>
        </is>
      </c>
      <c r="F45" s="16" t="inlineStr">
        <is>
          <t>— none in the catalogue —</t>
        </is>
      </c>
      <c r="G45" s="9" t="inlineStr"/>
      <c r="H45" s="17" t="inlineStr">
        <is>
          <t>NO MATCH</t>
        </is>
      </c>
      <c r="I45" s="9" t="inlineStr">
        <is>
          <t>Product management is exercised per product family, not centrally for AI. No enabler claims AI product management. Decide whether this is an AI-enabler responsibility or is delegated to consuming products.</t>
        </is>
      </c>
      <c r="J45" s="9" t="inlineStr">
        <is>
          <t>AI Product Owner</t>
        </is>
      </c>
      <c r="K45" s="9" t="inlineStr">
        <is>
          <t>specialization</t>
        </is>
      </c>
      <c r="L45" s="9" t="inlineStr"/>
      <c r="M45" s="9" t="inlineStr">
        <is>
          <t>medium</t>
        </is>
      </c>
      <c r="N45" s="9" t="inlineStr">
        <is>
          <t>WEF AI-First Operating System; The Open Group IT4IT; The Open Group Open Agile Architecture</t>
        </is>
      </c>
      <c r="O45" s="9" t="inlineStr"/>
      <c r="P45" s="11" t="inlineStr"/>
      <c r="Q45" s="11" t="inlineStr"/>
      <c r="R45" s="11" t="inlineStr"/>
      <c r="S45" s="11" t="inlineStr"/>
      <c r="T45" s="11" t="inlineStr"/>
    </row>
    <row r="46" outlineLevel="1">
      <c r="A46" s="12" t="inlineStr">
        <is>
          <t>L3</t>
        </is>
      </c>
      <c r="B46" s="12" t="inlineStr">
        <is>
          <t>2.3.1</t>
        </is>
      </c>
      <c r="C46" s="12" t="inlineStr">
        <is>
          <t>D2</t>
        </is>
      </c>
      <c r="D46" s="13" t="inlineStr">
        <is>
          <t>AI Product Definition &amp; Roadmapping</t>
        </is>
      </c>
      <c r="E46" s="12" t="inlineStr">
        <is>
          <t>Define the product, its users, its boundary and its forward path.</t>
        </is>
      </c>
      <c r="F46" s="12" t="inlineStr"/>
      <c r="G46" s="12" t="inlineStr"/>
      <c r="H46" s="12" t="inlineStr"/>
      <c r="I46" s="12" t="inlineStr"/>
      <c r="J46" s="12" t="inlineStr"/>
      <c r="K46" s="12" t="inlineStr"/>
      <c r="L46" s="12" t="inlineStr"/>
      <c r="M46" s="12" t="inlineStr"/>
      <c r="N46" s="12" t="inlineStr"/>
      <c r="O46" s="12" t="inlineStr"/>
      <c r="P46" s="11" t="inlineStr"/>
      <c r="Q46" s="11" t="inlineStr"/>
      <c r="R46" s="12" t="inlineStr"/>
      <c r="S46" s="12" t="inlineStr"/>
      <c r="T46" s="11" t="inlineStr"/>
    </row>
    <row r="47" outlineLevel="1">
      <c r="A47" s="12" t="inlineStr">
        <is>
          <t>L3</t>
        </is>
      </c>
      <c r="B47" s="12" t="inlineStr">
        <is>
          <t>2.3.2</t>
        </is>
      </c>
      <c r="C47" s="12" t="inlineStr">
        <is>
          <t>D2</t>
        </is>
      </c>
      <c r="D47" s="13" t="inlineStr">
        <is>
          <t>Requirements &amp; Acceptance Criteria Management</t>
        </is>
      </c>
      <c r="E47" s="12" t="inlineStr">
        <is>
          <t>Express what good looks like precisely enough to be tested against.</t>
        </is>
      </c>
      <c r="F47" s="12" t="inlineStr"/>
      <c r="G47" s="12" t="inlineStr"/>
      <c r="H47" s="12" t="inlineStr"/>
      <c r="I47" s="12" t="inlineStr"/>
      <c r="J47" s="12" t="inlineStr"/>
      <c r="K47" s="12" t="inlineStr"/>
      <c r="L47" s="12" t="inlineStr"/>
      <c r="M47" s="12" t="inlineStr"/>
      <c r="N47" s="12" t="inlineStr"/>
      <c r="O47" s="12" t="inlineStr"/>
      <c r="P47" s="11" t="inlineStr"/>
      <c r="Q47" s="11" t="inlineStr"/>
      <c r="R47" s="12" t="inlineStr"/>
      <c r="S47" s="12" t="inlineStr"/>
      <c r="T47" s="11" t="inlineStr"/>
    </row>
    <row r="48" outlineLevel="1">
      <c r="A48" s="12" t="inlineStr">
        <is>
          <t>L3</t>
        </is>
      </c>
      <c r="B48" s="12" t="inlineStr">
        <is>
          <t>2.3.3</t>
        </is>
      </c>
      <c r="C48" s="12" t="inlineStr">
        <is>
          <t>D2</t>
        </is>
      </c>
      <c r="D48" s="13" t="inlineStr">
        <is>
          <t>User Research &amp; Feedback Integration</t>
        </is>
      </c>
      <c r="E48" s="12" t="inlineStr">
        <is>
          <t>Learn from actual use and feed it back into the product.</t>
        </is>
      </c>
      <c r="F48" s="12" t="inlineStr"/>
      <c r="G48" s="12" t="inlineStr"/>
      <c r="H48" s="12" t="inlineStr"/>
      <c r="I48" s="12" t="inlineStr"/>
      <c r="J48" s="12" t="inlineStr"/>
      <c r="K48" s="12" t="inlineStr"/>
      <c r="L48" s="12" t="inlineStr"/>
      <c r="M48" s="12" t="inlineStr"/>
      <c r="N48" s="12" t="inlineStr"/>
      <c r="O48" s="12" t="inlineStr"/>
      <c r="P48" s="11" t="inlineStr"/>
      <c r="Q48" s="11" t="inlineStr"/>
      <c r="R48" s="12" t="inlineStr"/>
      <c r="S48" s="12" t="inlineStr"/>
      <c r="T48" s="11" t="inlineStr"/>
    </row>
    <row r="49" outlineLevel="1">
      <c r="A49" s="12" t="inlineStr">
        <is>
          <t>L3</t>
        </is>
      </c>
      <c r="B49" s="12" t="inlineStr">
        <is>
          <t>2.3.4</t>
        </is>
      </c>
      <c r="C49" s="12" t="inlineStr">
        <is>
          <t>D2</t>
        </is>
      </c>
      <c r="D49" s="13" t="inlineStr">
        <is>
          <t>Backlog &amp; Release Planning</t>
        </is>
      </c>
      <c r="E49" s="12" t="inlineStr">
        <is>
          <t>Sequence work and commit to releases against capacity.</t>
        </is>
      </c>
      <c r="F49" s="12" t="inlineStr"/>
      <c r="G49" s="12" t="inlineStr"/>
      <c r="H49" s="12" t="inlineStr"/>
      <c r="I49" s="12" t="inlineStr"/>
      <c r="J49" s="12" t="inlineStr"/>
      <c r="K49" s="12" t="inlineStr"/>
      <c r="L49" s="12" t="inlineStr"/>
      <c r="M49" s="12" t="inlineStr"/>
      <c r="N49" s="12" t="inlineStr"/>
      <c r="O49" s="12" t="inlineStr"/>
      <c r="P49" s="11" t="inlineStr"/>
      <c r="Q49" s="11" t="inlineStr"/>
      <c r="R49" s="12" t="inlineStr"/>
      <c r="S49" s="12" t="inlineStr"/>
      <c r="T49" s="11" t="inlineStr"/>
    </row>
    <row r="50" outlineLevel="1">
      <c r="A50" s="12" t="inlineStr">
        <is>
          <t>L3</t>
        </is>
      </c>
      <c r="B50" s="12" t="inlineStr">
        <is>
          <t>2.3.5</t>
        </is>
      </c>
      <c r="C50" s="12" t="inlineStr">
        <is>
          <t>D2</t>
        </is>
      </c>
      <c r="D50" s="13" t="inlineStr">
        <is>
          <t>Product Performance Ownership</t>
        </is>
      </c>
      <c r="E50" s="12" t="inlineStr">
        <is>
          <t>Hold a named owner accountable for the product's outcomes in production.</t>
        </is>
      </c>
      <c r="F50" s="12" t="inlineStr"/>
      <c r="G50" s="12" t="inlineStr"/>
      <c r="H50" s="12" t="inlineStr"/>
      <c r="I50" s="12" t="inlineStr"/>
      <c r="J50" s="12" t="inlineStr"/>
      <c r="K50" s="12" t="inlineStr"/>
      <c r="L50" s="12" t="inlineStr"/>
      <c r="M50" s="12" t="inlineStr"/>
      <c r="N50" s="12" t="inlineStr"/>
      <c r="O50" s="12" t="inlineStr"/>
      <c r="P50" s="11" t="inlineStr"/>
      <c r="Q50" s="11" t="inlineStr"/>
      <c r="R50" s="12" t="inlineStr"/>
      <c r="S50" s="12" t="inlineStr"/>
      <c r="T50" s="11" t="inlineStr"/>
    </row>
    <row r="51">
      <c r="A51" s="8" t="inlineStr">
        <is>
          <t>L2</t>
        </is>
      </c>
      <c r="B51" s="8" t="inlineStr">
        <is>
          <t>2.4</t>
        </is>
      </c>
      <c r="C51" s="8" t="inlineStr">
        <is>
          <t>D2</t>
        </is>
      </c>
      <c r="D51" s="8" t="inlineStr">
        <is>
          <t>Business Process &amp; Service Redesign</t>
        </is>
      </c>
      <c r="E51" s="8" t="inlineStr">
        <is>
          <t>Able to change how work is actually done, not merely to add a model to an unchanged process.</t>
        </is>
      </c>
      <c r="F51" s="8" t="inlineStr">
        <is>
          <t>Digital Transformation</t>
        </is>
      </c>
      <c r="G51" s="9" t="inlineStr">
        <is>
          <t>gperla@IADB.ORG</t>
        </is>
      </c>
      <c r="H51" s="10" t="inlineStr">
        <is>
          <t>Direct</t>
        </is>
      </c>
      <c r="I51" s="9" t="inlineStr">
        <is>
          <t>Digital Transformation claims Process transformation and Digitalization. People Experience - IBT lists Process redesign as a capability to be formalised next year.</t>
        </is>
      </c>
      <c r="J51" s="9" t="inlineStr">
        <is>
          <t>Business Process Owner</t>
        </is>
      </c>
      <c r="K51" s="9" t="inlineStr">
        <is>
          <t>specialization</t>
        </is>
      </c>
      <c r="L51" s="9" t="inlineStr"/>
      <c r="M51" s="9" t="inlineStr">
        <is>
          <t>medium</t>
        </is>
      </c>
      <c r="N51" s="9" t="inlineStr">
        <is>
          <t>WEF AI-First Operating System; Consultancy transformation patterns (non-public); The Open Group Open Agile Architecture</t>
        </is>
      </c>
      <c r="O51" s="9" t="inlineStr"/>
      <c r="P51" s="11" t="inlineStr"/>
      <c r="Q51" s="11" t="inlineStr"/>
      <c r="R51" s="11" t="inlineStr"/>
      <c r="S51" s="11" t="inlineStr"/>
      <c r="T51" s="11" t="inlineStr"/>
    </row>
    <row r="52" outlineLevel="1">
      <c r="A52" s="12" t="inlineStr">
        <is>
          <t>L3</t>
        </is>
      </c>
      <c r="B52" s="12" t="inlineStr">
        <is>
          <t>2.4.1</t>
        </is>
      </c>
      <c r="C52" s="12" t="inlineStr">
        <is>
          <t>D2</t>
        </is>
      </c>
      <c r="D52" s="13" t="inlineStr">
        <is>
          <t>Process Analysis &amp; AI Fit Assessment</t>
        </is>
      </c>
      <c r="E52" s="12" t="inlineStr">
        <is>
          <t>Understand the current process well enough to know where AI changes it.</t>
        </is>
      </c>
      <c r="F52" s="12" t="inlineStr"/>
      <c r="G52" s="12" t="inlineStr"/>
      <c r="H52" s="12" t="inlineStr"/>
      <c r="I52" s="12" t="inlineStr"/>
      <c r="J52" s="12" t="inlineStr"/>
      <c r="K52" s="12" t="inlineStr"/>
      <c r="L52" s="12" t="inlineStr"/>
      <c r="M52" s="12" t="inlineStr"/>
      <c r="N52" s="12" t="inlineStr"/>
      <c r="O52" s="12" t="inlineStr"/>
      <c r="P52" s="11" t="inlineStr"/>
      <c r="Q52" s="11" t="inlineStr"/>
      <c r="R52" s="12" t="inlineStr"/>
      <c r="S52" s="12" t="inlineStr"/>
      <c r="T52" s="11" t="inlineStr"/>
    </row>
    <row r="53" outlineLevel="1">
      <c r="A53" s="12" t="inlineStr">
        <is>
          <t>L3</t>
        </is>
      </c>
      <c r="B53" s="12" t="inlineStr">
        <is>
          <t>2.4.2</t>
        </is>
      </c>
      <c r="C53" s="12" t="inlineStr">
        <is>
          <t>D2</t>
        </is>
      </c>
      <c r="D53" s="13" t="inlineStr">
        <is>
          <t>Target Process &amp; Task Redesign</t>
        </is>
      </c>
      <c r="E53" s="12" t="inlineStr">
        <is>
          <t>Design the intended process, including what stops being done.</t>
        </is>
      </c>
      <c r="F53" s="12" t="inlineStr"/>
      <c r="G53" s="12" t="inlineStr"/>
      <c r="H53" s="12" t="inlineStr"/>
      <c r="I53" s="12" t="inlineStr"/>
      <c r="J53" s="12" t="inlineStr"/>
      <c r="K53" s="12" t="inlineStr"/>
      <c r="L53" s="12" t="inlineStr"/>
      <c r="M53" s="12" t="inlineStr"/>
      <c r="N53" s="12" t="inlineStr"/>
      <c r="O53" s="12" t="inlineStr"/>
      <c r="P53" s="11" t="inlineStr"/>
      <c r="Q53" s="11" t="inlineStr"/>
      <c r="R53" s="12" t="inlineStr"/>
      <c r="S53" s="12" t="inlineStr"/>
      <c r="T53" s="11" t="inlineStr"/>
    </row>
    <row r="54" outlineLevel="1">
      <c r="A54" s="12" t="inlineStr">
        <is>
          <t>L3</t>
        </is>
      </c>
      <c r="B54" s="12" t="inlineStr">
        <is>
          <t>2.4.3</t>
        </is>
      </c>
      <c r="C54" s="12" t="inlineStr">
        <is>
          <t>D2</t>
        </is>
      </c>
      <c r="D54" s="13" t="inlineStr">
        <is>
          <t>Human / Machine Task Allocation</t>
        </is>
      </c>
      <c r="E54" s="12" t="inlineStr">
        <is>
          <t>Decide explicitly which tasks move, which stay, and which become supervisory.</t>
        </is>
      </c>
      <c r="F54" s="12" t="inlineStr"/>
      <c r="G54" s="12" t="inlineStr"/>
      <c r="H54" s="12" t="inlineStr"/>
      <c r="I54" s="12" t="inlineStr"/>
      <c r="J54" s="12" t="inlineStr"/>
      <c r="K54" s="12" t="inlineStr"/>
      <c r="L54" s="12" t="inlineStr"/>
      <c r="M54" s="12" t="inlineStr"/>
      <c r="N54" s="12" t="inlineStr"/>
      <c r="O54" s="12" t="inlineStr"/>
      <c r="P54" s="11" t="inlineStr"/>
      <c r="Q54" s="11" t="inlineStr"/>
      <c r="R54" s="12" t="inlineStr"/>
      <c r="S54" s="12" t="inlineStr"/>
      <c r="T54" s="11" t="inlineStr"/>
    </row>
    <row r="55" outlineLevel="1">
      <c r="A55" s="12" t="inlineStr">
        <is>
          <t>L3</t>
        </is>
      </c>
      <c r="B55" s="12" t="inlineStr">
        <is>
          <t>2.4.4</t>
        </is>
      </c>
      <c r="C55" s="12" t="inlineStr">
        <is>
          <t>D2</t>
        </is>
      </c>
      <c r="D55" s="13" t="inlineStr">
        <is>
          <t>Control Point Redesign</t>
        </is>
      </c>
      <c r="E55" s="12" t="inlineStr">
        <is>
          <t>Relocate or rebuild the controls that the old process embedded in human steps.</t>
        </is>
      </c>
      <c r="F55" s="12" t="inlineStr"/>
      <c r="G55" s="12" t="inlineStr"/>
      <c r="H55" s="12" t="inlineStr"/>
      <c r="I55" s="12" t="inlineStr"/>
      <c r="J55" s="12" t="inlineStr"/>
      <c r="K55" s="12" t="inlineStr"/>
      <c r="L55" s="12" t="inlineStr"/>
      <c r="M55" s="12" t="inlineStr"/>
      <c r="N55" s="12" t="inlineStr"/>
      <c r="O55" s="12" t="inlineStr"/>
      <c r="P55" s="11" t="inlineStr"/>
      <c r="Q55" s="11" t="inlineStr"/>
      <c r="R55" s="12" t="inlineStr"/>
      <c r="S55" s="12" t="inlineStr"/>
      <c r="T55" s="11" t="inlineStr"/>
    </row>
    <row r="56" outlineLevel="1">
      <c r="A56" s="12" t="inlineStr">
        <is>
          <t>L3</t>
        </is>
      </c>
      <c r="B56" s="12" t="inlineStr">
        <is>
          <t>2.4.5</t>
        </is>
      </c>
      <c r="C56" s="12" t="inlineStr">
        <is>
          <t>D2</t>
        </is>
      </c>
      <c r="D56" s="13" t="inlineStr">
        <is>
          <t>Service Model &amp; Service Level Redefinition</t>
        </is>
      </c>
      <c r="E56" s="12" t="inlineStr">
        <is>
          <t>Restate the service promise once AI changes what is deliverable.</t>
        </is>
      </c>
      <c r="F56" s="12" t="inlineStr"/>
      <c r="G56" s="12" t="inlineStr"/>
      <c r="H56" s="12" t="inlineStr"/>
      <c r="I56" s="12" t="inlineStr"/>
      <c r="J56" s="12" t="inlineStr"/>
      <c r="K56" s="12" t="inlineStr"/>
      <c r="L56" s="12" t="inlineStr"/>
      <c r="M56" s="12" t="inlineStr"/>
      <c r="N56" s="12" t="inlineStr"/>
      <c r="O56" s="12" t="inlineStr"/>
      <c r="P56" s="11" t="inlineStr"/>
      <c r="Q56" s="11" t="inlineStr"/>
      <c r="R56" s="12" t="inlineStr"/>
      <c r="S56" s="12" t="inlineStr"/>
      <c r="T56" s="11" t="inlineStr"/>
    </row>
    <row r="57" outlineLevel="1">
      <c r="A57" s="12" t="inlineStr">
        <is>
          <t>L3</t>
        </is>
      </c>
      <c r="B57" s="12" t="inlineStr">
        <is>
          <t>2.4.6</t>
        </is>
      </c>
      <c r="C57" s="12" t="inlineStr">
        <is>
          <t>D2</t>
        </is>
      </c>
      <c r="D57" s="13" t="inlineStr">
        <is>
          <t>Language Coverage &amp; Service Equity</t>
        </is>
      </c>
      <c r="E57" s="12" t="inlineStr">
        <is>
          <t>Determine which languages an AI-delivered service must support, and at what measured quality, across the institution's countries.</t>
        </is>
      </c>
      <c r="F57" s="12" t="inlineStr"/>
      <c r="G57" s="12" t="inlineStr"/>
      <c r="H57" s="12" t="inlineStr"/>
      <c r="I57" s="12" t="inlineStr"/>
      <c r="J57" s="12" t="inlineStr"/>
      <c r="K57" s="12" t="inlineStr"/>
      <c r="L57" s="12" t="inlineStr"/>
      <c r="M57" s="12" t="inlineStr"/>
      <c r="N57" s="12" t="inlineStr"/>
      <c r="O57" s="12" t="inlineStr"/>
      <c r="P57" s="11" t="inlineStr"/>
      <c r="Q57" s="11" t="inlineStr"/>
      <c r="R57" s="12" t="inlineStr"/>
      <c r="S57" s="12" t="inlineStr"/>
      <c r="T57" s="11" t="inlineStr"/>
    </row>
    <row r="58">
      <c r="A58" s="8" t="inlineStr">
        <is>
          <t>L2</t>
        </is>
      </c>
      <c r="B58" s="8" t="inlineStr">
        <is>
          <t>2.5</t>
        </is>
      </c>
      <c r="C58" s="8" t="inlineStr">
        <is>
          <t>D2</t>
        </is>
      </c>
      <c r="D58" s="8" t="inlineStr">
        <is>
          <t>Human-AI Interaction &amp; Oversight Design</t>
        </is>
      </c>
      <c r="E58" s="8" t="inlineStr">
        <is>
          <t>Able to design the human's role in the system, rather than assert oversight in policy alone.</t>
        </is>
      </c>
      <c r="F58" s="8" t="inlineStr">
        <is>
          <t>People Experience - IBT</t>
        </is>
      </c>
      <c r="G58" s="9" t="inlineStr">
        <is>
          <t>ANASP@IADB.ORG</t>
        </is>
      </c>
      <c r="H58" s="15" t="inlineStr">
        <is>
          <t>Partial</t>
        </is>
      </c>
      <c r="I58" s="9" t="inlineStr">
        <is>
          <t>IBT lists UX/UI as 'a formal capability to be added next year based on the bank's business plan'. Human-AI oversight design has no owner today.</t>
        </is>
      </c>
      <c r="J58" s="9" t="inlineStr">
        <is>
          <t>Product Design Owner</t>
        </is>
      </c>
      <c r="K58" s="9" t="inlineStr">
        <is>
          <t>new</t>
        </is>
      </c>
      <c r="L58" s="9" t="inlineStr">
        <is>
          <t>Y</t>
        </is>
      </c>
      <c r="M58" s="9" t="inlineStr">
        <is>
          <t>low</t>
        </is>
      </c>
      <c r="N58" s="9" t="inlineStr">
        <is>
          <t>IMDA Model AI Governance Framework; ISO/IEC 42001</t>
        </is>
      </c>
      <c r="O58" s="9" t="inlineStr"/>
      <c r="P58" s="11" t="inlineStr"/>
      <c r="Q58" s="11" t="inlineStr"/>
      <c r="R58" s="11" t="inlineStr"/>
      <c r="S58" s="11" t="inlineStr"/>
      <c r="T58" s="11" t="inlineStr"/>
    </row>
    <row r="59" outlineLevel="1">
      <c r="A59" s="12" t="inlineStr">
        <is>
          <t>L3</t>
        </is>
      </c>
      <c r="B59" s="12" t="inlineStr">
        <is>
          <t>2.5.1</t>
        </is>
      </c>
      <c r="C59" s="12" t="inlineStr">
        <is>
          <t>D2</t>
        </is>
      </c>
      <c r="D59" s="13" t="inlineStr">
        <is>
          <t>Autonomy &amp; Interaction Pattern Determination</t>
        </is>
      </c>
      <c r="E59" s="12" t="inlineStr">
        <is>
          <t>Set and record, per system, the interaction pattern and how much an AI system or agent may do without human confirmation.</t>
        </is>
      </c>
      <c r="F59" s="12" t="inlineStr"/>
      <c r="G59" s="12" t="inlineStr"/>
      <c r="H59" s="12" t="inlineStr"/>
      <c r="I59" s="12" t="inlineStr"/>
      <c r="J59" s="12" t="inlineStr"/>
      <c r="K59" s="12" t="inlineStr"/>
      <c r="L59" s="12" t="inlineStr">
        <is>
          <t>Y</t>
        </is>
      </c>
      <c r="M59" s="12" t="inlineStr"/>
      <c r="N59" s="12" t="inlineStr"/>
      <c r="O59" s="12" t="inlineStr"/>
      <c r="P59" s="11" t="inlineStr"/>
      <c r="Q59" s="11" t="inlineStr"/>
      <c r="R59" s="12" t="inlineStr"/>
      <c r="S59" s="12" t="inlineStr"/>
      <c r="T59" s="11" t="inlineStr"/>
    </row>
    <row r="60" outlineLevel="1">
      <c r="A60" s="12" t="inlineStr">
        <is>
          <t>L3</t>
        </is>
      </c>
      <c r="B60" s="12" t="inlineStr">
        <is>
          <t>2.5.2</t>
        </is>
      </c>
      <c r="C60" s="12" t="inlineStr">
        <is>
          <t>D2</t>
        </is>
      </c>
      <c r="D60" s="13" t="inlineStr">
        <is>
          <t>Human Oversight &amp; Intervention Design</t>
        </is>
      </c>
      <c r="E60" s="12" t="inlineStr">
        <is>
          <t>Design the specific point, information and control through which a human can intervene.</t>
        </is>
      </c>
      <c r="F60" s="12" t="inlineStr"/>
      <c r="G60" s="12" t="inlineStr"/>
      <c r="H60" s="12" t="inlineStr"/>
      <c r="I60" s="12" t="inlineStr"/>
      <c r="J60" s="12" t="inlineStr"/>
      <c r="K60" s="12" t="inlineStr"/>
      <c r="L60" s="12" t="inlineStr">
        <is>
          <t>Y</t>
        </is>
      </c>
      <c r="M60" s="12" t="inlineStr"/>
      <c r="N60" s="12" t="inlineStr"/>
      <c r="O60" s="12" t="inlineStr"/>
      <c r="P60" s="11" t="inlineStr"/>
      <c r="Q60" s="11" t="inlineStr"/>
      <c r="R60" s="12" t="inlineStr"/>
      <c r="S60" s="12" t="inlineStr"/>
      <c r="T60" s="11" t="inlineStr"/>
    </row>
    <row r="61" outlineLevel="1">
      <c r="A61" s="12" t="inlineStr">
        <is>
          <t>L3</t>
        </is>
      </c>
      <c r="B61" s="12" t="inlineStr">
        <is>
          <t>2.5.3</t>
        </is>
      </c>
      <c r="C61" s="12" t="inlineStr">
        <is>
          <t>D2</t>
        </is>
      </c>
      <c r="D61" s="13" t="inlineStr">
        <is>
          <t>Explanation &amp; Disclosure Design</t>
        </is>
      </c>
      <c r="E61" s="12" t="inlineStr">
        <is>
          <t>Design what the system tells its user about what it is and how it reached an output.</t>
        </is>
      </c>
      <c r="F61" s="12" t="inlineStr"/>
      <c r="G61" s="12" t="inlineStr"/>
      <c r="H61" s="12" t="inlineStr"/>
      <c r="I61" s="12" t="inlineStr"/>
      <c r="J61" s="12" t="inlineStr"/>
      <c r="K61" s="12" t="inlineStr"/>
      <c r="L61" s="12" t="inlineStr"/>
      <c r="M61" s="12" t="inlineStr"/>
      <c r="N61" s="12" t="inlineStr"/>
      <c r="O61" s="12" t="inlineStr"/>
      <c r="P61" s="11" t="inlineStr"/>
      <c r="Q61" s="11" t="inlineStr"/>
      <c r="R61" s="12" t="inlineStr"/>
      <c r="S61" s="12" t="inlineStr"/>
      <c r="T61" s="11" t="inlineStr"/>
    </row>
    <row r="62" outlineLevel="1">
      <c r="A62" s="12" t="inlineStr">
        <is>
          <t>L3</t>
        </is>
      </c>
      <c r="B62" s="12" t="inlineStr">
        <is>
          <t>2.5.4</t>
        </is>
      </c>
      <c r="C62" s="12" t="inlineStr">
        <is>
          <t>D2</t>
        </is>
      </c>
      <c r="D62" s="13" t="inlineStr">
        <is>
          <t>Escalation &amp; Handover Design</t>
        </is>
      </c>
      <c r="E62" s="12" t="inlineStr">
        <is>
          <t>Design the path by which work returns to a human, with sufficient context to act.</t>
        </is>
      </c>
      <c r="F62" s="12" t="inlineStr"/>
      <c r="G62" s="12" t="inlineStr"/>
      <c r="H62" s="12" t="inlineStr"/>
      <c r="I62" s="12" t="inlineStr"/>
      <c r="J62" s="12" t="inlineStr"/>
      <c r="K62" s="12" t="inlineStr"/>
      <c r="L62" s="12" t="inlineStr">
        <is>
          <t>Y</t>
        </is>
      </c>
      <c r="M62" s="12" t="inlineStr"/>
      <c r="N62" s="12" t="inlineStr"/>
      <c r="O62" s="12" t="inlineStr"/>
      <c r="P62" s="11" t="inlineStr"/>
      <c r="Q62" s="11" t="inlineStr"/>
      <c r="R62" s="12" t="inlineStr"/>
      <c r="S62" s="12" t="inlineStr"/>
      <c r="T62" s="11" t="inlineStr"/>
    </row>
    <row r="63" outlineLevel="1">
      <c r="A63" s="12" t="inlineStr">
        <is>
          <t>L3</t>
        </is>
      </c>
      <c r="B63" s="12" t="inlineStr">
        <is>
          <t>2.5.5</t>
        </is>
      </c>
      <c r="C63" s="12" t="inlineStr">
        <is>
          <t>D2</t>
        </is>
      </c>
      <c r="D63" s="13" t="inlineStr">
        <is>
          <t>Oversight Competence &amp; Workload Design</t>
        </is>
      </c>
      <c r="E63" s="12" t="inlineStr">
        <is>
          <t>Ensure the person assigned oversight has the time, information, training and authority to actually exercise it.</t>
        </is>
      </c>
      <c r="F63" s="12" t="inlineStr"/>
      <c r="G63" s="12" t="inlineStr"/>
      <c r="H63" s="12" t="inlineStr"/>
      <c r="I63" s="12" t="inlineStr"/>
      <c r="J63" s="12" t="inlineStr"/>
      <c r="K63" s="12" t="inlineStr"/>
      <c r="L63" s="12" t="inlineStr">
        <is>
          <t>Y</t>
        </is>
      </c>
      <c r="M63" s="12" t="inlineStr"/>
      <c r="N63" s="12" t="inlineStr"/>
      <c r="O63" s="12" t="inlineStr"/>
      <c r="P63" s="11" t="inlineStr"/>
      <c r="Q63" s="11" t="inlineStr"/>
      <c r="R63" s="12" t="inlineStr"/>
      <c r="S63" s="12" t="inlineStr"/>
      <c r="T63" s="11" t="inlineStr"/>
    </row>
    <row r="64" outlineLevel="1">
      <c r="A64" s="12" t="inlineStr">
        <is>
          <t>L3</t>
        </is>
      </c>
      <c r="B64" s="12" t="inlineStr">
        <is>
          <t>2.5.6</t>
        </is>
      </c>
      <c r="C64" s="12" t="inlineStr">
        <is>
          <t>D2</t>
        </is>
      </c>
      <c r="D64" s="13" t="inlineStr">
        <is>
          <t>Accessible &amp; Inclusive Interaction Design</t>
        </is>
      </c>
      <c r="E64" s="12" t="inlineStr">
        <is>
          <t>Design AI-delivered interaction to be usable with assistive technology and across literacy and channel constraints.</t>
        </is>
      </c>
      <c r="F64" s="12" t="inlineStr"/>
      <c r="G64" s="12" t="inlineStr"/>
      <c r="H64" s="12" t="inlineStr"/>
      <c r="I64" s="12" t="inlineStr"/>
      <c r="J64" s="12" t="inlineStr"/>
      <c r="K64" s="12" t="inlineStr"/>
      <c r="L64" s="12" t="inlineStr"/>
      <c r="M64" s="12" t="inlineStr"/>
      <c r="N64" s="12" t="inlineStr"/>
      <c r="O64" s="12" t="inlineStr"/>
      <c r="P64" s="11" t="inlineStr"/>
      <c r="Q64" s="11" t="inlineStr"/>
      <c r="R64" s="12" t="inlineStr"/>
      <c r="S64" s="12" t="inlineStr"/>
      <c r="T64" s="11" t="inlineStr"/>
    </row>
    <row r="65">
      <c r="A65" s="8" t="inlineStr">
        <is>
          <t>L2</t>
        </is>
      </c>
      <c r="B65" s="8" t="inlineStr">
        <is>
          <t>2.6</t>
        </is>
      </c>
      <c r="C65" s="8" t="inlineStr">
        <is>
          <t>D2</t>
        </is>
      </c>
      <c r="D65" s="8" t="inlineStr">
        <is>
          <t>AI Innovation &amp; Incubation</t>
        </is>
      </c>
      <c r="E65" s="8" t="inlineStr">
        <is>
          <t>Able to turn an untested AI idea into evidence, and evidence into either a funded product or a cheap, recorded stop.</t>
        </is>
      </c>
      <c r="F65" s="8" t="inlineStr">
        <is>
          <t>Emerging Tech</t>
        </is>
      </c>
      <c r="G65" s="9" t="inlineStr">
        <is>
          <t>rcerrato@IADB.ORG</t>
        </is>
      </c>
      <c r="H65" s="10" t="inlineStr">
        <is>
          <t>Direct</t>
        </is>
      </c>
      <c r="I65" s="9" t="inlineStr">
        <is>
          <t>Emerging Tech claims Experimentation, Sandbox, Technological vigilance and Research. People Experience - IBT also claims Innovation and Open innovation — two candidates, boundary needs settling.</t>
        </is>
      </c>
      <c r="J65" s="9" t="inlineStr">
        <is>
          <t>AI CoE Owner</t>
        </is>
      </c>
      <c r="K65" s="9" t="inlineStr">
        <is>
          <t>new</t>
        </is>
      </c>
      <c r="L65" s="9" t="inlineStr"/>
      <c r="M65" s="9" t="inlineStr">
        <is>
          <t>low</t>
        </is>
      </c>
      <c r="N65" s="9" t="inlineStr">
        <is>
          <t>Google AI Adoption Framework; AWS CAF-AI; Institutional practice</t>
        </is>
      </c>
      <c r="O65" s="18" t="inlineStr">
        <is>
          <t>NEW</t>
        </is>
      </c>
      <c r="P65" s="11" t="inlineStr"/>
      <c r="Q65" s="11" t="inlineStr"/>
      <c r="R65" s="11" t="inlineStr"/>
      <c r="S65" s="11" t="inlineStr"/>
      <c r="T65" s="11" t="inlineStr">
        <is>
          <t>ADDED this round. Alternative home: D1 (strategy) or D8 (culture). Placed in D2 because incubation feeds demand. Your call.</t>
        </is>
      </c>
    </row>
    <row r="66" outlineLevel="1">
      <c r="A66" s="12" t="inlineStr">
        <is>
          <t>L3</t>
        </is>
      </c>
      <c r="B66" s="12" t="inlineStr">
        <is>
          <t>2.6.1</t>
        </is>
      </c>
      <c r="C66" s="12" t="inlineStr">
        <is>
          <t>D2</t>
        </is>
      </c>
      <c r="D66" s="13" t="inlineStr">
        <is>
          <t>Idea Capture &amp; Innovation Sourcing</t>
        </is>
      </c>
      <c r="E66" s="12" t="inlineStr">
        <is>
          <t>Collect candidate AI ideas from staff, partners and technology watch outside the formal demand route.</t>
        </is>
      </c>
      <c r="F66" s="12" t="inlineStr"/>
      <c r="G66" s="12" t="inlineStr"/>
      <c r="H66" s="12" t="inlineStr"/>
      <c r="I66" s="12" t="inlineStr"/>
      <c r="J66" s="12" t="inlineStr"/>
      <c r="K66" s="12" t="inlineStr"/>
      <c r="L66" s="12" t="inlineStr"/>
      <c r="M66" s="12" t="inlineStr"/>
      <c r="N66" s="12" t="inlineStr"/>
      <c r="O66" s="12" t="inlineStr">
        <is>
          <t>NEW</t>
        </is>
      </c>
      <c r="P66" s="11" t="inlineStr"/>
      <c r="Q66" s="11" t="inlineStr"/>
      <c r="R66" s="12" t="inlineStr"/>
      <c r="S66" s="12" t="inlineStr"/>
      <c r="T66" s="11" t="inlineStr">
        <is>
          <t>Boundary check against 2.1.1 - see note there.</t>
        </is>
      </c>
    </row>
    <row r="67" outlineLevel="1">
      <c r="A67" s="12" t="inlineStr">
        <is>
          <t>L3</t>
        </is>
      </c>
      <c r="B67" s="12" t="inlineStr">
        <is>
          <t>2.6.2</t>
        </is>
      </c>
      <c r="C67" s="12" t="inlineStr">
        <is>
          <t>D2</t>
        </is>
      </c>
      <c r="D67" s="13" t="inlineStr">
        <is>
          <t>Sandboxed Experimentation</t>
        </is>
      </c>
      <c r="E67" s="12" t="inlineStr">
        <is>
          <t>Run time-boxed experiments in an environment where failure is contained and permitted.</t>
        </is>
      </c>
      <c r="F67" s="12" t="inlineStr"/>
      <c r="G67" s="12" t="inlineStr"/>
      <c r="H67" s="12" t="inlineStr"/>
      <c r="I67" s="12" t="inlineStr"/>
      <c r="J67" s="12" t="inlineStr"/>
      <c r="K67" s="12" t="inlineStr"/>
      <c r="L67" s="12" t="inlineStr"/>
      <c r="M67" s="12" t="inlineStr"/>
      <c r="N67" s="12" t="inlineStr"/>
      <c r="O67" s="12" t="inlineStr">
        <is>
          <t>NEW</t>
        </is>
      </c>
      <c r="P67" s="11" t="inlineStr"/>
      <c r="Q67" s="11" t="inlineStr"/>
      <c r="R67" s="12" t="inlineStr"/>
      <c r="S67" s="12" t="inlineStr"/>
      <c r="T67" s="11" t="inlineStr"/>
    </row>
    <row r="68" outlineLevel="1">
      <c r="A68" s="12" t="inlineStr">
        <is>
          <t>L3</t>
        </is>
      </c>
      <c r="B68" s="12" t="inlineStr">
        <is>
          <t>2.6.3</t>
        </is>
      </c>
      <c r="C68" s="12" t="inlineStr">
        <is>
          <t>D2</t>
        </is>
      </c>
      <c r="D68" s="13" t="inlineStr">
        <is>
          <t>Innovation Portfolio &amp; Scaling Decisions</t>
        </is>
      </c>
      <c r="E68" s="12" t="inlineStr">
        <is>
          <t>Hold the set of live experiments within capacity and decide which of them scale.</t>
        </is>
      </c>
      <c r="F68" s="12" t="inlineStr"/>
      <c r="G68" s="12" t="inlineStr"/>
      <c r="H68" s="12" t="inlineStr"/>
      <c r="I68" s="12" t="inlineStr"/>
      <c r="J68" s="12" t="inlineStr"/>
      <c r="K68" s="12" t="inlineStr"/>
      <c r="L68" s="12" t="inlineStr"/>
      <c r="M68" s="12" t="inlineStr"/>
      <c r="N68" s="12" t="inlineStr"/>
      <c r="O68" s="12" t="inlineStr">
        <is>
          <t>NEW</t>
        </is>
      </c>
      <c r="P68" s="11" t="inlineStr"/>
      <c r="Q68" s="11" t="inlineStr"/>
      <c r="R68" s="12" t="inlineStr"/>
      <c r="S68" s="12" t="inlineStr"/>
      <c r="T68" s="11" t="inlineStr"/>
    </row>
    <row r="69" outlineLevel="1">
      <c r="A69" s="12" t="inlineStr">
        <is>
          <t>L3</t>
        </is>
      </c>
      <c r="B69" s="12" t="inlineStr">
        <is>
          <t>2.6.4</t>
        </is>
      </c>
      <c r="C69" s="12" t="inlineStr">
        <is>
          <t>D2</t>
        </is>
      </c>
      <c r="D69" s="13" t="inlineStr">
        <is>
          <t>Experiment-to-Product Transition</t>
        </is>
      </c>
      <c r="E69" s="12" t="inlineStr">
        <is>
          <t>Move a proven experiment onto the funded delivery route, or record why it stops.</t>
        </is>
      </c>
      <c r="F69" s="12" t="inlineStr"/>
      <c r="G69" s="12" t="inlineStr"/>
      <c r="H69" s="12" t="inlineStr"/>
      <c r="I69" s="12" t="inlineStr"/>
      <c r="J69" s="12" t="inlineStr"/>
      <c r="K69" s="12" t="inlineStr"/>
      <c r="L69" s="12" t="inlineStr"/>
      <c r="M69" s="12" t="inlineStr"/>
      <c r="N69" s="12" t="inlineStr"/>
      <c r="O69" s="12" t="inlineStr">
        <is>
          <t>NEW</t>
        </is>
      </c>
      <c r="P69" s="11" t="inlineStr"/>
      <c r="Q69" s="11" t="inlineStr"/>
      <c r="R69" s="12" t="inlineStr"/>
      <c r="S69" s="12" t="inlineStr"/>
      <c r="T69" s="11" t="inlineStr"/>
    </row>
    <row r="70" outlineLevel="1">
      <c r="A70" s="12" t="inlineStr">
        <is>
          <t>L3</t>
        </is>
      </c>
      <c r="B70" s="12" t="inlineStr">
        <is>
          <t>2.6.5</t>
        </is>
      </c>
      <c r="C70" s="12" t="inlineStr">
        <is>
          <t>D2</t>
        </is>
      </c>
      <c r="D70" s="13" t="inlineStr">
        <is>
          <t>Controlled Failure &amp; Learning Capture</t>
        </is>
      </c>
      <c r="E70" s="12" t="inlineStr">
        <is>
          <t>Permit experiments to fail and extract reusable learning from the failure.</t>
        </is>
      </c>
      <c r="F70" s="12" t="inlineStr"/>
      <c r="G70" s="12" t="inlineStr"/>
      <c r="H70" s="12" t="inlineStr"/>
      <c r="I70" s="12" t="inlineStr"/>
      <c r="J70" s="12" t="inlineStr"/>
      <c r="K70" s="12" t="inlineStr"/>
      <c r="L70" s="12" t="inlineStr"/>
      <c r="M70" s="12" t="inlineStr"/>
      <c r="N70" s="12" t="inlineStr"/>
      <c r="O70" s="12" t="inlineStr">
        <is>
          <t>NEW</t>
        </is>
      </c>
      <c r="P70" s="11" t="inlineStr"/>
      <c r="Q70" s="11" t="inlineStr"/>
      <c r="R70" s="12" t="inlineStr"/>
      <c r="S70" s="12" t="inlineStr"/>
      <c r="T70" s="11" t="inlineStr">
        <is>
          <t>Absorbs former 8.6.4 Experimentation &amp; Learning Culture.</t>
        </is>
      </c>
    </row>
    <row r="71">
      <c r="A71" s="7" t="inlineStr">
        <is>
          <t>Domain</t>
        </is>
      </c>
      <c r="B71" s="7" t="inlineStr">
        <is>
          <t>D3</t>
        </is>
      </c>
      <c r="C71" s="7" t="inlineStr">
        <is>
          <t>D3</t>
        </is>
      </c>
      <c r="D71" s="7" t="inlineStr">
        <is>
          <t>Data &amp; Knowledge Management</t>
        </is>
      </c>
      <c r="E71" s="7" t="inlineStr">
        <is>
          <t>Able to supply trusted, governed data and knowledge to AI systems.</t>
        </is>
      </c>
      <c r="F71" s="7" t="n"/>
      <c r="G71" s="7" t="n"/>
      <c r="H71" s="7" t="n"/>
      <c r="I71" s="7" t="n"/>
      <c r="J71" s="7" t="n"/>
      <c r="K71" s="7" t="n"/>
      <c r="L71" s="7" t="n"/>
      <c r="M71" s="7" t="n"/>
      <c r="N71" s="7" t="n"/>
      <c r="O71" s="7" t="n"/>
      <c r="P71" s="7" t="n"/>
      <c r="Q71" s="7" t="n"/>
      <c r="R71" s="7" t="n"/>
      <c r="S71" s="7" t="n"/>
      <c r="T71" s="7" t="inlineStr"/>
    </row>
    <row r="72">
      <c r="A72" s="8" t="inlineStr">
        <is>
          <t>L2</t>
        </is>
      </c>
      <c r="B72" s="8" t="inlineStr">
        <is>
          <t>3.1</t>
        </is>
      </c>
      <c r="C72" s="8" t="inlineStr">
        <is>
          <t>D3</t>
        </is>
      </c>
      <c r="D72" s="8" t="inlineStr">
        <is>
          <t>Data Governance &amp; Stewardship for AI</t>
        </is>
      </c>
      <c r="E72" s="8" t="inlineStr">
        <is>
          <t>Able to say who owns each data asset, who may use it, and under what conditions.</t>
        </is>
      </c>
      <c r="F72" s="8" t="inlineStr">
        <is>
          <t>Data Management</t>
        </is>
      </c>
      <c r="G72" s="9" t="inlineStr">
        <is>
          <t>carlosd@iadb.org</t>
        </is>
      </c>
      <c r="H72" s="10" t="inlineStr">
        <is>
          <t>Direct</t>
        </is>
      </c>
      <c r="I72" s="9" t="inlineStr">
        <is>
          <t>Data Management claims Data Governance &amp; Quality.</t>
        </is>
      </c>
      <c r="J72" s="9" t="inlineStr">
        <is>
          <t>Chief Data Officer</t>
        </is>
      </c>
      <c r="K72" s="9" t="inlineStr">
        <is>
          <t>specialization</t>
        </is>
      </c>
      <c r="L72" s="9" t="inlineStr"/>
      <c r="M72" s="9" t="inlineStr">
        <is>
          <t>high</t>
        </is>
      </c>
      <c r="N72" s="9" t="inlineStr">
        <is>
          <t>EDM Council DCAM/ADAC; ISO/IEC 42001</t>
        </is>
      </c>
      <c r="O72" s="9" t="inlineStr"/>
      <c r="P72" s="11" t="inlineStr"/>
      <c r="Q72" s="11" t="inlineStr"/>
      <c r="R72" s="11" t="inlineStr"/>
      <c r="S72" s="11" t="inlineStr"/>
      <c r="T72" s="11" t="inlineStr"/>
    </row>
    <row r="73" outlineLevel="1">
      <c r="A73" s="12" t="inlineStr">
        <is>
          <t>L3</t>
        </is>
      </c>
      <c r="B73" s="12" t="inlineStr">
        <is>
          <t>3.1.1</t>
        </is>
      </c>
      <c r="C73" s="12" t="inlineStr">
        <is>
          <t>D3</t>
        </is>
      </c>
      <c r="D73" s="13" t="inlineStr">
        <is>
          <t>Data Ownership &amp; Stewardship Assignment</t>
        </is>
      </c>
      <c r="E73" s="12" t="inlineStr">
        <is>
          <t>Name an accountable owner and an operating steward for each data asset used by AI.</t>
        </is>
      </c>
      <c r="F73" s="12" t="inlineStr"/>
      <c r="G73" s="12" t="inlineStr"/>
      <c r="H73" s="12" t="inlineStr"/>
      <c r="I73" s="12" t="inlineStr"/>
      <c r="J73" s="12" t="inlineStr"/>
      <c r="K73" s="12" t="inlineStr"/>
      <c r="L73" s="12" t="inlineStr"/>
      <c r="M73" s="12" t="inlineStr"/>
      <c r="N73" s="12" t="inlineStr"/>
      <c r="O73" s="12" t="inlineStr"/>
      <c r="P73" s="11" t="inlineStr"/>
      <c r="Q73" s="11" t="inlineStr"/>
      <c r="R73" s="12" t="inlineStr"/>
      <c r="S73" s="12" t="inlineStr"/>
      <c r="T73" s="11" t="inlineStr"/>
    </row>
    <row r="74" outlineLevel="1">
      <c r="A74" s="12" t="inlineStr">
        <is>
          <t>L3</t>
        </is>
      </c>
      <c r="B74" s="12" t="inlineStr">
        <is>
          <t>3.1.2</t>
        </is>
      </c>
      <c r="C74" s="12" t="inlineStr">
        <is>
          <t>D3</t>
        </is>
      </c>
      <c r="D74" s="13" t="inlineStr">
        <is>
          <t>Data Classification &amp; Sensitivity Labeling</t>
        </is>
      </c>
      <c r="E74" s="12" t="inlineStr">
        <is>
          <t>Apply a consistent sensitivity classification that downstream controls can act on.</t>
        </is>
      </c>
      <c r="F74" s="12" t="inlineStr"/>
      <c r="G74" s="12" t="inlineStr"/>
      <c r="H74" s="12" t="inlineStr"/>
      <c r="I74" s="12" t="inlineStr"/>
      <c r="J74" s="12" t="inlineStr"/>
      <c r="K74" s="12" t="inlineStr"/>
      <c r="L74" s="12" t="inlineStr"/>
      <c r="M74" s="12" t="inlineStr"/>
      <c r="N74" s="12" t="inlineStr"/>
      <c r="O74" s="12" t="inlineStr"/>
      <c r="P74" s="11" t="inlineStr"/>
      <c r="Q74" s="11" t="inlineStr"/>
      <c r="R74" s="12" t="inlineStr"/>
      <c r="S74" s="12" t="inlineStr"/>
      <c r="T74" s="11" t="inlineStr"/>
    </row>
    <row r="75" outlineLevel="1">
      <c r="A75" s="12" t="inlineStr">
        <is>
          <t>L3</t>
        </is>
      </c>
      <c r="B75" s="12" t="inlineStr">
        <is>
          <t>3.1.3</t>
        </is>
      </c>
      <c r="C75" s="12" t="inlineStr">
        <is>
          <t>D3</t>
        </is>
      </c>
      <c r="D75" s="13" t="inlineStr">
        <is>
          <t>Data Access Policy &amp; Entitlement Management</t>
        </is>
      </c>
      <c r="E75" s="12" t="inlineStr">
        <is>
          <t>Define and enforce who may access which data, for which purpose.</t>
        </is>
      </c>
      <c r="F75" s="12" t="inlineStr"/>
      <c r="G75" s="12" t="inlineStr"/>
      <c r="H75" s="12" t="inlineStr"/>
      <c r="I75" s="12" t="inlineStr"/>
      <c r="J75" s="12" t="inlineStr"/>
      <c r="K75" s="12" t="inlineStr"/>
      <c r="L75" s="12" t="inlineStr"/>
      <c r="M75" s="12" t="inlineStr"/>
      <c r="N75" s="12" t="inlineStr"/>
      <c r="O75" s="12" t="inlineStr"/>
      <c r="P75" s="11" t="inlineStr"/>
      <c r="Q75" s="11" t="inlineStr"/>
      <c r="R75" s="12" t="inlineStr"/>
      <c r="S75" s="12" t="inlineStr"/>
      <c r="T75" s="11" t="inlineStr"/>
    </row>
    <row r="76" outlineLevel="1">
      <c r="A76" s="12" t="inlineStr">
        <is>
          <t>L3</t>
        </is>
      </c>
      <c r="B76" s="12" t="inlineStr">
        <is>
          <t>3.1.4</t>
        </is>
      </c>
      <c r="C76" s="12" t="inlineStr">
        <is>
          <t>D3</t>
        </is>
      </c>
      <c r="D76" s="13" t="inlineStr">
        <is>
          <t>Data Retention &amp; Records Management</t>
        </is>
      </c>
      <c r="E76" s="12" t="inlineStr">
        <is>
          <t>Apply retention and disposal rules to AI inputs, outputs and interaction records.</t>
        </is>
      </c>
      <c r="F76" s="12" t="inlineStr"/>
      <c r="G76" s="12" t="inlineStr"/>
      <c r="H76" s="12" t="inlineStr"/>
      <c r="I76" s="12" t="inlineStr"/>
      <c r="J76" s="12" t="inlineStr"/>
      <c r="K76" s="12" t="inlineStr"/>
      <c r="L76" s="12" t="inlineStr"/>
      <c r="M76" s="12" t="inlineStr"/>
      <c r="N76" s="12" t="inlineStr"/>
      <c r="O76" s="12" t="inlineStr"/>
      <c r="P76" s="11" t="inlineStr"/>
      <c r="Q76" s="11" t="inlineStr"/>
      <c r="R76" s="12" t="inlineStr"/>
      <c r="S76" s="12" t="inlineStr"/>
      <c r="T76" s="11" t="inlineStr"/>
    </row>
    <row r="77" outlineLevel="1">
      <c r="A77" s="12" t="inlineStr">
        <is>
          <t>L3</t>
        </is>
      </c>
      <c r="B77" s="12" t="inlineStr">
        <is>
          <t>3.1.5</t>
        </is>
      </c>
      <c r="C77" s="12" t="inlineStr">
        <is>
          <t>D3</t>
        </is>
      </c>
      <c r="D77" s="13" t="inlineStr">
        <is>
          <t>Cross-Border Data Transfer Control</t>
        </is>
      </c>
      <c r="E77" s="12" t="inlineStr">
        <is>
          <t>Determine and enforce which jurisdictions the institution's data may be transferred to and processed in.</t>
        </is>
      </c>
      <c r="F77" s="12" t="inlineStr"/>
      <c r="G77" s="12" t="inlineStr"/>
      <c r="H77" s="12" t="inlineStr"/>
      <c r="I77" s="12" t="inlineStr"/>
      <c r="J77" s="12" t="inlineStr"/>
      <c r="K77" s="12" t="inlineStr"/>
      <c r="L77" s="12" t="inlineStr"/>
      <c r="M77" s="12" t="inlineStr"/>
      <c r="N77" s="12" t="inlineStr"/>
      <c r="O77" s="12" t="inlineStr"/>
      <c r="P77" s="11" t="inlineStr"/>
      <c r="Q77" s="11" t="inlineStr"/>
      <c r="R77" s="12" t="inlineStr"/>
      <c r="S77" s="12" t="inlineStr"/>
      <c r="T77" s="11" t="inlineStr"/>
    </row>
    <row r="78">
      <c r="A78" s="8" t="inlineStr">
        <is>
          <t>L2</t>
        </is>
      </c>
      <c r="B78" s="8" t="inlineStr">
        <is>
          <t>3.2</t>
        </is>
      </c>
      <c r="C78" s="8" t="inlineStr">
        <is>
          <t>D3</t>
        </is>
      </c>
      <c r="D78" s="8" t="inlineStr">
        <is>
          <t>Data Sourcing, Licensing &amp; Provenance</t>
        </is>
      </c>
      <c r="E78" s="8" t="inlineStr">
        <is>
          <t>Able to demonstrate lawful, documented origin for every dataset an AI system uses.</t>
        </is>
      </c>
      <c r="F78" s="8" t="inlineStr">
        <is>
          <t>Data Management</t>
        </is>
      </c>
      <c r="G78" s="9" t="inlineStr">
        <is>
          <t>carlosd@iadb.org</t>
        </is>
      </c>
      <c r="H78" s="15" t="inlineStr">
        <is>
          <t>Partial</t>
        </is>
      </c>
      <c r="I78" s="9" t="inlineStr">
        <is>
          <t>Data Management claims data integration, certification and publication. Licensing and provenance of data used for AI training or grounding is not covered by anyone.</t>
        </is>
      </c>
      <c r="J78" s="9" t="inlineStr">
        <is>
          <t>Chief Data Officer</t>
        </is>
      </c>
      <c r="K78" s="9" t="inlineStr">
        <is>
          <t>specialization</t>
        </is>
      </c>
      <c r="L78" s="9" t="inlineStr"/>
      <c r="M78" s="9" t="inlineStr">
        <is>
          <t>high</t>
        </is>
      </c>
      <c r="N78" s="9" t="inlineStr">
        <is>
          <t>NIST AI RMF - Map; EDM Council DCAM/ADAC</t>
        </is>
      </c>
      <c r="O78" s="9" t="inlineStr"/>
      <c r="P78" s="11" t="inlineStr"/>
      <c r="Q78" s="11" t="inlineStr"/>
      <c r="R78" s="11" t="inlineStr"/>
      <c r="S78" s="11" t="inlineStr"/>
      <c r="T78" s="11" t="inlineStr"/>
    </row>
    <row r="79" outlineLevel="1">
      <c r="A79" s="12" t="inlineStr">
        <is>
          <t>L3</t>
        </is>
      </c>
      <c r="B79" s="12" t="inlineStr">
        <is>
          <t>3.2.1</t>
        </is>
      </c>
      <c r="C79" s="12" t="inlineStr">
        <is>
          <t>D3</t>
        </is>
      </c>
      <c r="D79" s="13" t="inlineStr">
        <is>
          <t>Data Acquisition &amp; Onboarding</t>
        </is>
      </c>
      <c r="E79" s="12" t="inlineStr">
        <is>
          <t>Bring external and internal data into the estate through a controlled route.</t>
        </is>
      </c>
      <c r="F79" s="12" t="inlineStr"/>
      <c r="G79" s="12" t="inlineStr"/>
      <c r="H79" s="12" t="inlineStr"/>
      <c r="I79" s="12" t="inlineStr"/>
      <c r="J79" s="12" t="inlineStr"/>
      <c r="K79" s="12" t="inlineStr"/>
      <c r="L79" s="12" t="inlineStr"/>
      <c r="M79" s="12" t="inlineStr"/>
      <c r="N79" s="12" t="inlineStr"/>
      <c r="O79" s="12" t="inlineStr"/>
      <c r="P79" s="11" t="inlineStr"/>
      <c r="Q79" s="11" t="inlineStr"/>
      <c r="R79" s="12" t="inlineStr"/>
      <c r="S79" s="12" t="inlineStr"/>
      <c r="T79" s="11" t="inlineStr"/>
    </row>
    <row r="80" outlineLevel="1">
      <c r="A80" s="12" t="inlineStr">
        <is>
          <t>L3</t>
        </is>
      </c>
      <c r="B80" s="12" t="inlineStr">
        <is>
          <t>3.2.2</t>
        </is>
      </c>
      <c r="C80" s="12" t="inlineStr">
        <is>
          <t>D3</t>
        </is>
      </c>
      <c r="D80" s="13" t="inlineStr">
        <is>
          <t>Licensing &amp; Permitted-Use Verification</t>
        </is>
      </c>
      <c r="E80" s="12" t="inlineStr">
        <is>
          <t>Confirm and record that intended AI use is permitted by the source's terms.</t>
        </is>
      </c>
      <c r="F80" s="12" t="inlineStr"/>
      <c r="G80" s="12" t="inlineStr"/>
      <c r="H80" s="12" t="inlineStr"/>
      <c r="I80" s="12" t="inlineStr"/>
      <c r="J80" s="12" t="inlineStr"/>
      <c r="K80" s="12" t="inlineStr"/>
      <c r="L80" s="12" t="inlineStr"/>
      <c r="M80" s="12" t="inlineStr"/>
      <c r="N80" s="12" t="inlineStr"/>
      <c r="O80" s="12" t="inlineStr"/>
      <c r="P80" s="11" t="inlineStr"/>
      <c r="Q80" s="11" t="inlineStr"/>
      <c r="R80" s="12" t="inlineStr"/>
      <c r="S80" s="12" t="inlineStr"/>
      <c r="T80" s="11" t="inlineStr"/>
    </row>
    <row r="81" outlineLevel="1">
      <c r="A81" s="12" t="inlineStr">
        <is>
          <t>L3</t>
        </is>
      </c>
      <c r="B81" s="12" t="inlineStr">
        <is>
          <t>3.2.3</t>
        </is>
      </c>
      <c r="C81" s="12" t="inlineStr">
        <is>
          <t>D3</t>
        </is>
      </c>
      <c r="D81" s="13" t="inlineStr">
        <is>
          <t>Provenance &amp; Chain-of-Custody Recording</t>
        </is>
      </c>
      <c r="E81" s="12" t="inlineStr">
        <is>
          <t>Record where data came from and every transformation applied to it.</t>
        </is>
      </c>
      <c r="F81" s="12" t="inlineStr"/>
      <c r="G81" s="12" t="inlineStr"/>
      <c r="H81" s="12" t="inlineStr"/>
      <c r="I81" s="12" t="inlineStr"/>
      <c r="J81" s="12" t="inlineStr"/>
      <c r="K81" s="12" t="inlineStr"/>
      <c r="L81" s="12" t="inlineStr"/>
      <c r="M81" s="12" t="inlineStr"/>
      <c r="N81" s="12" t="inlineStr"/>
      <c r="O81" s="12" t="inlineStr"/>
      <c r="P81" s="11" t="inlineStr"/>
      <c r="Q81" s="11" t="inlineStr"/>
      <c r="R81" s="12" t="inlineStr"/>
      <c r="S81" s="12" t="inlineStr"/>
      <c r="T81" s="11" t="inlineStr"/>
    </row>
    <row r="82" outlineLevel="1">
      <c r="A82" s="12" t="inlineStr">
        <is>
          <t>L3</t>
        </is>
      </c>
      <c r="B82" s="12" t="inlineStr">
        <is>
          <t>3.2.4</t>
        </is>
      </c>
      <c r="C82" s="12" t="inlineStr">
        <is>
          <t>D3</t>
        </is>
      </c>
      <c r="D82" s="13" t="inlineStr">
        <is>
          <t>Consent &amp; Purpose Limitation Management</t>
        </is>
      </c>
      <c r="E82" s="12" t="inlineStr">
        <is>
          <t>Track the basis on which data was collected and confine use to it.</t>
        </is>
      </c>
      <c r="F82" s="12" t="inlineStr"/>
      <c r="G82" s="12" t="inlineStr"/>
      <c r="H82" s="12" t="inlineStr"/>
      <c r="I82" s="12" t="inlineStr"/>
      <c r="J82" s="12" t="inlineStr"/>
      <c r="K82" s="12" t="inlineStr"/>
      <c r="L82" s="12" t="inlineStr"/>
      <c r="M82" s="12" t="inlineStr"/>
      <c r="N82" s="12" t="inlineStr"/>
      <c r="O82" s="12" t="inlineStr"/>
      <c r="P82" s="11" t="inlineStr"/>
      <c r="Q82" s="11" t="inlineStr"/>
      <c r="R82" s="12" t="inlineStr"/>
      <c r="S82" s="12" t="inlineStr"/>
      <c r="T82" s="11" t="inlineStr"/>
    </row>
    <row r="83" outlineLevel="1">
      <c r="A83" s="12" t="inlineStr">
        <is>
          <t>L3</t>
        </is>
      </c>
      <c r="B83" s="12" t="inlineStr">
        <is>
          <t>3.2.5</t>
        </is>
      </c>
      <c r="C83" s="12" t="inlineStr">
        <is>
          <t>D3</t>
        </is>
      </c>
      <c r="D83" s="13" t="inlineStr">
        <is>
          <t>Synthetic Data Generation &amp; Control</t>
        </is>
      </c>
      <c r="E83" s="12" t="inlineStr">
        <is>
          <t>Produce and govern synthetic data, including disclosure of its synthetic nature.</t>
        </is>
      </c>
      <c r="F83" s="12" t="inlineStr"/>
      <c r="G83" s="12" t="inlineStr"/>
      <c r="H83" s="12" t="inlineStr"/>
      <c r="I83" s="12" t="inlineStr"/>
      <c r="J83" s="12" t="inlineStr"/>
      <c r="K83" s="12" t="inlineStr"/>
      <c r="L83" s="12" t="inlineStr"/>
      <c r="M83" s="12" t="inlineStr"/>
      <c r="N83" s="12" t="inlineStr"/>
      <c r="O83" s="12" t="inlineStr"/>
      <c r="P83" s="11" t="inlineStr"/>
      <c r="Q83" s="11" t="inlineStr"/>
      <c r="R83" s="12" t="inlineStr"/>
      <c r="S83" s="12" t="inlineStr"/>
      <c r="T83" s="11" t="inlineStr"/>
    </row>
    <row r="84">
      <c r="A84" s="8" t="inlineStr">
        <is>
          <t>L2</t>
        </is>
      </c>
      <c r="B84" s="8" t="inlineStr">
        <is>
          <t>3.3</t>
        </is>
      </c>
      <c r="C84" s="8" t="inlineStr">
        <is>
          <t>D3</t>
        </is>
      </c>
      <c r="D84" s="8" t="inlineStr">
        <is>
          <t>Data Quality &amp; Preparation for AI</t>
        </is>
      </c>
      <c r="E84" s="8" t="inlineStr">
        <is>
          <t>Able to make data fit for the specific AI purpose and to prove it was fit.</t>
        </is>
      </c>
      <c r="F84" s="8" t="inlineStr">
        <is>
          <t>Data Management</t>
        </is>
      </c>
      <c r="G84" s="9" t="inlineStr">
        <is>
          <t>carlosd@iadb.org</t>
        </is>
      </c>
      <c r="H84" s="10" t="inlineStr">
        <is>
          <t>Direct</t>
        </is>
      </c>
      <c r="I84" s="9" t="inlineStr">
        <is>
          <t>Data Management claims Data Governance &amp; Quality, and data integration and certification.</t>
        </is>
      </c>
      <c r="J84" s="9" t="inlineStr">
        <is>
          <t>Data Product Owner</t>
        </is>
      </c>
      <c r="K84" s="9" t="inlineStr">
        <is>
          <t>specialization</t>
        </is>
      </c>
      <c r="L84" s="9" t="inlineStr"/>
      <c r="M84" s="9" t="inlineStr">
        <is>
          <t>medium</t>
        </is>
      </c>
      <c r="N84" s="9" t="inlineStr">
        <is>
          <t>ISO/IEC 5338; EDM Council DCAM/ADAC</t>
        </is>
      </c>
      <c r="O84" s="9" t="inlineStr"/>
      <c r="P84" s="11" t="inlineStr"/>
      <c r="Q84" s="11" t="inlineStr"/>
      <c r="R84" s="11" t="inlineStr"/>
      <c r="S84" s="11" t="inlineStr"/>
      <c r="T84" s="11" t="inlineStr"/>
    </row>
    <row r="85" outlineLevel="1">
      <c r="A85" s="12" t="inlineStr">
        <is>
          <t>L3</t>
        </is>
      </c>
      <c r="B85" s="12" t="inlineStr">
        <is>
          <t>3.3.1</t>
        </is>
      </c>
      <c r="C85" s="12" t="inlineStr">
        <is>
          <t>D3</t>
        </is>
      </c>
      <c r="D85" s="13" t="inlineStr">
        <is>
          <t>Data Profiling &amp; Quality Assessment</t>
        </is>
      </c>
      <c r="E85" s="12" t="inlineStr">
        <is>
          <t>Measure completeness, accuracy, timeliness and consistency against stated thresholds.</t>
        </is>
      </c>
      <c r="F85" s="12" t="inlineStr"/>
      <c r="G85" s="12" t="inlineStr"/>
      <c r="H85" s="12" t="inlineStr"/>
      <c r="I85" s="12" t="inlineStr"/>
      <c r="J85" s="12" t="inlineStr"/>
      <c r="K85" s="12" t="inlineStr"/>
      <c r="L85" s="12" t="inlineStr"/>
      <c r="M85" s="12" t="inlineStr"/>
      <c r="N85" s="12" t="inlineStr"/>
      <c r="O85" s="12" t="inlineStr"/>
      <c r="P85" s="11" t="inlineStr"/>
      <c r="Q85" s="11" t="inlineStr"/>
      <c r="R85" s="12" t="inlineStr"/>
      <c r="S85" s="12" t="inlineStr"/>
      <c r="T85" s="11" t="inlineStr"/>
    </row>
    <row r="86" outlineLevel="1">
      <c r="A86" s="12" t="inlineStr">
        <is>
          <t>L3</t>
        </is>
      </c>
      <c r="B86" s="12" t="inlineStr">
        <is>
          <t>3.3.2</t>
        </is>
      </c>
      <c r="C86" s="12" t="inlineStr">
        <is>
          <t>D3</t>
        </is>
      </c>
      <c r="D86" s="13" t="inlineStr">
        <is>
          <t>Data Cleansing &amp; Remediation</t>
        </is>
      </c>
      <c r="E86" s="12" t="inlineStr">
        <is>
          <t>Correct defects at source where possible, and record what was corrected downstream.</t>
        </is>
      </c>
      <c r="F86" s="12" t="inlineStr"/>
      <c r="G86" s="12" t="inlineStr"/>
      <c r="H86" s="12" t="inlineStr"/>
      <c r="I86" s="12" t="inlineStr"/>
      <c r="J86" s="12" t="inlineStr"/>
      <c r="K86" s="12" t="inlineStr"/>
      <c r="L86" s="12" t="inlineStr"/>
      <c r="M86" s="12" t="inlineStr"/>
      <c r="N86" s="12" t="inlineStr"/>
      <c r="O86" s="12" t="inlineStr"/>
      <c r="P86" s="11" t="inlineStr"/>
      <c r="Q86" s="11" t="inlineStr"/>
      <c r="R86" s="12" t="inlineStr"/>
      <c r="S86" s="12" t="inlineStr"/>
      <c r="T86" s="11" t="inlineStr"/>
    </row>
    <row r="87" outlineLevel="1">
      <c r="A87" s="12" t="inlineStr">
        <is>
          <t>L3</t>
        </is>
      </c>
      <c r="B87" s="12" t="inlineStr">
        <is>
          <t>3.3.3</t>
        </is>
      </c>
      <c r="C87" s="12" t="inlineStr">
        <is>
          <t>D3</t>
        </is>
      </c>
      <c r="D87" s="13" t="inlineStr">
        <is>
          <t>Representativeness &amp; Bias Screening</t>
        </is>
      </c>
      <c r="E87" s="12" t="inlineStr">
        <is>
          <t>Test datasets for gaps and skews relative to the affected population.</t>
        </is>
      </c>
      <c r="F87" s="12" t="inlineStr"/>
      <c r="G87" s="12" t="inlineStr"/>
      <c r="H87" s="12" t="inlineStr"/>
      <c r="I87" s="12" t="inlineStr"/>
      <c r="J87" s="12" t="inlineStr"/>
      <c r="K87" s="12" t="inlineStr"/>
      <c r="L87" s="12" t="inlineStr"/>
      <c r="M87" s="12" t="inlineStr"/>
      <c r="N87" s="12" t="inlineStr"/>
      <c r="O87" s="12" t="inlineStr"/>
      <c r="P87" s="11" t="inlineStr"/>
      <c r="Q87" s="11" t="inlineStr"/>
      <c r="R87" s="12" t="inlineStr"/>
      <c r="S87" s="12" t="inlineStr"/>
      <c r="T87" s="11" t="inlineStr"/>
    </row>
    <row r="88" outlineLevel="1">
      <c r="A88" s="12" t="inlineStr">
        <is>
          <t>L3</t>
        </is>
      </c>
      <c r="B88" s="12" t="inlineStr">
        <is>
          <t>3.3.4</t>
        </is>
      </c>
      <c r="C88" s="12" t="inlineStr">
        <is>
          <t>D3</t>
        </is>
      </c>
      <c r="D88" s="13" t="inlineStr">
        <is>
          <t>Labeling &amp; Annotation Management</t>
        </is>
      </c>
      <c r="E88" s="12" t="inlineStr">
        <is>
          <t>Produce, quality-check and version human and machine labels.</t>
        </is>
      </c>
      <c r="F88" s="12" t="inlineStr"/>
      <c r="G88" s="12" t="inlineStr"/>
      <c r="H88" s="12" t="inlineStr"/>
      <c r="I88" s="12" t="inlineStr"/>
      <c r="J88" s="12" t="inlineStr"/>
      <c r="K88" s="12" t="inlineStr"/>
      <c r="L88" s="12" t="inlineStr"/>
      <c r="M88" s="12" t="inlineStr"/>
      <c r="N88" s="12" t="inlineStr"/>
      <c r="O88" s="12" t="inlineStr"/>
      <c r="P88" s="11" t="inlineStr"/>
      <c r="Q88" s="11" t="inlineStr"/>
      <c r="R88" s="12" t="inlineStr"/>
      <c r="S88" s="12" t="inlineStr"/>
      <c r="T88" s="11" t="inlineStr"/>
    </row>
    <row r="89" outlineLevel="1">
      <c r="A89" s="12" t="inlineStr">
        <is>
          <t>L3</t>
        </is>
      </c>
      <c r="B89" s="12" t="inlineStr">
        <is>
          <t>3.3.5</t>
        </is>
      </c>
      <c r="C89" s="12" t="inlineStr">
        <is>
          <t>D3</t>
        </is>
      </c>
      <c r="D89" s="13" t="inlineStr">
        <is>
          <t>Dataset Versioning &amp; Snapshotting</t>
        </is>
      </c>
      <c r="E89" s="12" t="inlineStr">
        <is>
          <t>Freeze and identify the exact dataset a model or evaluation used.</t>
        </is>
      </c>
      <c r="F89" s="12" t="inlineStr"/>
      <c r="G89" s="12" t="inlineStr"/>
      <c r="H89" s="12" t="inlineStr"/>
      <c r="I89" s="12" t="inlineStr"/>
      <c r="J89" s="12" t="inlineStr"/>
      <c r="K89" s="12" t="inlineStr"/>
      <c r="L89" s="12" t="inlineStr"/>
      <c r="M89" s="12" t="inlineStr"/>
      <c r="N89" s="12" t="inlineStr"/>
      <c r="O89" s="12" t="inlineStr"/>
      <c r="P89" s="11" t="inlineStr"/>
      <c r="Q89" s="11" t="inlineStr"/>
      <c r="R89" s="12" t="inlineStr"/>
      <c r="S89" s="12" t="inlineStr"/>
      <c r="T89" s="11" t="inlineStr"/>
    </row>
    <row r="90">
      <c r="A90" s="8" t="inlineStr">
        <is>
          <t>L2</t>
        </is>
      </c>
      <c r="B90" s="8" t="inlineStr">
        <is>
          <t>3.4</t>
        </is>
      </c>
      <c r="C90" s="8" t="inlineStr">
        <is>
          <t>D3</t>
        </is>
      </c>
      <c r="D90" s="8" t="inlineStr">
        <is>
          <t>Metadata, Lineage &amp; Cataloging for AI</t>
        </is>
      </c>
      <c r="E90" s="8" t="inlineStr">
        <is>
          <t>Able to find data, understand what it means, and trace where it went.</t>
        </is>
      </c>
      <c r="F90" s="8" t="inlineStr">
        <is>
          <t>Data Management</t>
        </is>
      </c>
      <c r="G90" s="9" t="inlineStr">
        <is>
          <t>carlosd@iadb.org</t>
        </is>
      </c>
      <c r="H90" s="10" t="inlineStr">
        <is>
          <t>Direct</t>
        </is>
      </c>
      <c r="I90" s="9" t="inlineStr">
        <is>
          <t>Data Management claims the Data Marketplace — catalog and publication of certified data assets — and Data Architecture.</t>
        </is>
      </c>
      <c r="J90" s="9" t="inlineStr">
        <is>
          <t>Data Governance Owner</t>
        </is>
      </c>
      <c r="K90" s="9" t="inlineStr">
        <is>
          <t>specialization</t>
        </is>
      </c>
      <c r="L90" s="9" t="inlineStr"/>
      <c r="M90" s="9" t="inlineStr">
        <is>
          <t>high</t>
        </is>
      </c>
      <c r="N90" s="9" t="inlineStr">
        <is>
          <t>EDM Council DCAM/ADAC; ISO/IEC 5338</t>
        </is>
      </c>
      <c r="O90" s="9" t="inlineStr"/>
      <c r="P90" s="11" t="inlineStr"/>
      <c r="Q90" s="11" t="inlineStr"/>
      <c r="R90" s="11" t="inlineStr"/>
      <c r="S90" s="11" t="inlineStr"/>
      <c r="T90" s="11" t="inlineStr"/>
    </row>
    <row r="91" outlineLevel="1">
      <c r="A91" s="12" t="inlineStr">
        <is>
          <t>L3</t>
        </is>
      </c>
      <c r="B91" s="12" t="inlineStr">
        <is>
          <t>3.4.1</t>
        </is>
      </c>
      <c r="C91" s="12" t="inlineStr">
        <is>
          <t>D3</t>
        </is>
      </c>
      <c r="D91" s="13" t="inlineStr">
        <is>
          <t>Data Catalog Management</t>
        </is>
      </c>
      <c r="E91" s="12" t="inlineStr">
        <is>
          <t>Maintain a searchable inventory of data assets with their attributes.</t>
        </is>
      </c>
      <c r="F91" s="12" t="inlineStr"/>
      <c r="G91" s="12" t="inlineStr"/>
      <c r="H91" s="12" t="inlineStr"/>
      <c r="I91" s="12" t="inlineStr"/>
      <c r="J91" s="12" t="inlineStr"/>
      <c r="K91" s="12" t="inlineStr"/>
      <c r="L91" s="12" t="inlineStr"/>
      <c r="M91" s="12" t="inlineStr"/>
      <c r="N91" s="12" t="inlineStr"/>
      <c r="O91" s="12" t="inlineStr"/>
      <c r="P91" s="11" t="inlineStr"/>
      <c r="Q91" s="11" t="inlineStr"/>
      <c r="R91" s="12" t="inlineStr"/>
      <c r="S91" s="12" t="inlineStr"/>
      <c r="T91" s="11" t="inlineStr"/>
    </row>
    <row r="92" outlineLevel="1">
      <c r="A92" s="12" t="inlineStr">
        <is>
          <t>L3</t>
        </is>
      </c>
      <c r="B92" s="12" t="inlineStr">
        <is>
          <t>3.4.2</t>
        </is>
      </c>
      <c r="C92" s="12" t="inlineStr">
        <is>
          <t>D3</t>
        </is>
      </c>
      <c r="D92" s="13" t="inlineStr">
        <is>
          <t>Business Glossary &amp; Semantic Definition</t>
        </is>
      </c>
      <c r="E92" s="12" t="inlineStr">
        <is>
          <t>Hold one agreed definition per business term that data assets bind to.</t>
        </is>
      </c>
      <c r="F92" s="12" t="inlineStr"/>
      <c r="G92" s="12" t="inlineStr"/>
      <c r="H92" s="12" t="inlineStr"/>
      <c r="I92" s="12" t="inlineStr"/>
      <c r="J92" s="12" t="inlineStr"/>
      <c r="K92" s="12" t="inlineStr"/>
      <c r="L92" s="12" t="inlineStr"/>
      <c r="M92" s="12" t="inlineStr"/>
      <c r="N92" s="12" t="inlineStr"/>
      <c r="O92" s="12" t="inlineStr"/>
      <c r="P92" s="11" t="inlineStr"/>
      <c r="Q92" s="11" t="inlineStr"/>
      <c r="R92" s="12" t="inlineStr"/>
      <c r="S92" s="12" t="inlineStr"/>
      <c r="T92" s="11" t="inlineStr"/>
    </row>
    <row r="93" outlineLevel="1">
      <c r="A93" s="12" t="inlineStr">
        <is>
          <t>L3</t>
        </is>
      </c>
      <c r="B93" s="12" t="inlineStr">
        <is>
          <t>3.4.3</t>
        </is>
      </c>
      <c r="C93" s="12" t="inlineStr">
        <is>
          <t>D3</t>
        </is>
      </c>
      <c r="D93" s="13" t="inlineStr">
        <is>
          <t>Lineage Capture &amp; Traceability</t>
        </is>
      </c>
      <c r="E93" s="12" t="inlineStr">
        <is>
          <t>Trace a model output back through transformations to source records.</t>
        </is>
      </c>
      <c r="F93" s="12" t="inlineStr"/>
      <c r="G93" s="12" t="inlineStr"/>
      <c r="H93" s="12" t="inlineStr"/>
      <c r="I93" s="12" t="inlineStr"/>
      <c r="J93" s="12" t="inlineStr"/>
      <c r="K93" s="12" t="inlineStr"/>
      <c r="L93" s="12" t="inlineStr"/>
      <c r="M93" s="12" t="inlineStr"/>
      <c r="N93" s="12" t="inlineStr"/>
      <c r="O93" s="12" t="inlineStr"/>
      <c r="P93" s="11" t="inlineStr"/>
      <c r="Q93" s="11" t="inlineStr"/>
      <c r="R93" s="12" t="inlineStr"/>
      <c r="S93" s="12" t="inlineStr"/>
      <c r="T93" s="11" t="inlineStr"/>
    </row>
    <row r="94" outlineLevel="1">
      <c r="A94" s="12" t="inlineStr">
        <is>
          <t>L3</t>
        </is>
      </c>
      <c r="B94" s="12" t="inlineStr">
        <is>
          <t>3.4.4</t>
        </is>
      </c>
      <c r="C94" s="12" t="inlineStr">
        <is>
          <t>D3</t>
        </is>
      </c>
      <c r="D94" s="13" t="inlineStr">
        <is>
          <t>Data Product Publication</t>
        </is>
      </c>
      <c r="E94" s="12" t="inlineStr">
        <is>
          <t>Publish curated, contracted datasets that consumers can depend on.</t>
        </is>
      </c>
      <c r="F94" s="12" t="inlineStr"/>
      <c r="G94" s="12" t="inlineStr"/>
      <c r="H94" s="12" t="inlineStr"/>
      <c r="I94" s="12" t="inlineStr"/>
      <c r="J94" s="12" t="inlineStr"/>
      <c r="K94" s="12" t="inlineStr"/>
      <c r="L94" s="12" t="inlineStr"/>
      <c r="M94" s="12" t="inlineStr"/>
      <c r="N94" s="12" t="inlineStr"/>
      <c r="O94" s="12" t="inlineStr"/>
      <c r="P94" s="11" t="inlineStr"/>
      <c r="Q94" s="11" t="inlineStr"/>
      <c r="R94" s="12" t="inlineStr"/>
      <c r="S94" s="12" t="inlineStr"/>
      <c r="T94" s="11" t="inlineStr"/>
    </row>
    <row r="95">
      <c r="A95" s="8" t="inlineStr">
        <is>
          <t>L2</t>
        </is>
      </c>
      <c r="B95" s="8" t="inlineStr">
        <is>
          <t>3.5</t>
        </is>
      </c>
      <c r="C95" s="8" t="inlineStr">
        <is>
          <t>D3</t>
        </is>
      </c>
      <c r="D95" s="8" t="inlineStr">
        <is>
          <t>Knowledge Corpus &amp; Content Management</t>
        </is>
      </c>
      <c r="E95" s="8" t="inlineStr">
        <is>
          <t>Able to curate the document and content estate that grounded AI depends on.</t>
        </is>
      </c>
      <c r="F95" s="8" t="inlineStr">
        <is>
          <t>Core Platforms</t>
        </is>
      </c>
      <c r="G95" s="9" t="inlineStr">
        <is>
          <t>JUANAA@iadb.org</t>
        </is>
      </c>
      <c r="H95" s="15" t="inlineStr">
        <is>
          <t>Partial</t>
        </is>
      </c>
      <c r="I95" s="9" t="inlineStr">
        <is>
          <t>Core Platforms claims Content management (ezShare, OneDrive, SharePoint, search). Knowledge Management claims capture and dissemination of operational knowledge. Two candidates and neither claims curation of a corpus for AI grounding.</t>
        </is>
      </c>
      <c r="J95" s="9" t="inlineStr">
        <is>
          <t>Knowledge Management Owner</t>
        </is>
      </c>
      <c r="K95" s="9" t="inlineStr">
        <is>
          <t>new</t>
        </is>
      </c>
      <c r="L95" s="9" t="inlineStr"/>
      <c r="M95" s="9" t="inlineStr">
        <is>
          <t>medium</t>
        </is>
      </c>
      <c r="N95" s="9" t="inlineStr">
        <is>
          <t>IBM GenAI Capability Model</t>
        </is>
      </c>
      <c r="O95" s="9" t="inlineStr"/>
      <c r="P95" s="11" t="inlineStr"/>
      <c r="Q95" s="11" t="inlineStr"/>
      <c r="R95" s="11" t="inlineStr"/>
      <c r="S95" s="11" t="inlineStr"/>
      <c r="T95" s="11" t="inlineStr"/>
    </row>
    <row r="96" outlineLevel="1">
      <c r="A96" s="12" t="inlineStr">
        <is>
          <t>L3</t>
        </is>
      </c>
      <c r="B96" s="12" t="inlineStr">
        <is>
          <t>3.5.1</t>
        </is>
      </c>
      <c r="C96" s="12" t="inlineStr">
        <is>
          <t>D3</t>
        </is>
      </c>
      <c r="D96" s="13" t="inlineStr">
        <is>
          <t>Corpus Definition &amp; Curation</t>
        </is>
      </c>
      <c r="E96" s="12" t="inlineStr">
        <is>
          <t>Decide what belongs in a knowledge corpus and what is deliberately excluded.</t>
        </is>
      </c>
      <c r="F96" s="12" t="inlineStr"/>
      <c r="G96" s="12" t="inlineStr"/>
      <c r="H96" s="12" t="inlineStr"/>
      <c r="I96" s="12" t="inlineStr"/>
      <c r="J96" s="12" t="inlineStr"/>
      <c r="K96" s="12" t="inlineStr"/>
      <c r="L96" s="12" t="inlineStr"/>
      <c r="M96" s="12" t="inlineStr"/>
      <c r="N96" s="12" t="inlineStr"/>
      <c r="O96" s="12" t="inlineStr"/>
      <c r="P96" s="11" t="inlineStr"/>
      <c r="Q96" s="11" t="inlineStr"/>
      <c r="R96" s="12" t="inlineStr"/>
      <c r="S96" s="12" t="inlineStr"/>
      <c r="T96" s="11" t="inlineStr"/>
    </row>
    <row r="97" outlineLevel="1">
      <c r="A97" s="12" t="inlineStr">
        <is>
          <t>L3</t>
        </is>
      </c>
      <c r="B97" s="12" t="inlineStr">
        <is>
          <t>3.5.2</t>
        </is>
      </c>
      <c r="C97" s="12" t="inlineStr">
        <is>
          <t>D3</t>
        </is>
      </c>
      <c r="D97" s="13" t="inlineStr">
        <is>
          <t>Content Ingestion &amp; Normalization</t>
        </is>
      </c>
      <c r="E97" s="12" t="inlineStr">
        <is>
          <t>Bring heterogeneous content into a consistent, machine-usable form.</t>
        </is>
      </c>
      <c r="F97" s="12" t="inlineStr"/>
      <c r="G97" s="12" t="inlineStr"/>
      <c r="H97" s="12" t="inlineStr"/>
      <c r="I97" s="12" t="inlineStr"/>
      <c r="J97" s="12" t="inlineStr"/>
      <c r="K97" s="12" t="inlineStr"/>
      <c r="L97" s="12" t="inlineStr"/>
      <c r="M97" s="12" t="inlineStr"/>
      <c r="N97" s="12" t="inlineStr"/>
      <c r="O97" s="12" t="inlineStr"/>
      <c r="P97" s="11" t="inlineStr"/>
      <c r="Q97" s="11" t="inlineStr"/>
      <c r="R97" s="12" t="inlineStr"/>
      <c r="S97" s="12" t="inlineStr"/>
      <c r="T97" s="11" t="inlineStr"/>
    </row>
    <row r="98" outlineLevel="1">
      <c r="A98" s="12" t="inlineStr">
        <is>
          <t>L3</t>
        </is>
      </c>
      <c r="B98" s="12" t="inlineStr">
        <is>
          <t>3.5.3</t>
        </is>
      </c>
      <c r="C98" s="12" t="inlineStr">
        <is>
          <t>D3</t>
        </is>
      </c>
      <c r="D98" s="13" t="inlineStr">
        <is>
          <t>Content Segmentation Design</t>
        </is>
      </c>
      <c r="E98" s="12" t="inlineStr">
        <is>
          <t>Choose and apply segmentation that preserves meaning and citability.</t>
        </is>
      </c>
      <c r="F98" s="12" t="inlineStr"/>
      <c r="G98" s="12" t="inlineStr"/>
      <c r="H98" s="12" t="inlineStr"/>
      <c r="I98" s="12" t="inlineStr"/>
      <c r="J98" s="12" t="inlineStr"/>
      <c r="K98" s="12" t="inlineStr"/>
      <c r="L98" s="12" t="inlineStr"/>
      <c r="M98" s="12" t="inlineStr"/>
      <c r="N98" s="12" t="inlineStr"/>
      <c r="O98" s="12" t="inlineStr"/>
      <c r="P98" s="11" t="inlineStr"/>
      <c r="Q98" s="11" t="inlineStr"/>
      <c r="R98" s="12" t="inlineStr"/>
      <c r="S98" s="12" t="inlineStr"/>
      <c r="T98" s="11" t="inlineStr"/>
    </row>
    <row r="99" outlineLevel="1">
      <c r="A99" s="12" t="inlineStr">
        <is>
          <t>L3</t>
        </is>
      </c>
      <c r="B99" s="12" t="inlineStr">
        <is>
          <t>3.5.4</t>
        </is>
      </c>
      <c r="C99" s="12" t="inlineStr">
        <is>
          <t>D3</t>
        </is>
      </c>
      <c r="D99" s="13" t="inlineStr">
        <is>
          <t>Corpus Freshness &amp; Refresh Management</t>
        </is>
      </c>
      <c r="E99" s="12" t="inlineStr">
        <is>
          <t>Keep the corpus current and know how stale any part of it is.</t>
        </is>
      </c>
      <c r="F99" s="12" t="inlineStr"/>
      <c r="G99" s="12" t="inlineStr"/>
      <c r="H99" s="12" t="inlineStr"/>
      <c r="I99" s="12" t="inlineStr"/>
      <c r="J99" s="12" t="inlineStr"/>
      <c r="K99" s="12" t="inlineStr"/>
      <c r="L99" s="12" t="inlineStr"/>
      <c r="M99" s="12" t="inlineStr"/>
      <c r="N99" s="12" t="inlineStr"/>
      <c r="O99" s="12" t="inlineStr"/>
      <c r="P99" s="11" t="inlineStr"/>
      <c r="Q99" s="11" t="inlineStr"/>
      <c r="R99" s="12" t="inlineStr"/>
      <c r="S99" s="12" t="inlineStr"/>
      <c r="T99" s="11" t="inlineStr"/>
    </row>
    <row r="100" outlineLevel="1">
      <c r="A100" s="12" t="inlineStr">
        <is>
          <t>L3</t>
        </is>
      </c>
      <c r="B100" s="12" t="inlineStr">
        <is>
          <t>3.5.5</t>
        </is>
      </c>
      <c r="C100" s="12" t="inlineStr">
        <is>
          <t>D3</t>
        </is>
      </c>
      <c r="D100" s="13" t="inlineStr">
        <is>
          <t>Authoritative Source Designation</t>
        </is>
      </c>
      <c r="E100" s="12" t="inlineStr">
        <is>
          <t>Declare which source wins when two documents disagree.</t>
        </is>
      </c>
      <c r="F100" s="12" t="inlineStr"/>
      <c r="G100" s="12" t="inlineStr"/>
      <c r="H100" s="12" t="inlineStr"/>
      <c r="I100" s="12" t="inlineStr"/>
      <c r="J100" s="12" t="inlineStr"/>
      <c r="K100" s="12" t="inlineStr"/>
      <c r="L100" s="12" t="inlineStr"/>
      <c r="M100" s="12" t="inlineStr"/>
      <c r="N100" s="12" t="inlineStr"/>
      <c r="O100" s="12" t="inlineStr"/>
      <c r="P100" s="11" t="inlineStr"/>
      <c r="Q100" s="11" t="inlineStr"/>
      <c r="R100" s="12" t="inlineStr"/>
      <c r="S100" s="12" t="inlineStr"/>
      <c r="T100" s="11" t="inlineStr"/>
    </row>
    <row r="101">
      <c r="A101" s="8" t="inlineStr">
        <is>
          <t>L2</t>
        </is>
      </c>
      <c r="B101" s="8" t="inlineStr">
        <is>
          <t>3.6</t>
        </is>
      </c>
      <c r="C101" s="8" t="inlineStr">
        <is>
          <t>D3</t>
        </is>
      </c>
      <c r="D101" s="8" t="inlineStr">
        <is>
          <t>Knowledge Access &amp; Retrieval</t>
        </is>
      </c>
      <c r="E101" s="8" t="inlineStr">
        <is>
          <t>Able to return the right knowledge to the right requester, with its provenance intact.</t>
        </is>
      </c>
      <c r="F101" s="8" t="inlineStr">
        <is>
          <t>Artificial Intelligence</t>
        </is>
      </c>
      <c r="G101" s="9" t="inlineStr">
        <is>
          <t>JAIRORI@IADB.ORG</t>
        </is>
      </c>
      <c r="H101" s="10" t="inlineStr">
        <is>
          <t>Direct</t>
        </is>
      </c>
      <c r="I101" s="9" t="inlineStr">
        <is>
          <t>AI enabler claims Platform Development including the Unstructured Data Application and the MCP servers, which is where retrieval is delivered.</t>
        </is>
      </c>
      <c r="J101" s="9" t="inlineStr">
        <is>
          <t>Knowledge Platform Owner</t>
        </is>
      </c>
      <c r="K101" s="9" t="inlineStr">
        <is>
          <t>new</t>
        </is>
      </c>
      <c r="L101" s="9" t="inlineStr"/>
      <c r="M101" s="9" t="inlineStr">
        <is>
          <t>low</t>
        </is>
      </c>
      <c r="N101" s="9" t="inlineStr">
        <is>
          <t>IBM GenAI Capability Model; NIST AI 600-1 Generative AI Profile</t>
        </is>
      </c>
      <c r="O101" s="9" t="inlineStr"/>
      <c r="P101" s="11" t="inlineStr"/>
      <c r="Q101" s="11" t="inlineStr"/>
      <c r="R101" s="11" t="inlineStr"/>
      <c r="S101" s="11" t="inlineStr"/>
      <c r="T101" s="11" t="inlineStr"/>
    </row>
    <row r="102" outlineLevel="1">
      <c r="A102" s="12" t="inlineStr">
        <is>
          <t>L3</t>
        </is>
      </c>
      <c r="B102" s="12" t="inlineStr">
        <is>
          <t>3.6.1</t>
        </is>
      </c>
      <c r="C102" s="12" t="inlineStr">
        <is>
          <t>D3</t>
        </is>
      </c>
      <c r="D102" s="13" t="inlineStr">
        <is>
          <t>Retrieval Service Provision</t>
        </is>
      </c>
      <c r="E102" s="12" t="inlineStr">
        <is>
          <t>Provide governed retrieval over institutional content — by meaning, by term, or both — as a reusable service.</t>
        </is>
      </c>
      <c r="F102" s="12" t="inlineStr"/>
      <c r="G102" s="12" t="inlineStr"/>
      <c r="H102" s="12" t="inlineStr"/>
      <c r="I102" s="12" t="inlineStr"/>
      <c r="J102" s="12" t="inlineStr"/>
      <c r="K102" s="12" t="inlineStr"/>
      <c r="L102" s="12" t="inlineStr"/>
      <c r="M102" s="12" t="inlineStr"/>
      <c r="N102" s="12" t="inlineStr"/>
      <c r="O102" s="12" t="inlineStr"/>
      <c r="P102" s="11" t="inlineStr"/>
      <c r="Q102" s="11" t="inlineStr"/>
      <c r="R102" s="12" t="inlineStr"/>
      <c r="S102" s="12" t="inlineStr"/>
      <c r="T102" s="11" t="inlineStr"/>
    </row>
    <row r="103" outlineLevel="1">
      <c r="A103" s="12" t="inlineStr">
        <is>
          <t>L3</t>
        </is>
      </c>
      <c r="B103" s="12" t="inlineStr">
        <is>
          <t>3.6.2</t>
        </is>
      </c>
      <c r="C103" s="12" t="inlineStr">
        <is>
          <t>D3</t>
        </is>
      </c>
      <c r="D103" s="13" t="inlineStr">
        <is>
          <t>Access-Trimmed Retrieval Enforcement</t>
        </is>
      </c>
      <c r="E103" s="12" t="inlineStr">
        <is>
          <t>Enforce, at retrieval time, the entitlements determined in 3.1.3, so a requester sees only what they may see.</t>
        </is>
      </c>
      <c r="F103" s="12" t="inlineStr"/>
      <c r="G103" s="12" t="inlineStr"/>
      <c r="H103" s="12" t="inlineStr"/>
      <c r="I103" s="12" t="inlineStr"/>
      <c r="J103" s="12" t="inlineStr"/>
      <c r="K103" s="12" t="inlineStr"/>
      <c r="L103" s="12" t="inlineStr"/>
      <c r="M103" s="12" t="inlineStr"/>
      <c r="N103" s="12" t="inlineStr"/>
      <c r="O103" s="12" t="inlineStr"/>
      <c r="P103" s="11" t="inlineStr"/>
      <c r="Q103" s="11" t="inlineStr"/>
      <c r="R103" s="12" t="inlineStr"/>
      <c r="S103" s="12" t="inlineStr"/>
      <c r="T103" s="11" t="inlineStr"/>
    </row>
    <row r="104" outlineLevel="1">
      <c r="A104" s="12" t="inlineStr">
        <is>
          <t>L3</t>
        </is>
      </c>
      <c r="B104" s="12" t="inlineStr">
        <is>
          <t>3.6.3</t>
        </is>
      </c>
      <c r="C104" s="12" t="inlineStr">
        <is>
          <t>D3</t>
        </is>
      </c>
      <c r="D104" s="13" t="inlineStr">
        <is>
          <t>Retrieval Quality Evaluation &amp; Tuning</t>
        </is>
      </c>
      <c r="E104" s="12" t="inlineStr">
        <is>
          <t>Measure and improve retrieval precision and recall against a known set.</t>
        </is>
      </c>
      <c r="F104" s="12" t="inlineStr"/>
      <c r="G104" s="12" t="inlineStr"/>
      <c r="H104" s="12" t="inlineStr"/>
      <c r="I104" s="12" t="inlineStr"/>
      <c r="J104" s="12" t="inlineStr"/>
      <c r="K104" s="12" t="inlineStr"/>
      <c r="L104" s="12" t="inlineStr"/>
      <c r="M104" s="12" t="inlineStr"/>
      <c r="N104" s="12" t="inlineStr"/>
      <c r="O104" s="12" t="inlineStr"/>
      <c r="P104" s="11" t="inlineStr"/>
      <c r="Q104" s="11" t="inlineStr"/>
      <c r="R104" s="12" t="inlineStr"/>
      <c r="S104" s="12" t="inlineStr"/>
      <c r="T104" s="11" t="inlineStr"/>
    </row>
    <row r="105" outlineLevel="1">
      <c r="A105" s="12" t="inlineStr">
        <is>
          <t>L3</t>
        </is>
      </c>
      <c r="B105" s="12" t="inlineStr">
        <is>
          <t>3.6.4</t>
        </is>
      </c>
      <c r="C105" s="12" t="inlineStr">
        <is>
          <t>D3</t>
        </is>
      </c>
      <c r="D105" s="13" t="inlineStr">
        <is>
          <t>Multi-Source Federation &amp; Ranking</t>
        </is>
      </c>
      <c r="E105" s="12" t="inlineStr">
        <is>
          <t>Retrieve across several repositories and rank the combined result coherently.</t>
        </is>
      </c>
      <c r="F105" s="12" t="inlineStr"/>
      <c r="G105" s="12" t="inlineStr"/>
      <c r="H105" s="12" t="inlineStr"/>
      <c r="I105" s="12" t="inlineStr"/>
      <c r="J105" s="12" t="inlineStr"/>
      <c r="K105" s="12" t="inlineStr"/>
      <c r="L105" s="12" t="inlineStr"/>
      <c r="M105" s="12" t="inlineStr"/>
      <c r="N105" s="12" t="inlineStr"/>
      <c r="O105" s="12" t="inlineStr"/>
      <c r="P105" s="11" t="inlineStr"/>
      <c r="Q105" s="11" t="inlineStr"/>
      <c r="R105" s="12" t="inlineStr"/>
      <c r="S105" s="12" t="inlineStr"/>
      <c r="T105" s="11" t="inlineStr"/>
    </row>
    <row r="106" outlineLevel="1">
      <c r="A106" s="12" t="inlineStr">
        <is>
          <t>L3</t>
        </is>
      </c>
      <c r="B106" s="12" t="inlineStr">
        <is>
          <t>3.6.5</t>
        </is>
      </c>
      <c r="C106" s="12" t="inlineStr">
        <is>
          <t>D3</t>
        </is>
      </c>
      <c r="D106" s="13" t="inlineStr">
        <is>
          <t>Citation, Grounding &amp; Traceability</t>
        </is>
      </c>
      <c r="E106" s="12" t="inlineStr">
        <is>
          <t>Return every answer with the source it rests on, resolvable by the reader.</t>
        </is>
      </c>
      <c r="F106" s="12" t="inlineStr"/>
      <c r="G106" s="12" t="inlineStr"/>
      <c r="H106" s="12" t="inlineStr"/>
      <c r="I106" s="12" t="inlineStr"/>
      <c r="J106" s="12" t="inlineStr"/>
      <c r="K106" s="12" t="inlineStr"/>
      <c r="L106" s="12" t="inlineStr"/>
      <c r="M106" s="12" t="inlineStr"/>
      <c r="N106" s="12" t="inlineStr"/>
      <c r="O106" s="12" t="inlineStr"/>
      <c r="P106" s="11" t="inlineStr"/>
      <c r="Q106" s="11" t="inlineStr"/>
      <c r="R106" s="12" t="inlineStr"/>
      <c r="S106" s="12" t="inlineStr"/>
      <c r="T106" s="11" t="inlineStr"/>
    </row>
    <row r="107">
      <c r="A107" s="8" t="inlineStr">
        <is>
          <t>L2</t>
        </is>
      </c>
      <c r="B107" s="8" t="inlineStr">
        <is>
          <t>3.7</t>
        </is>
      </c>
      <c r="C107" s="8" t="inlineStr">
        <is>
          <t>D3</t>
        </is>
      </c>
      <c r="D107" s="8" t="inlineStr">
        <is>
          <t>Derived Representation Management</t>
        </is>
      </c>
      <c r="E107" s="8" t="inlineStr">
        <is>
          <t>Able to manage derived representations of data as governed assets in their own right.</t>
        </is>
      </c>
      <c r="F107" s="8" t="inlineStr">
        <is>
          <t>Artificial Intelligence</t>
        </is>
      </c>
      <c r="G107" s="9" t="inlineStr">
        <is>
          <t>JAIRORI@IADB.ORG</t>
        </is>
      </c>
      <c r="H107" s="14" t="inlineStr">
        <is>
          <t>Inferred</t>
        </is>
      </c>
      <c r="I107" s="9" t="inlineStr">
        <is>
          <t>Embeddings and derived representations are named nowhere in the catalogue. They fall inside the AI enabler's platform remit by elimination.</t>
        </is>
      </c>
      <c r="J107" s="9" t="inlineStr">
        <is>
          <t>Data/ML Platform Owner</t>
        </is>
      </c>
      <c r="K107" s="9" t="inlineStr">
        <is>
          <t>new</t>
        </is>
      </c>
      <c r="L107" s="9" t="inlineStr"/>
      <c r="M107" s="9" t="inlineStr">
        <is>
          <t>low</t>
        </is>
      </c>
      <c r="N107" s="9" t="inlineStr">
        <is>
          <t>IBM GenAI Capability Model; ISO/IEC 5338</t>
        </is>
      </c>
      <c r="O107" s="9" t="inlineStr"/>
      <c r="P107" s="11" t="inlineStr"/>
      <c r="Q107" s="11" t="inlineStr"/>
      <c r="R107" s="11" t="inlineStr"/>
      <c r="S107" s="11" t="inlineStr"/>
      <c r="T107" s="11" t="inlineStr"/>
    </row>
    <row r="108" outlineLevel="1">
      <c r="A108" s="12" t="inlineStr">
        <is>
          <t>L3</t>
        </is>
      </c>
      <c r="B108" s="12" t="inlineStr">
        <is>
          <t>3.7.1</t>
        </is>
      </c>
      <c r="C108" s="12" t="inlineStr">
        <is>
          <t>D3</t>
        </is>
      </c>
      <c r="D108" s="13" t="inlineStr">
        <is>
          <t>Feature Engineering &amp; Store Management</t>
        </is>
      </c>
      <c r="E108" s="12" t="inlineStr">
        <is>
          <t>Produce, share and reuse engineered features under version control.</t>
        </is>
      </c>
      <c r="F108" s="12" t="inlineStr"/>
      <c r="G108" s="12" t="inlineStr"/>
      <c r="H108" s="12" t="inlineStr"/>
      <c r="I108" s="12" t="inlineStr"/>
      <c r="J108" s="12" t="inlineStr"/>
      <c r="K108" s="12" t="inlineStr"/>
      <c r="L108" s="12" t="inlineStr"/>
      <c r="M108" s="12" t="inlineStr"/>
      <c r="N108" s="12" t="inlineStr"/>
      <c r="O108" s="12" t="inlineStr"/>
      <c r="P108" s="11" t="inlineStr"/>
      <c r="Q108" s="11" t="inlineStr"/>
      <c r="R108" s="12" t="inlineStr"/>
      <c r="S108" s="12" t="inlineStr"/>
      <c r="T108" s="11" t="inlineStr"/>
    </row>
    <row r="109" outlineLevel="1">
      <c r="A109" s="12" t="inlineStr">
        <is>
          <t>L3</t>
        </is>
      </c>
      <c r="B109" s="12" t="inlineStr">
        <is>
          <t>3.7.2</t>
        </is>
      </c>
      <c r="C109" s="12" t="inlineStr">
        <is>
          <t>D3</t>
        </is>
      </c>
      <c r="D109" s="13" t="inlineStr">
        <is>
          <t>Embedding Model Selection &amp; Versioning</t>
        </is>
      </c>
      <c r="E109" s="12" t="inlineStr">
        <is>
          <t>Choose embedding models deliberately and record which version produced which index.</t>
        </is>
      </c>
      <c r="F109" s="12" t="inlineStr"/>
      <c r="G109" s="12" t="inlineStr"/>
      <c r="H109" s="12" t="inlineStr"/>
      <c r="I109" s="12" t="inlineStr"/>
      <c r="J109" s="12" t="inlineStr"/>
      <c r="K109" s="12" t="inlineStr"/>
      <c r="L109" s="12" t="inlineStr"/>
      <c r="M109" s="12" t="inlineStr"/>
      <c r="N109" s="12" t="inlineStr"/>
      <c r="O109" s="12" t="inlineStr"/>
      <c r="P109" s="11" t="inlineStr"/>
      <c r="Q109" s="11" t="inlineStr"/>
      <c r="R109" s="12" t="inlineStr"/>
      <c r="S109" s="12" t="inlineStr"/>
      <c r="T109" s="11" t="inlineStr"/>
    </row>
    <row r="110" outlineLevel="1">
      <c r="A110" s="12" t="inlineStr">
        <is>
          <t>L3</t>
        </is>
      </c>
      <c r="B110" s="12" t="inlineStr">
        <is>
          <t>3.7.3</t>
        </is>
      </c>
      <c r="C110" s="12" t="inlineStr">
        <is>
          <t>D3</t>
        </is>
      </c>
      <c r="D110" s="13" t="inlineStr">
        <is>
          <t>Index Lifecycle &amp; Re-embedding</t>
        </is>
      </c>
      <c r="E110" s="12" t="inlineStr">
        <is>
          <t>Rebuild and migrate indexes when content or embedding models change.</t>
        </is>
      </c>
      <c r="F110" s="12" t="inlineStr"/>
      <c r="G110" s="12" t="inlineStr"/>
      <c r="H110" s="12" t="inlineStr"/>
      <c r="I110" s="12" t="inlineStr"/>
      <c r="J110" s="12" t="inlineStr"/>
      <c r="K110" s="12" t="inlineStr"/>
      <c r="L110" s="12" t="inlineStr"/>
      <c r="M110" s="12" t="inlineStr"/>
      <c r="N110" s="12" t="inlineStr"/>
      <c r="O110" s="12" t="inlineStr"/>
      <c r="P110" s="11" t="inlineStr"/>
      <c r="Q110" s="11" t="inlineStr"/>
      <c r="R110" s="12" t="inlineStr"/>
      <c r="S110" s="12" t="inlineStr"/>
      <c r="T110" s="11" t="inlineStr"/>
    </row>
    <row r="111" outlineLevel="1">
      <c r="A111" s="12" t="inlineStr">
        <is>
          <t>L3</t>
        </is>
      </c>
      <c r="B111" s="12" t="inlineStr">
        <is>
          <t>3.7.4</t>
        </is>
      </c>
      <c r="C111" s="12" t="inlineStr">
        <is>
          <t>D3</t>
        </is>
      </c>
      <c r="D111" s="13" t="inlineStr">
        <is>
          <t>Derived Representation Governance</t>
        </is>
      </c>
      <c r="E111" s="12" t="inlineStr">
        <is>
          <t>Apply access, retention and residency controls to vector representations.</t>
        </is>
      </c>
      <c r="F111" s="12" t="inlineStr"/>
      <c r="G111" s="12" t="inlineStr"/>
      <c r="H111" s="12" t="inlineStr"/>
      <c r="I111" s="12" t="inlineStr"/>
      <c r="J111" s="12" t="inlineStr"/>
      <c r="K111" s="12" t="inlineStr"/>
      <c r="L111" s="12" t="inlineStr"/>
      <c r="M111" s="12" t="inlineStr"/>
      <c r="N111" s="12" t="inlineStr"/>
      <c r="O111" s="12" t="inlineStr"/>
      <c r="P111" s="11" t="inlineStr"/>
      <c r="Q111" s="11" t="inlineStr"/>
      <c r="R111" s="12" t="inlineStr"/>
      <c r="S111" s="12" t="inlineStr"/>
      <c r="T111" s="11" t="inlineStr"/>
    </row>
    <row r="112">
      <c r="A112" s="7" t="inlineStr">
        <is>
          <t>Domain</t>
        </is>
      </c>
      <c r="B112" s="7" t="inlineStr">
        <is>
          <t>D4</t>
        </is>
      </c>
      <c r="C112" s="7" t="inlineStr">
        <is>
          <t>D4</t>
        </is>
      </c>
      <c r="D112" s="7" t="inlineStr">
        <is>
          <t>AI Solution Engineering</t>
        </is>
      </c>
      <c r="E112" s="7" t="inlineStr">
        <is>
          <t>Able to design, build, customize and validate AI solutions to a defined standard.</t>
        </is>
      </c>
      <c r="F112" s="7" t="n"/>
      <c r="G112" s="7" t="n"/>
      <c r="H112" s="7" t="n"/>
      <c r="I112" s="7" t="n"/>
      <c r="J112" s="7" t="n"/>
      <c r="K112" s="7" t="n"/>
      <c r="L112" s="7" t="n"/>
      <c r="M112" s="7" t="n"/>
      <c r="N112" s="7" t="n"/>
      <c r="O112" s="7" t="n"/>
      <c r="P112" s="7" t="n"/>
      <c r="Q112" s="7" t="n"/>
      <c r="R112" s="7" t="n"/>
      <c r="S112" s="7" t="n"/>
      <c r="T112" s="7" t="inlineStr"/>
    </row>
    <row r="113">
      <c r="A113" s="8" t="inlineStr">
        <is>
          <t>L2</t>
        </is>
      </c>
      <c r="B113" s="8" t="inlineStr">
        <is>
          <t>4.1</t>
        </is>
      </c>
      <c r="C113" s="8" t="inlineStr">
        <is>
          <t>D4</t>
        </is>
      </c>
      <c r="D113" s="8" t="inlineStr">
        <is>
          <t>AI Architecture Management &amp; Solution Governance</t>
        </is>
      </c>
      <c r="E113" s="8" t="inlineStr">
        <is>
          <t>Able to set, steward and enforce the architecture that AI solutions are built to.</t>
        </is>
      </c>
      <c r="F113" s="8" t="inlineStr">
        <is>
          <t>Enterprise Architecture</t>
        </is>
      </c>
      <c r="G113" s="9" t="inlineStr">
        <is>
          <t>KARLAVI@IADB.ORG / RauldaSilva</t>
        </is>
      </c>
      <c r="H113" s="10" t="inlineStr">
        <is>
          <t>Direct</t>
        </is>
      </c>
      <c r="I113" s="9" t="inlineStr">
        <is>
          <t>EA claims Technology Strategy (guidelines, target architecture) and Software Architecture (co-design, review with tech leads).</t>
        </is>
      </c>
      <c r="J113" s="9" t="inlineStr">
        <is>
          <t>Chief Enterprise Architect</t>
        </is>
      </c>
      <c r="K113" s="9" t="inlineStr">
        <is>
          <t>lens</t>
        </is>
      </c>
      <c r="L113" s="9" t="inlineStr"/>
      <c r="M113" s="9" t="inlineStr">
        <is>
          <t>medium</t>
        </is>
      </c>
      <c r="N113" s="9" t="inlineStr">
        <is>
          <t>The Open Group TOGAF; SAP AI-native North Star architecture; NVIDIA Enterprise AI Factory</t>
        </is>
      </c>
      <c r="O113" s="9" t="inlineStr"/>
      <c r="P113" s="11" t="inlineStr"/>
      <c r="Q113" s="11" t="inlineStr"/>
      <c r="R113" s="11" t="inlineStr"/>
      <c r="S113" s="11" t="inlineStr"/>
      <c r="T113" s="11" t="inlineStr"/>
    </row>
    <row r="114" outlineLevel="1">
      <c r="A114" s="12" t="inlineStr">
        <is>
          <t>L3</t>
        </is>
      </c>
      <c r="B114" s="12" t="inlineStr">
        <is>
          <t>4.1.1</t>
        </is>
      </c>
      <c r="C114" s="12" t="inlineStr">
        <is>
          <t>D4</t>
        </is>
      </c>
      <c r="D114" s="13" t="inlineStr">
        <is>
          <t>Solution Pattern Selection</t>
        </is>
      </c>
      <c r="E114" s="12" t="inlineStr">
        <is>
          <t>Choose the architecture building block that realizes the required capability.</t>
        </is>
      </c>
      <c r="F114" s="12" t="inlineStr"/>
      <c r="G114" s="12" t="inlineStr"/>
      <c r="H114" s="12" t="inlineStr"/>
      <c r="I114" s="12" t="inlineStr"/>
      <c r="J114" s="12" t="inlineStr"/>
      <c r="K114" s="12" t="inlineStr"/>
      <c r="L114" s="12" t="inlineStr"/>
      <c r="M114" s="12" t="inlineStr"/>
      <c r="N114" s="12" t="inlineStr"/>
      <c r="O114" s="12" t="inlineStr"/>
      <c r="P114" s="11" t="inlineStr"/>
      <c r="Q114" s="11" t="inlineStr"/>
      <c r="R114" s="12" t="inlineStr"/>
      <c r="S114" s="12" t="inlineStr"/>
      <c r="T114" s="11" t="inlineStr"/>
    </row>
    <row r="115" outlineLevel="1">
      <c r="A115" s="12" t="inlineStr">
        <is>
          <t>L3</t>
        </is>
      </c>
      <c r="B115" s="12" t="inlineStr">
        <is>
          <t>4.1.2</t>
        </is>
      </c>
      <c r="C115" s="12" t="inlineStr">
        <is>
          <t>D4</t>
        </is>
      </c>
      <c r="D115" s="13" t="inlineStr">
        <is>
          <t>Reference Architecture Compliance</t>
        </is>
      </c>
      <c r="E115" s="12" t="inlineStr">
        <is>
          <t>Build to published reference architectures and detect deviation.</t>
        </is>
      </c>
      <c r="F115" s="12" t="inlineStr"/>
      <c r="G115" s="12" t="inlineStr"/>
      <c r="H115" s="12" t="inlineStr"/>
      <c r="I115" s="12" t="inlineStr"/>
      <c r="J115" s="12" t="inlineStr"/>
      <c r="K115" s="12" t="inlineStr"/>
      <c r="L115" s="12" t="inlineStr"/>
      <c r="M115" s="12" t="inlineStr"/>
      <c r="N115" s="12" t="inlineStr"/>
      <c r="O115" s="12" t="inlineStr"/>
      <c r="P115" s="11" t="inlineStr"/>
      <c r="Q115" s="11" t="inlineStr"/>
      <c r="R115" s="12" t="inlineStr"/>
      <c r="S115" s="12" t="inlineStr"/>
      <c r="T115" s="11" t="inlineStr"/>
    </row>
    <row r="116" outlineLevel="1">
      <c r="A116" s="12" t="inlineStr">
        <is>
          <t>L3</t>
        </is>
      </c>
      <c r="B116" s="12" t="inlineStr">
        <is>
          <t>4.1.3</t>
        </is>
      </c>
      <c r="C116" s="12" t="inlineStr">
        <is>
          <t>D4</t>
        </is>
      </c>
      <c r="D116" s="13" t="inlineStr">
        <is>
          <t>Architecture Decision Recording</t>
        </is>
      </c>
      <c r="E116" s="12" t="inlineStr">
        <is>
          <t>Record significant decisions with alternatives and consequences.</t>
        </is>
      </c>
      <c r="F116" s="12" t="inlineStr"/>
      <c r="G116" s="12" t="inlineStr"/>
      <c r="H116" s="12" t="inlineStr"/>
      <c r="I116" s="12" t="inlineStr"/>
      <c r="J116" s="12" t="inlineStr"/>
      <c r="K116" s="12" t="inlineStr"/>
      <c r="L116" s="12" t="inlineStr"/>
      <c r="M116" s="12" t="inlineStr"/>
      <c r="N116" s="12" t="inlineStr"/>
      <c r="O116" s="12" t="inlineStr"/>
      <c r="P116" s="11" t="inlineStr"/>
      <c r="Q116" s="11" t="inlineStr"/>
      <c r="R116" s="12" t="inlineStr"/>
      <c r="S116" s="12" t="inlineStr"/>
      <c r="T116" s="11" t="inlineStr"/>
    </row>
    <row r="117" outlineLevel="1">
      <c r="A117" s="12" t="inlineStr">
        <is>
          <t>L3</t>
        </is>
      </c>
      <c r="B117" s="12" t="inlineStr">
        <is>
          <t>4.1.4</t>
        </is>
      </c>
      <c r="C117" s="12" t="inlineStr">
        <is>
          <t>D4</t>
        </is>
      </c>
      <c r="D117" s="13" t="inlineStr">
        <is>
          <t>Non-Functional Requirement Design</t>
        </is>
      </c>
      <c r="E117" s="12" t="inlineStr">
        <is>
          <t>Design explicitly for latency, cost, availability, and degradation behavior.</t>
        </is>
      </c>
      <c r="F117" s="12" t="inlineStr"/>
      <c r="G117" s="12" t="inlineStr"/>
      <c r="H117" s="12" t="inlineStr"/>
      <c r="I117" s="12" t="inlineStr"/>
      <c r="J117" s="12" t="inlineStr"/>
      <c r="K117" s="12" t="inlineStr"/>
      <c r="L117" s="12" t="inlineStr"/>
      <c r="M117" s="12" t="inlineStr"/>
      <c r="N117" s="12" t="inlineStr"/>
      <c r="O117" s="12" t="inlineStr"/>
      <c r="P117" s="11" t="inlineStr"/>
      <c r="Q117" s="11" t="inlineStr"/>
      <c r="R117" s="12" t="inlineStr"/>
      <c r="S117" s="12" t="inlineStr"/>
      <c r="T117" s="11" t="inlineStr"/>
    </row>
    <row r="118" outlineLevel="1">
      <c r="A118" s="12" t="inlineStr">
        <is>
          <t>L3</t>
        </is>
      </c>
      <c r="B118" s="12" t="inlineStr">
        <is>
          <t>4.1.5</t>
        </is>
      </c>
      <c r="C118" s="12" t="inlineStr">
        <is>
          <t>D4</t>
        </is>
      </c>
      <c r="D118" s="13" t="inlineStr">
        <is>
          <t>Architecture Review &amp; Dispensation</t>
        </is>
      </c>
      <c r="E118" s="12" t="inlineStr">
        <is>
          <t>Review designs and grant time-boxed exceptions with recorded conditions.</t>
        </is>
      </c>
      <c r="F118" s="12" t="inlineStr"/>
      <c r="G118" s="12" t="inlineStr"/>
      <c r="H118" s="12" t="inlineStr"/>
      <c r="I118" s="12" t="inlineStr"/>
      <c r="J118" s="12" t="inlineStr"/>
      <c r="K118" s="12" t="inlineStr"/>
      <c r="L118" s="12" t="inlineStr"/>
      <c r="M118" s="12" t="inlineStr"/>
      <c r="N118" s="12" t="inlineStr"/>
      <c r="O118" s="12" t="inlineStr"/>
      <c r="P118" s="11" t="inlineStr"/>
      <c r="Q118" s="11" t="inlineStr"/>
      <c r="R118" s="12" t="inlineStr"/>
      <c r="S118" s="12" t="inlineStr"/>
      <c r="T118" s="11" t="inlineStr"/>
    </row>
    <row r="119" outlineLevel="1">
      <c r="A119" s="12" t="inlineStr">
        <is>
          <t>L3</t>
        </is>
      </c>
      <c r="B119" s="12" t="inlineStr">
        <is>
          <t>4.1.6</t>
        </is>
      </c>
      <c r="C119" s="12" t="inlineStr">
        <is>
          <t>D4</t>
        </is>
      </c>
      <c r="D119" s="13" t="inlineStr">
        <is>
          <t>ABB &amp; Pattern Stewardship</t>
        </is>
      </c>
      <c r="E119" s="12" t="inlineStr">
        <is>
          <t>Define, version and retire the institution's logical building blocks and the patterns that compose them.</t>
        </is>
      </c>
      <c r="F119" s="12" t="inlineStr"/>
      <c r="G119" s="12" t="inlineStr"/>
      <c r="H119" s="12" t="inlineStr"/>
      <c r="I119" s="12" t="inlineStr"/>
      <c r="J119" s="12" t="inlineStr"/>
      <c r="K119" s="12" t="inlineStr"/>
      <c r="L119" s="12" t="inlineStr"/>
      <c r="M119" s="12" t="inlineStr"/>
      <c r="N119" s="12" t="inlineStr"/>
      <c r="O119" s="12" t="inlineStr"/>
      <c r="P119" s="11" t="inlineStr"/>
      <c r="Q119" s="11" t="inlineStr"/>
      <c r="R119" s="12" t="inlineStr"/>
      <c r="S119" s="12" t="inlineStr"/>
      <c r="T119" s="11" t="inlineStr"/>
    </row>
    <row r="120" outlineLevel="1">
      <c r="A120" s="12" t="inlineStr">
        <is>
          <t>L3</t>
        </is>
      </c>
      <c r="B120" s="12" t="inlineStr">
        <is>
          <t>4.1.7</t>
        </is>
      </c>
      <c r="C120" s="12" t="inlineStr">
        <is>
          <t>D4</t>
        </is>
      </c>
      <c r="D120" s="13" t="inlineStr">
        <is>
          <t>Solution Conformance Certification</t>
        </is>
      </c>
      <c r="E120" s="12" t="inlineStr">
        <is>
          <t>Certify that a concrete solution conforms to the building blocks and controls it claims, and record the deviations.</t>
        </is>
      </c>
      <c r="F120" s="12" t="inlineStr"/>
      <c r="G120" s="12" t="inlineStr"/>
      <c r="H120" s="12" t="inlineStr"/>
      <c r="I120" s="12" t="inlineStr"/>
      <c r="J120" s="12" t="inlineStr"/>
      <c r="K120" s="12" t="inlineStr"/>
      <c r="L120" s="12" t="inlineStr"/>
      <c r="M120" s="12" t="inlineStr"/>
      <c r="N120" s="12" t="inlineStr"/>
      <c r="O120" s="12" t="inlineStr"/>
      <c r="P120" s="11" t="inlineStr"/>
      <c r="Q120" s="11" t="inlineStr"/>
      <c r="R120" s="12" t="inlineStr"/>
      <c r="S120" s="12" t="inlineStr"/>
      <c r="T120" s="11" t="inlineStr"/>
    </row>
    <row r="121">
      <c r="A121" s="8" t="inlineStr">
        <is>
          <t>L2</t>
        </is>
      </c>
      <c r="B121" s="8" t="inlineStr">
        <is>
          <t>4.2</t>
        </is>
      </c>
      <c r="C121" s="8" t="inlineStr">
        <is>
          <t>D4</t>
        </is>
      </c>
      <c r="D121" s="8" t="inlineStr">
        <is>
          <t>Model Selection, Customization &amp; Tuning</t>
        </is>
      </c>
      <c r="E121" s="8" t="inlineStr">
        <is>
          <t>Able to choose and adapt models on evidence, and to record what was done.</t>
        </is>
      </c>
      <c r="F121" s="8" t="inlineStr">
        <is>
          <t>Artificial Intelligence</t>
        </is>
      </c>
      <c r="G121" s="9" t="inlineStr">
        <is>
          <t>JAIRORI@IADB.ORG</t>
        </is>
      </c>
      <c r="H121" s="10" t="inlineStr">
        <is>
          <t>Direct</t>
        </is>
      </c>
      <c r="I121" s="9" t="inlineStr">
        <is>
          <t>AI enabler claims Platform Development from MVP through production.</t>
        </is>
      </c>
      <c r="J121" s="9" t="inlineStr">
        <is>
          <t>AI Engineering Owner</t>
        </is>
      </c>
      <c r="K121" s="9" t="inlineStr">
        <is>
          <t>new</t>
        </is>
      </c>
      <c r="L121" s="9" t="inlineStr"/>
      <c r="M121" s="9" t="inlineStr">
        <is>
          <t>medium</t>
        </is>
      </c>
      <c r="N121" s="9" t="inlineStr">
        <is>
          <t>IBM GenAI Capability Model; ISO/IEC 5338; NIST AI 600-1 Generative AI Profile</t>
        </is>
      </c>
      <c r="O121" s="9" t="inlineStr"/>
      <c r="P121" s="11" t="inlineStr"/>
      <c r="Q121" s="11" t="inlineStr"/>
      <c r="R121" s="11" t="inlineStr"/>
      <c r="S121" s="11" t="inlineStr"/>
      <c r="T121" s="11" t="inlineStr"/>
    </row>
    <row r="122" outlineLevel="1">
      <c r="A122" s="12" t="inlineStr">
        <is>
          <t>L3</t>
        </is>
      </c>
      <c r="B122" s="12" t="inlineStr">
        <is>
          <t>4.2.1</t>
        </is>
      </c>
      <c r="C122" s="12" t="inlineStr">
        <is>
          <t>D4</t>
        </is>
      </c>
      <c r="D122" s="13" t="inlineStr">
        <is>
          <t>Model Selection for Use Case</t>
        </is>
      </c>
      <c r="E122" s="12" t="inlineStr">
        <is>
          <t>Select a model from within the cleared set against task-specific criteria and evidence.</t>
        </is>
      </c>
      <c r="F122" s="12" t="inlineStr"/>
      <c r="G122" s="12" t="inlineStr"/>
      <c r="H122" s="12" t="inlineStr"/>
      <c r="I122" s="12" t="inlineStr"/>
      <c r="J122" s="12" t="inlineStr"/>
      <c r="K122" s="12" t="inlineStr"/>
      <c r="L122" s="12" t="inlineStr"/>
      <c r="M122" s="12" t="inlineStr"/>
      <c r="N122" s="12" t="inlineStr"/>
      <c r="O122" s="12" t="inlineStr"/>
      <c r="P122" s="11" t="inlineStr"/>
      <c r="Q122" s="11" t="inlineStr"/>
      <c r="R122" s="12" t="inlineStr"/>
      <c r="S122" s="12" t="inlineStr"/>
      <c r="T122" s="11" t="inlineStr"/>
    </row>
    <row r="123" outlineLevel="1">
      <c r="A123" s="12" t="inlineStr">
        <is>
          <t>L3</t>
        </is>
      </c>
      <c r="B123" s="12" t="inlineStr">
        <is>
          <t>4.2.2</t>
        </is>
      </c>
      <c r="C123" s="12" t="inlineStr">
        <is>
          <t>D4</t>
        </is>
      </c>
      <c r="D123" s="13" t="inlineStr">
        <is>
          <t>Fine-Tuning &amp; Adaptation</t>
        </is>
      </c>
      <c r="E123" s="12" t="inlineStr">
        <is>
          <t>Adapt models to institutional context under controlled, repeatable procedure.</t>
        </is>
      </c>
      <c r="F123" s="12" t="inlineStr"/>
      <c r="G123" s="12" t="inlineStr"/>
      <c r="H123" s="12" t="inlineStr"/>
      <c r="I123" s="12" t="inlineStr"/>
      <c r="J123" s="12" t="inlineStr"/>
      <c r="K123" s="12" t="inlineStr"/>
      <c r="L123" s="12" t="inlineStr"/>
      <c r="M123" s="12" t="inlineStr"/>
      <c r="N123" s="12" t="inlineStr"/>
      <c r="O123" s="12" t="inlineStr"/>
      <c r="P123" s="11" t="inlineStr"/>
      <c r="Q123" s="11" t="inlineStr"/>
      <c r="R123" s="12" t="inlineStr"/>
      <c r="S123" s="12" t="inlineStr"/>
      <c r="T123" s="11" t="inlineStr"/>
    </row>
    <row r="124" outlineLevel="1">
      <c r="A124" s="12" t="inlineStr">
        <is>
          <t>L3</t>
        </is>
      </c>
      <c r="B124" s="12" t="inlineStr">
        <is>
          <t>4.2.3</t>
        </is>
      </c>
      <c r="C124" s="12" t="inlineStr">
        <is>
          <t>D4</t>
        </is>
      </c>
      <c r="D124" s="13" t="inlineStr">
        <is>
          <t>Model Training &amp; Experimentation</t>
        </is>
      </c>
      <c r="E124" s="12" t="inlineStr">
        <is>
          <t>Run and track experiments so results are reproducible.</t>
        </is>
      </c>
      <c r="F124" s="12" t="inlineStr"/>
      <c r="G124" s="12" t="inlineStr"/>
      <c r="H124" s="12" t="inlineStr"/>
      <c r="I124" s="12" t="inlineStr"/>
      <c r="J124" s="12" t="inlineStr"/>
      <c r="K124" s="12" t="inlineStr"/>
      <c r="L124" s="12" t="inlineStr"/>
      <c r="M124" s="12" t="inlineStr"/>
      <c r="N124" s="12" t="inlineStr"/>
      <c r="O124" s="12" t="inlineStr"/>
      <c r="P124" s="11" t="inlineStr"/>
      <c r="Q124" s="11" t="inlineStr"/>
      <c r="R124" s="12" t="inlineStr"/>
      <c r="S124" s="12" t="inlineStr"/>
      <c r="T124" s="11" t="inlineStr"/>
    </row>
    <row r="125" outlineLevel="1">
      <c r="A125" s="12" t="inlineStr">
        <is>
          <t>L3</t>
        </is>
      </c>
      <c r="B125" s="12" t="inlineStr">
        <is>
          <t>4.2.4</t>
        </is>
      </c>
      <c r="C125" s="12" t="inlineStr">
        <is>
          <t>D4</t>
        </is>
      </c>
      <c r="D125" s="13" t="inlineStr">
        <is>
          <t>Model Documentation &amp; Disclosure Production</t>
        </is>
      </c>
      <c r="E125" s="12" t="inlineStr">
        <is>
          <t>Produce model cards covering intended use, limits, data and evaluation results.</t>
        </is>
      </c>
      <c r="F125" s="12" t="inlineStr"/>
      <c r="G125" s="12" t="inlineStr"/>
      <c r="H125" s="12" t="inlineStr"/>
      <c r="I125" s="12" t="inlineStr"/>
      <c r="J125" s="12" t="inlineStr"/>
      <c r="K125" s="12" t="inlineStr"/>
      <c r="L125" s="12" t="inlineStr"/>
      <c r="M125" s="12" t="inlineStr"/>
      <c r="N125" s="12" t="inlineStr"/>
      <c r="O125" s="12" t="inlineStr"/>
      <c r="P125" s="11" t="inlineStr"/>
      <c r="Q125" s="11" t="inlineStr"/>
      <c r="R125" s="12" t="inlineStr"/>
      <c r="S125" s="12" t="inlineStr"/>
      <c r="T125" s="11" t="inlineStr"/>
    </row>
    <row r="126" outlineLevel="1">
      <c r="A126" s="12" t="inlineStr">
        <is>
          <t>L3</t>
        </is>
      </c>
      <c r="B126" s="12" t="inlineStr">
        <is>
          <t>4.2.5</t>
        </is>
      </c>
      <c r="C126" s="12" t="inlineStr">
        <is>
          <t>D4</t>
        </is>
      </c>
      <c r="D126" s="13" t="inlineStr">
        <is>
          <t>Model Versioning &amp; Registration</t>
        </is>
      </c>
      <c r="E126" s="12" t="inlineStr">
        <is>
          <t>Register every model version as an identifiable, ownable asset.</t>
        </is>
      </c>
      <c r="F126" s="12" t="inlineStr"/>
      <c r="G126" s="12" t="inlineStr"/>
      <c r="H126" s="12" t="inlineStr"/>
      <c r="I126" s="12" t="inlineStr"/>
      <c r="J126" s="12" t="inlineStr"/>
      <c r="K126" s="12" t="inlineStr"/>
      <c r="L126" s="12" t="inlineStr"/>
      <c r="M126" s="12" t="inlineStr"/>
      <c r="N126" s="12" t="inlineStr"/>
      <c r="O126" s="12" t="inlineStr"/>
      <c r="P126" s="11" t="inlineStr"/>
      <c r="Q126" s="11" t="inlineStr"/>
      <c r="R126" s="12" t="inlineStr"/>
      <c r="S126" s="12" t="inlineStr"/>
      <c r="T126" s="11" t="inlineStr"/>
    </row>
    <row r="127">
      <c r="A127" s="8" t="inlineStr">
        <is>
          <t>L2</t>
        </is>
      </c>
      <c r="B127" s="8" t="inlineStr">
        <is>
          <t>4.3</t>
        </is>
      </c>
      <c r="C127" s="8" t="inlineStr">
        <is>
          <t>D4</t>
        </is>
      </c>
      <c r="D127" s="8" t="inlineStr">
        <is>
          <t>Prompt &amp; Context Engineering</t>
        </is>
      </c>
      <c r="E127" s="8" t="inlineStr">
        <is>
          <t>Able to treat prompts and context assembly as versioned, tested engineering artifacts.</t>
        </is>
      </c>
      <c r="F127" s="8" t="inlineStr">
        <is>
          <t>Artificial Intelligence</t>
        </is>
      </c>
      <c r="G127" s="9" t="inlineStr">
        <is>
          <t>JAIRORI@IADB.ORG</t>
        </is>
      </c>
      <c r="H127" s="14" t="inlineStr">
        <is>
          <t>Inferred</t>
        </is>
      </c>
      <c r="I127" s="9" t="inlineStr">
        <is>
          <t>Prompt and context engineering is named nowhere. Falls inside the AI enabler's platform remit by elimination.</t>
        </is>
      </c>
      <c r="J127" s="9" t="inlineStr">
        <is>
          <t>AI Engineering Owner</t>
        </is>
      </c>
      <c r="K127" s="9" t="inlineStr">
        <is>
          <t>new</t>
        </is>
      </c>
      <c r="L127" s="9" t="inlineStr"/>
      <c r="M127" s="9" t="inlineStr">
        <is>
          <t>medium</t>
        </is>
      </c>
      <c r="N127" s="9" t="inlineStr">
        <is>
          <t>IBM GenAI Capability Model; NIST AI 600-1 Generative AI Profile; OWASP GenAI Security Project</t>
        </is>
      </c>
      <c r="O127" s="9" t="inlineStr"/>
      <c r="P127" s="11" t="inlineStr"/>
      <c r="Q127" s="11" t="inlineStr"/>
      <c r="R127" s="11" t="inlineStr"/>
      <c r="S127" s="11" t="inlineStr"/>
      <c r="T127" s="11" t="inlineStr"/>
    </row>
    <row r="128" outlineLevel="1">
      <c r="A128" s="12" t="inlineStr">
        <is>
          <t>L3</t>
        </is>
      </c>
      <c r="B128" s="12" t="inlineStr">
        <is>
          <t>4.3.1</t>
        </is>
      </c>
      <c r="C128" s="12" t="inlineStr">
        <is>
          <t>D4</t>
        </is>
      </c>
      <c r="D128" s="13" t="inlineStr">
        <is>
          <t>Prompt Design &amp; Templating</t>
        </is>
      </c>
      <c r="E128" s="12" t="inlineStr">
        <is>
          <t>Design prompts as reusable, parameterized templates rather than embedded strings.</t>
        </is>
      </c>
      <c r="F128" s="12" t="inlineStr"/>
      <c r="G128" s="12" t="inlineStr"/>
      <c r="H128" s="12" t="inlineStr"/>
      <c r="I128" s="12" t="inlineStr"/>
      <c r="J128" s="12" t="inlineStr"/>
      <c r="K128" s="12" t="inlineStr"/>
      <c r="L128" s="12" t="inlineStr"/>
      <c r="M128" s="12" t="inlineStr"/>
      <c r="N128" s="12" t="inlineStr"/>
      <c r="O128" s="12" t="inlineStr"/>
      <c r="P128" s="11" t="inlineStr"/>
      <c r="Q128" s="11" t="inlineStr"/>
      <c r="R128" s="12" t="inlineStr"/>
      <c r="S128" s="12" t="inlineStr"/>
      <c r="T128" s="11" t="inlineStr"/>
    </row>
    <row r="129" outlineLevel="1">
      <c r="A129" s="12" t="inlineStr">
        <is>
          <t>L3</t>
        </is>
      </c>
      <c r="B129" s="12" t="inlineStr">
        <is>
          <t>4.3.2</t>
        </is>
      </c>
      <c r="C129" s="12" t="inlineStr">
        <is>
          <t>D4</t>
        </is>
      </c>
      <c r="D129" s="13" t="inlineStr">
        <is>
          <t>Prompt Versioning &amp; Registry</t>
        </is>
      </c>
      <c r="E129" s="12" t="inlineStr">
        <is>
          <t>Version, review and register prompts as controlled artifacts.</t>
        </is>
      </c>
      <c r="F129" s="12" t="inlineStr"/>
      <c r="G129" s="12" t="inlineStr"/>
      <c r="H129" s="12" t="inlineStr"/>
      <c r="I129" s="12" t="inlineStr"/>
      <c r="J129" s="12" t="inlineStr"/>
      <c r="K129" s="12" t="inlineStr"/>
      <c r="L129" s="12" t="inlineStr"/>
      <c r="M129" s="12" t="inlineStr"/>
      <c r="N129" s="12" t="inlineStr"/>
      <c r="O129" s="12" t="inlineStr"/>
      <c r="P129" s="11" t="inlineStr"/>
      <c r="Q129" s="11" t="inlineStr"/>
      <c r="R129" s="12" t="inlineStr"/>
      <c r="S129" s="12" t="inlineStr"/>
      <c r="T129" s="11" t="inlineStr"/>
    </row>
    <row r="130" outlineLevel="1">
      <c r="A130" s="12" t="inlineStr">
        <is>
          <t>L3</t>
        </is>
      </c>
      <c r="B130" s="12" t="inlineStr">
        <is>
          <t>4.3.3</t>
        </is>
      </c>
      <c r="C130" s="12" t="inlineStr">
        <is>
          <t>D4</t>
        </is>
      </c>
      <c r="D130" s="13" t="inlineStr">
        <is>
          <t>Context Assembly &amp; Window Management</t>
        </is>
      </c>
      <c r="E130" s="12" t="inlineStr">
        <is>
          <t>Assemble context deliberately and manage what is included, ordered and dropped.</t>
        </is>
      </c>
      <c r="F130" s="12" t="inlineStr"/>
      <c r="G130" s="12" t="inlineStr"/>
      <c r="H130" s="12" t="inlineStr"/>
      <c r="I130" s="12" t="inlineStr"/>
      <c r="J130" s="12" t="inlineStr"/>
      <c r="K130" s="12" t="inlineStr"/>
      <c r="L130" s="12" t="inlineStr"/>
      <c r="M130" s="12" t="inlineStr"/>
      <c r="N130" s="12" t="inlineStr"/>
      <c r="O130" s="12" t="inlineStr"/>
      <c r="P130" s="11" t="inlineStr"/>
      <c r="Q130" s="11" t="inlineStr"/>
      <c r="R130" s="12" t="inlineStr"/>
      <c r="S130" s="12" t="inlineStr"/>
      <c r="T130" s="11" t="inlineStr"/>
    </row>
    <row r="131" outlineLevel="1">
      <c r="A131" s="12" t="inlineStr">
        <is>
          <t>L3</t>
        </is>
      </c>
      <c r="B131" s="12" t="inlineStr">
        <is>
          <t>4.3.4</t>
        </is>
      </c>
      <c r="C131" s="12" t="inlineStr">
        <is>
          <t>D4</t>
        </is>
      </c>
      <c r="D131" s="13" t="inlineStr">
        <is>
          <t>Grounding Strategy Design</t>
        </is>
      </c>
      <c r="E131" s="12" t="inlineStr">
        <is>
          <t>Decide what the model is permitted to answer from, and enforce it.</t>
        </is>
      </c>
      <c r="F131" s="12" t="inlineStr"/>
      <c r="G131" s="12" t="inlineStr"/>
      <c r="H131" s="12" t="inlineStr"/>
      <c r="I131" s="12" t="inlineStr"/>
      <c r="J131" s="12" t="inlineStr"/>
      <c r="K131" s="12" t="inlineStr"/>
      <c r="L131" s="12" t="inlineStr"/>
      <c r="M131" s="12" t="inlineStr"/>
      <c r="N131" s="12" t="inlineStr"/>
      <c r="O131" s="12" t="inlineStr"/>
      <c r="P131" s="11" t="inlineStr"/>
      <c r="Q131" s="11" t="inlineStr"/>
      <c r="R131" s="12" t="inlineStr"/>
      <c r="S131" s="12" t="inlineStr"/>
      <c r="T131" s="11" t="inlineStr"/>
    </row>
    <row r="132" outlineLevel="1">
      <c r="A132" s="12" t="inlineStr">
        <is>
          <t>L3</t>
        </is>
      </c>
      <c r="B132" s="12" t="inlineStr">
        <is>
          <t>4.3.5</t>
        </is>
      </c>
      <c r="C132" s="12" t="inlineStr">
        <is>
          <t>D4</t>
        </is>
      </c>
      <c r="D132" s="13" t="inlineStr">
        <is>
          <t>Prompt &amp; Context Boundary Design</t>
        </is>
      </c>
      <c r="E132" s="12" t="inlineStr">
        <is>
          <t>Construct prompt and context boundaries that constrain what untrusted content can instruct.</t>
        </is>
      </c>
      <c r="F132" s="12" t="inlineStr"/>
      <c r="G132" s="12" t="inlineStr"/>
      <c r="H132" s="12" t="inlineStr"/>
      <c r="I132" s="12" t="inlineStr"/>
      <c r="J132" s="12" t="inlineStr"/>
      <c r="K132" s="12" t="inlineStr"/>
      <c r="L132" s="12" t="inlineStr">
        <is>
          <t>Y</t>
        </is>
      </c>
      <c r="M132" s="12" t="inlineStr"/>
      <c r="N132" s="12" t="inlineStr"/>
      <c r="O132" s="12" t="inlineStr"/>
      <c r="P132" s="11" t="inlineStr"/>
      <c r="Q132" s="11" t="inlineStr"/>
      <c r="R132" s="12" t="inlineStr"/>
      <c r="S132" s="12" t="inlineStr"/>
      <c r="T132" s="11" t="inlineStr"/>
    </row>
    <row r="133">
      <c r="A133" s="8" t="inlineStr">
        <is>
          <t>L2</t>
        </is>
      </c>
      <c r="B133" s="8" t="inlineStr">
        <is>
          <t>4.4</t>
        </is>
      </c>
      <c r="C133" s="8" t="inlineStr">
        <is>
          <t>D4</t>
        </is>
      </c>
      <c r="D133" s="8" t="inlineStr">
        <is>
          <t>Agent &amp; Workflow Orchestration Design</t>
        </is>
      </c>
      <c r="E133" s="8" t="inlineStr">
        <is>
          <t>Able to design what an agent may pursue, how it plans, and where it must stop.</t>
        </is>
      </c>
      <c r="F133" s="8" t="inlineStr">
        <is>
          <t>Artificial Intelligence</t>
        </is>
      </c>
      <c r="G133" s="9" t="inlineStr">
        <is>
          <t>JAIRORI@IADB.ORG</t>
        </is>
      </c>
      <c r="H133" s="15" t="inlineStr">
        <is>
          <t>Partial</t>
        </is>
      </c>
      <c r="I133" s="9" t="inlineStr">
        <is>
          <t>AI enabler claims 'Agent Skill Admin'. Administering agent skills is not the same as designing agent goals, guardrails and termination. The design half has no owner.</t>
        </is>
      </c>
      <c r="J133" s="9" t="inlineStr">
        <is>
          <t>AI Engineering Owner</t>
        </is>
      </c>
      <c r="K133" s="9" t="inlineStr">
        <is>
          <t>new</t>
        </is>
      </c>
      <c r="L133" s="9" t="inlineStr">
        <is>
          <t>Y</t>
        </is>
      </c>
      <c r="M133" s="9" t="inlineStr">
        <is>
          <t>low</t>
        </is>
      </c>
      <c r="N133" s="9" t="inlineStr">
        <is>
          <t>Salesforce Agent Development Lifecycle; SAP AI-native North Star architecture; IBM Generative AI Capability Model; IMDA Model AI Governance Framework</t>
        </is>
      </c>
      <c r="O133" s="9" t="inlineStr"/>
      <c r="P133" s="11" t="inlineStr"/>
      <c r="Q133" s="11" t="inlineStr"/>
      <c r="R133" s="11" t="inlineStr"/>
      <c r="S133" s="11" t="inlineStr"/>
      <c r="T133" s="11" t="inlineStr"/>
    </row>
    <row r="134" outlineLevel="1">
      <c r="A134" s="12" t="inlineStr">
        <is>
          <t>L3</t>
        </is>
      </c>
      <c r="B134" s="12" t="inlineStr">
        <is>
          <t>4.4.1</t>
        </is>
      </c>
      <c r="C134" s="12" t="inlineStr">
        <is>
          <t>D4</t>
        </is>
      </c>
      <c r="D134" s="13" t="inlineStr">
        <is>
          <t>Agent Specification &amp; Goal Definition</t>
        </is>
      </c>
      <c r="E134" s="12" t="inlineStr">
        <is>
          <t>State an agent's objective, scope and prohibited actions before it is built.</t>
        </is>
      </c>
      <c r="F134" s="12" t="inlineStr"/>
      <c r="G134" s="12" t="inlineStr"/>
      <c r="H134" s="12" t="inlineStr"/>
      <c r="I134" s="12" t="inlineStr"/>
      <c r="J134" s="12" t="inlineStr"/>
      <c r="K134" s="12" t="inlineStr"/>
      <c r="L134" s="12" t="inlineStr">
        <is>
          <t>Y</t>
        </is>
      </c>
      <c r="M134" s="12" t="inlineStr"/>
      <c r="N134" s="12" t="inlineStr"/>
      <c r="O134" s="12" t="inlineStr"/>
      <c r="P134" s="11" t="inlineStr"/>
      <c r="Q134" s="11" t="inlineStr"/>
      <c r="R134" s="12" t="inlineStr"/>
      <c r="S134" s="12" t="inlineStr"/>
      <c r="T134" s="11" t="inlineStr"/>
    </row>
    <row r="135" outlineLevel="1">
      <c r="A135" s="12" t="inlineStr">
        <is>
          <t>L3</t>
        </is>
      </c>
      <c r="B135" s="12" t="inlineStr">
        <is>
          <t>4.4.2</t>
        </is>
      </c>
      <c r="C135" s="12" t="inlineStr">
        <is>
          <t>D4</t>
        </is>
      </c>
      <c r="D135" s="13" t="inlineStr">
        <is>
          <t>Task Decomposition &amp; Planning Design</t>
        </is>
      </c>
      <c r="E135" s="12" t="inlineStr">
        <is>
          <t>Design how an agent breaks work down and selects its next step.</t>
        </is>
      </c>
      <c r="F135" s="12" t="inlineStr"/>
      <c r="G135" s="12" t="inlineStr"/>
      <c r="H135" s="12" t="inlineStr"/>
      <c r="I135" s="12" t="inlineStr"/>
      <c r="J135" s="12" t="inlineStr"/>
      <c r="K135" s="12" t="inlineStr"/>
      <c r="L135" s="12" t="inlineStr">
        <is>
          <t>Y</t>
        </is>
      </c>
      <c r="M135" s="12" t="inlineStr"/>
      <c r="N135" s="12" t="inlineStr"/>
      <c r="O135" s="12" t="inlineStr"/>
      <c r="P135" s="11" t="inlineStr"/>
      <c r="Q135" s="11" t="inlineStr"/>
      <c r="R135" s="12" t="inlineStr"/>
      <c r="S135" s="12" t="inlineStr"/>
      <c r="T135" s="11" t="inlineStr"/>
    </row>
    <row r="136" outlineLevel="1">
      <c r="A136" s="12" t="inlineStr">
        <is>
          <t>L3</t>
        </is>
      </c>
      <c r="B136" s="12" t="inlineStr">
        <is>
          <t>4.4.3</t>
        </is>
      </c>
      <c r="C136" s="12" t="inlineStr">
        <is>
          <t>D4</t>
        </is>
      </c>
      <c r="D136" s="13" t="inlineStr">
        <is>
          <t>Multi-Agent Coordination Design</t>
        </is>
      </c>
      <c r="E136" s="12" t="inlineStr">
        <is>
          <t>Design how agents delegate, communicate and resolve conflict.</t>
        </is>
      </c>
      <c r="F136" s="12" t="inlineStr"/>
      <c r="G136" s="12" t="inlineStr"/>
      <c r="H136" s="12" t="inlineStr"/>
      <c r="I136" s="12" t="inlineStr"/>
      <c r="J136" s="12" t="inlineStr"/>
      <c r="K136" s="12" t="inlineStr"/>
      <c r="L136" s="12" t="inlineStr">
        <is>
          <t>Y</t>
        </is>
      </c>
      <c r="M136" s="12" t="inlineStr"/>
      <c r="N136" s="12" t="inlineStr"/>
      <c r="O136" s="12" t="inlineStr"/>
      <c r="P136" s="11" t="inlineStr"/>
      <c r="Q136" s="11" t="inlineStr"/>
      <c r="R136" s="12" t="inlineStr"/>
      <c r="S136" s="12" t="inlineStr"/>
      <c r="T136" s="11" t="inlineStr"/>
    </row>
    <row r="137" outlineLevel="1">
      <c r="A137" s="12" t="inlineStr">
        <is>
          <t>L3</t>
        </is>
      </c>
      <c r="B137" s="12" t="inlineStr">
        <is>
          <t>4.4.4</t>
        </is>
      </c>
      <c r="C137" s="12" t="inlineStr">
        <is>
          <t>D4</t>
        </is>
      </c>
      <c r="D137" s="13" t="inlineStr">
        <is>
          <t>Agent Memory &amp; State Design</t>
        </is>
      </c>
      <c r="E137" s="12" t="inlineStr">
        <is>
          <t>Design what an agent retains, for how long, and who else can see it.</t>
        </is>
      </c>
      <c r="F137" s="12" t="inlineStr"/>
      <c r="G137" s="12" t="inlineStr"/>
      <c r="H137" s="12" t="inlineStr"/>
      <c r="I137" s="12" t="inlineStr"/>
      <c r="J137" s="12" t="inlineStr"/>
      <c r="K137" s="12" t="inlineStr"/>
      <c r="L137" s="12" t="inlineStr">
        <is>
          <t>Y</t>
        </is>
      </c>
      <c r="M137" s="12" t="inlineStr"/>
      <c r="N137" s="12" t="inlineStr"/>
      <c r="O137" s="12" t="inlineStr"/>
      <c r="P137" s="11" t="inlineStr"/>
      <c r="Q137" s="11" t="inlineStr"/>
      <c r="R137" s="12" t="inlineStr"/>
      <c r="S137" s="12" t="inlineStr"/>
      <c r="T137" s="11" t="inlineStr"/>
    </row>
    <row r="138" outlineLevel="1">
      <c r="A138" s="12" t="inlineStr">
        <is>
          <t>L3</t>
        </is>
      </c>
      <c r="B138" s="12" t="inlineStr">
        <is>
          <t>4.4.5</t>
        </is>
      </c>
      <c r="C138" s="12" t="inlineStr">
        <is>
          <t>D4</t>
        </is>
      </c>
      <c r="D138" s="13" t="inlineStr">
        <is>
          <t>Guardrail &amp; Constraint Design</t>
        </is>
      </c>
      <c r="E138" s="12" t="inlineStr">
        <is>
          <t>Encode hard limits an agent cannot argue its way past.</t>
        </is>
      </c>
      <c r="F138" s="12" t="inlineStr"/>
      <c r="G138" s="12" t="inlineStr"/>
      <c r="H138" s="12" t="inlineStr"/>
      <c r="I138" s="12" t="inlineStr"/>
      <c r="J138" s="12" t="inlineStr"/>
      <c r="K138" s="12" t="inlineStr"/>
      <c r="L138" s="12" t="inlineStr">
        <is>
          <t>Y</t>
        </is>
      </c>
      <c r="M138" s="12" t="inlineStr"/>
      <c r="N138" s="12" t="inlineStr"/>
      <c r="O138" s="12" t="inlineStr"/>
      <c r="P138" s="11" t="inlineStr"/>
      <c r="Q138" s="11" t="inlineStr"/>
      <c r="R138" s="12" t="inlineStr"/>
      <c r="S138" s="12" t="inlineStr"/>
      <c r="T138" s="11" t="inlineStr"/>
    </row>
    <row r="139" outlineLevel="1">
      <c r="A139" s="12" t="inlineStr">
        <is>
          <t>L3</t>
        </is>
      </c>
      <c r="B139" s="12" t="inlineStr">
        <is>
          <t>4.4.6</t>
        </is>
      </c>
      <c r="C139" s="12" t="inlineStr">
        <is>
          <t>D4</t>
        </is>
      </c>
      <c r="D139" s="13" t="inlineStr">
        <is>
          <t>Termination &amp; Loop Control Design</t>
        </is>
      </c>
      <c r="E139" s="12" t="inlineStr">
        <is>
          <t>Design stopping conditions, budgets and loop detection.</t>
        </is>
      </c>
      <c r="F139" s="12" t="inlineStr"/>
      <c r="G139" s="12" t="inlineStr"/>
      <c r="H139" s="12" t="inlineStr"/>
      <c r="I139" s="12" t="inlineStr"/>
      <c r="J139" s="12" t="inlineStr"/>
      <c r="K139" s="12" t="inlineStr"/>
      <c r="L139" s="12" t="inlineStr">
        <is>
          <t>Y</t>
        </is>
      </c>
      <c r="M139" s="12" t="inlineStr"/>
      <c r="N139" s="12" t="inlineStr"/>
      <c r="O139" s="12" t="inlineStr"/>
      <c r="P139" s="11" t="inlineStr"/>
      <c r="Q139" s="11" t="inlineStr"/>
      <c r="R139" s="12" t="inlineStr"/>
      <c r="S139" s="12" t="inlineStr"/>
      <c r="T139" s="11" t="inlineStr"/>
    </row>
    <row r="140">
      <c r="A140" s="8" t="inlineStr">
        <is>
          <t>L2</t>
        </is>
      </c>
      <c r="B140" s="8" t="inlineStr">
        <is>
          <t>4.5</t>
        </is>
      </c>
      <c r="C140" s="8" t="inlineStr">
        <is>
          <t>D4</t>
        </is>
      </c>
      <c r="D140" s="8" t="inlineStr">
        <is>
          <t>Integration &amp; Tool Enablement</t>
        </is>
      </c>
      <c r="E140" s="8" t="inlineStr">
        <is>
          <t>Able to give AI systems safe, governed reach into institutional systems.</t>
        </is>
      </c>
      <c r="F140" s="8" t="inlineStr">
        <is>
          <t>Core Platforms</t>
        </is>
      </c>
      <c r="G140" s="9" t="inlineStr">
        <is>
          <t>JUANAA@iadb.org</t>
        </is>
      </c>
      <c r="H140" s="15" t="inlineStr">
        <is>
          <t>Partial</t>
        </is>
      </c>
      <c r="I140" s="9" t="inlineStr">
        <is>
          <t>Core Platforms claims Integrations (Biztalk, API management, Service Bus). The AI enabler separately owns the MCP servers. Split ownership — settle who owns tool exposure to AI clients.</t>
        </is>
      </c>
      <c r="J140" s="9" t="inlineStr">
        <is>
          <t>Integration Architecture Owner</t>
        </is>
      </c>
      <c r="K140" s="9" t="inlineStr">
        <is>
          <t>new</t>
        </is>
      </c>
      <c r="L140" s="9" t="inlineStr">
        <is>
          <t>Y</t>
        </is>
      </c>
      <c r="M140" s="9" t="inlineStr">
        <is>
          <t>medium</t>
        </is>
      </c>
      <c r="N140" s="9" t="inlineStr">
        <is>
          <t>IBM Generative AI Capability Model; Model Context Protocol specification; SAP AI-native North Star architecture; IMDA Model AI Governance Framework</t>
        </is>
      </c>
      <c r="O140" s="9" t="inlineStr"/>
      <c r="P140" s="11" t="inlineStr"/>
      <c r="Q140" s="11" t="inlineStr"/>
      <c r="R140" s="11" t="inlineStr"/>
      <c r="S140" s="11" t="inlineStr"/>
      <c r="T140" s="11" t="inlineStr"/>
    </row>
    <row r="141" outlineLevel="1">
      <c r="A141" s="12" t="inlineStr">
        <is>
          <t>L3</t>
        </is>
      </c>
      <c r="B141" s="12" t="inlineStr">
        <is>
          <t>4.5.1</t>
        </is>
      </c>
      <c r="C141" s="12" t="inlineStr">
        <is>
          <t>D4</t>
        </is>
      </c>
      <c r="D141" s="13" t="inlineStr">
        <is>
          <t>API &amp; System Integration Design</t>
        </is>
      </c>
      <c r="E141" s="12" t="inlineStr">
        <is>
          <t>Design integration to institutional systems with contracts and error semantics.</t>
        </is>
      </c>
      <c r="F141" s="12" t="inlineStr"/>
      <c r="G141" s="12" t="inlineStr"/>
      <c r="H141" s="12" t="inlineStr"/>
      <c r="I141" s="12" t="inlineStr"/>
      <c r="J141" s="12" t="inlineStr"/>
      <c r="K141" s="12" t="inlineStr"/>
      <c r="L141" s="12" t="inlineStr"/>
      <c r="M141" s="12" t="inlineStr"/>
      <c r="N141" s="12" t="inlineStr"/>
      <c r="O141" s="12" t="inlineStr"/>
      <c r="P141" s="11" t="inlineStr"/>
      <c r="Q141" s="11" t="inlineStr"/>
      <c r="R141" s="12" t="inlineStr"/>
      <c r="S141" s="12" t="inlineStr"/>
      <c r="T141" s="11" t="inlineStr"/>
    </row>
    <row r="142" outlineLevel="1">
      <c r="A142" s="12" t="inlineStr">
        <is>
          <t>L3</t>
        </is>
      </c>
      <c r="B142" s="12" t="inlineStr">
        <is>
          <t>4.5.2</t>
        </is>
      </c>
      <c r="C142" s="12" t="inlineStr">
        <is>
          <t>D4</t>
        </is>
      </c>
      <c r="D142" s="13" t="inlineStr">
        <is>
          <t>Tool &amp; Function Definition</t>
        </is>
      </c>
      <c r="E142" s="12" t="inlineStr">
        <is>
          <t>Define the callable actions exposed to a model, with typed inputs and stated effects.</t>
        </is>
      </c>
      <c r="F142" s="12" t="inlineStr"/>
      <c r="G142" s="12" t="inlineStr"/>
      <c r="H142" s="12" t="inlineStr"/>
      <c r="I142" s="12" t="inlineStr"/>
      <c r="J142" s="12" t="inlineStr"/>
      <c r="K142" s="12" t="inlineStr"/>
      <c r="L142" s="12" t="inlineStr">
        <is>
          <t>Y</t>
        </is>
      </c>
      <c r="M142" s="12" t="inlineStr"/>
      <c r="N142" s="12" t="inlineStr"/>
      <c r="O142" s="12" t="inlineStr"/>
      <c r="P142" s="11" t="inlineStr"/>
      <c r="Q142" s="11" t="inlineStr"/>
      <c r="R142" s="12" t="inlineStr"/>
      <c r="S142" s="12" t="inlineStr"/>
      <c r="T142" s="11" t="inlineStr"/>
    </row>
    <row r="143" outlineLevel="1">
      <c r="A143" s="12" t="inlineStr">
        <is>
          <t>L3</t>
        </is>
      </c>
      <c r="B143" s="12" t="inlineStr">
        <is>
          <t>4.5.3</t>
        </is>
      </c>
      <c r="C143" s="12" t="inlineStr">
        <is>
          <t>D4</t>
        </is>
      </c>
      <c r="D143" s="13" t="inlineStr">
        <is>
          <t>Capability Exposure to AI Clients</t>
        </is>
      </c>
      <c r="E143" s="12" t="inlineStr">
        <is>
          <t>Expose institutional capability to AI clients through the prevailing open tool-interface standard.</t>
        </is>
      </c>
      <c r="F143" s="12" t="inlineStr"/>
      <c r="G143" s="12" t="inlineStr"/>
      <c r="H143" s="12" t="inlineStr"/>
      <c r="I143" s="12" t="inlineStr"/>
      <c r="J143" s="12" t="inlineStr"/>
      <c r="K143" s="12" t="inlineStr"/>
      <c r="L143" s="12" t="inlineStr">
        <is>
          <t>Y</t>
        </is>
      </c>
      <c r="M143" s="12" t="inlineStr"/>
      <c r="N143" s="12" t="inlineStr"/>
      <c r="O143" s="12" t="inlineStr"/>
      <c r="P143" s="11" t="inlineStr"/>
      <c r="Q143" s="11" t="inlineStr"/>
      <c r="R143" s="12" t="inlineStr"/>
      <c r="S143" s="12" t="inlineStr"/>
      <c r="T143" s="11" t="inlineStr"/>
    </row>
    <row r="144" outlineLevel="1">
      <c r="A144" s="12" t="inlineStr">
        <is>
          <t>L3</t>
        </is>
      </c>
      <c r="B144" s="12" t="inlineStr">
        <is>
          <t>4.5.4</t>
        </is>
      </c>
      <c r="C144" s="12" t="inlineStr">
        <is>
          <t>D4</t>
        </is>
      </c>
      <c r="D144" s="13" t="inlineStr">
        <is>
          <t>Identity Propagation &amp; Delegated Access</t>
        </is>
      </c>
      <c r="E144" s="12" t="inlineStr">
        <is>
          <t>Carry the acting user's identity through to the system of record.</t>
        </is>
      </c>
      <c r="F144" s="12" t="inlineStr"/>
      <c r="G144" s="12" t="inlineStr"/>
      <c r="H144" s="12" t="inlineStr"/>
      <c r="I144" s="12" t="inlineStr"/>
      <c r="J144" s="12" t="inlineStr"/>
      <c r="K144" s="12" t="inlineStr"/>
      <c r="L144" s="12" t="inlineStr">
        <is>
          <t>Y</t>
        </is>
      </c>
      <c r="M144" s="12" t="inlineStr"/>
      <c r="N144" s="12" t="inlineStr"/>
      <c r="O144" s="12" t="inlineStr"/>
      <c r="P144" s="11" t="inlineStr"/>
      <c r="Q144" s="11" t="inlineStr"/>
      <c r="R144" s="12" t="inlineStr"/>
      <c r="S144" s="12" t="inlineStr"/>
      <c r="T144" s="11" t="inlineStr"/>
    </row>
    <row r="145" outlineLevel="1">
      <c r="A145" s="12" t="inlineStr">
        <is>
          <t>L3</t>
        </is>
      </c>
      <c r="B145" s="12" t="inlineStr">
        <is>
          <t>4.5.5</t>
        </is>
      </c>
      <c r="C145" s="12" t="inlineStr">
        <is>
          <t>D4</t>
        </is>
      </c>
      <c r="D145" s="13" t="inlineStr">
        <is>
          <t>Legacy &amp; Core System Adaptation</t>
        </is>
      </c>
      <c r="E145" s="12" t="inlineStr">
        <is>
          <t>Reach systems that were never designed to be called by an AI client.</t>
        </is>
      </c>
      <c r="F145" s="12" t="inlineStr"/>
      <c r="G145" s="12" t="inlineStr"/>
      <c r="H145" s="12" t="inlineStr"/>
      <c r="I145" s="12" t="inlineStr"/>
      <c r="J145" s="12" t="inlineStr"/>
      <c r="K145" s="12" t="inlineStr"/>
      <c r="L145" s="12" t="inlineStr"/>
      <c r="M145" s="12" t="inlineStr"/>
      <c r="N145" s="12" t="inlineStr"/>
      <c r="O145" s="12" t="inlineStr"/>
      <c r="P145" s="11" t="inlineStr"/>
      <c r="Q145" s="11" t="inlineStr"/>
      <c r="R145" s="12" t="inlineStr"/>
      <c r="S145" s="12" t="inlineStr"/>
      <c r="T145" s="11" t="inlineStr"/>
    </row>
    <row r="146">
      <c r="A146" s="8" t="inlineStr">
        <is>
          <t>L2</t>
        </is>
      </c>
      <c r="B146" s="8" t="inlineStr">
        <is>
          <t>4.6</t>
        </is>
      </c>
      <c r="C146" s="8" t="inlineStr">
        <is>
          <t>D4</t>
        </is>
      </c>
      <c r="D146" s="8" t="inlineStr">
        <is>
          <t>AI Evaluation &amp; Testing</t>
        </is>
      </c>
      <c r="E146" s="8" t="inlineStr">
        <is>
          <t>Able to state, before release, what the system does and does not do reliably.</t>
        </is>
      </c>
      <c r="F146" s="16" t="inlineStr">
        <is>
          <t>— none in the catalogue —</t>
        </is>
      </c>
      <c r="G146" s="9" t="inlineStr"/>
      <c r="H146" s="17" t="inlineStr">
        <is>
          <t>NO MATCH</t>
        </is>
      </c>
      <c r="I146" s="9" t="inlineStr">
        <is>
          <t>No product or enabler claims evaluation or testing of AI systems. This is the capability that decides whether anything the Bank ships actually works.</t>
        </is>
      </c>
      <c r="J146" s="9" t="inlineStr">
        <is>
          <t>Quality Engineering Owner</t>
        </is>
      </c>
      <c r="K146" s="9" t="inlineStr">
        <is>
          <t>new</t>
        </is>
      </c>
      <c r="L146" s="9" t="inlineStr"/>
      <c r="M146" s="9" t="inlineStr">
        <is>
          <t>medium</t>
        </is>
      </c>
      <c r="N146" s="9" t="inlineStr">
        <is>
          <t>NIST AI 600-1 Generative AI Profile; ISO/IEC 5338</t>
        </is>
      </c>
      <c r="O146" s="9" t="inlineStr"/>
      <c r="P146" s="11" t="inlineStr"/>
      <c r="Q146" s="11" t="inlineStr"/>
      <c r="R146" s="11" t="inlineStr"/>
      <c r="S146" s="11" t="inlineStr"/>
      <c r="T146" s="11" t="inlineStr"/>
    </row>
    <row r="147" outlineLevel="1">
      <c r="A147" s="12" t="inlineStr">
        <is>
          <t>L3</t>
        </is>
      </c>
      <c r="B147" s="12" t="inlineStr">
        <is>
          <t>4.6.1</t>
        </is>
      </c>
      <c r="C147" s="12" t="inlineStr">
        <is>
          <t>D4</t>
        </is>
      </c>
      <c r="D147" s="13" t="inlineStr">
        <is>
          <t>Evaluation Criteria &amp; Metric Definition</t>
        </is>
      </c>
      <c r="E147" s="12" t="inlineStr">
        <is>
          <t>Define the metrics that constitute acceptable performance for this use case.</t>
        </is>
      </c>
      <c r="F147" s="12" t="inlineStr"/>
      <c r="G147" s="12" t="inlineStr"/>
      <c r="H147" s="12" t="inlineStr"/>
      <c r="I147" s="12" t="inlineStr"/>
      <c r="J147" s="12" t="inlineStr"/>
      <c r="K147" s="12" t="inlineStr"/>
      <c r="L147" s="12" t="inlineStr"/>
      <c r="M147" s="12" t="inlineStr"/>
      <c r="N147" s="12" t="inlineStr"/>
      <c r="O147" s="12" t="inlineStr"/>
      <c r="P147" s="11" t="inlineStr"/>
      <c r="Q147" s="11" t="inlineStr"/>
      <c r="R147" s="12" t="inlineStr"/>
      <c r="S147" s="12" t="inlineStr"/>
      <c r="T147" s="11" t="inlineStr"/>
    </row>
    <row r="148" outlineLevel="1">
      <c r="A148" s="12" t="inlineStr">
        <is>
          <t>L3</t>
        </is>
      </c>
      <c r="B148" s="12" t="inlineStr">
        <is>
          <t>4.6.2</t>
        </is>
      </c>
      <c r="C148" s="12" t="inlineStr">
        <is>
          <t>D4</t>
        </is>
      </c>
      <c r="D148" s="13" t="inlineStr">
        <is>
          <t>Golden Dataset &amp; Test Set Management</t>
        </is>
      </c>
      <c r="E148" s="12" t="inlineStr">
        <is>
          <t>Build and maintain representative evaluation sets with known-correct answers.</t>
        </is>
      </c>
      <c r="F148" s="12" t="inlineStr"/>
      <c r="G148" s="12" t="inlineStr"/>
      <c r="H148" s="12" t="inlineStr"/>
      <c r="I148" s="12" t="inlineStr"/>
      <c r="J148" s="12" t="inlineStr"/>
      <c r="K148" s="12" t="inlineStr"/>
      <c r="L148" s="12" t="inlineStr"/>
      <c r="M148" s="12" t="inlineStr"/>
      <c r="N148" s="12" t="inlineStr"/>
      <c r="O148" s="12" t="inlineStr"/>
      <c r="P148" s="11" t="inlineStr"/>
      <c r="Q148" s="11" t="inlineStr"/>
      <c r="R148" s="12" t="inlineStr"/>
      <c r="S148" s="12" t="inlineStr"/>
      <c r="T148" s="11" t="inlineStr"/>
    </row>
    <row r="149" outlineLevel="1">
      <c r="A149" s="12" t="inlineStr">
        <is>
          <t>L3</t>
        </is>
      </c>
      <c r="B149" s="12" t="inlineStr">
        <is>
          <t>4.6.3</t>
        </is>
      </c>
      <c r="C149" s="12" t="inlineStr">
        <is>
          <t>D4</t>
        </is>
      </c>
      <c r="D149" s="13" t="inlineStr">
        <is>
          <t>Automated Evaluation Harness Operation</t>
        </is>
      </c>
      <c r="E149" s="12" t="inlineStr">
        <is>
          <t>Run evaluations repeatably as part of the delivery pipeline.</t>
        </is>
      </c>
      <c r="F149" s="12" t="inlineStr"/>
      <c r="G149" s="12" t="inlineStr"/>
      <c r="H149" s="12" t="inlineStr"/>
      <c r="I149" s="12" t="inlineStr"/>
      <c r="J149" s="12" t="inlineStr"/>
      <c r="K149" s="12" t="inlineStr"/>
      <c r="L149" s="12" t="inlineStr"/>
      <c r="M149" s="12" t="inlineStr"/>
      <c r="N149" s="12" t="inlineStr"/>
      <c r="O149" s="12" t="inlineStr"/>
      <c r="P149" s="11" t="inlineStr"/>
      <c r="Q149" s="11" t="inlineStr"/>
      <c r="R149" s="12" t="inlineStr"/>
      <c r="S149" s="12" t="inlineStr"/>
      <c r="T149" s="11" t="inlineStr"/>
    </row>
    <row r="150" outlineLevel="1">
      <c r="A150" s="12" t="inlineStr">
        <is>
          <t>L3</t>
        </is>
      </c>
      <c r="B150" s="12" t="inlineStr">
        <is>
          <t>4.6.4</t>
        </is>
      </c>
      <c r="C150" s="12" t="inlineStr">
        <is>
          <t>D4</t>
        </is>
      </c>
      <c r="D150" s="13" t="inlineStr">
        <is>
          <t>Human Review &amp; Expert Evaluation</t>
        </is>
      </c>
      <c r="E150" s="12" t="inlineStr">
        <is>
          <t>Obtain qualified human judgement where automated metrics are insufficient.</t>
        </is>
      </c>
      <c r="F150" s="12" t="inlineStr"/>
      <c r="G150" s="12" t="inlineStr"/>
      <c r="H150" s="12" t="inlineStr"/>
      <c r="I150" s="12" t="inlineStr"/>
      <c r="J150" s="12" t="inlineStr"/>
      <c r="K150" s="12" t="inlineStr"/>
      <c r="L150" s="12" t="inlineStr"/>
      <c r="M150" s="12" t="inlineStr"/>
      <c r="N150" s="12" t="inlineStr"/>
      <c r="O150" s="12" t="inlineStr"/>
      <c r="P150" s="11" t="inlineStr"/>
      <c r="Q150" s="11" t="inlineStr"/>
      <c r="R150" s="12" t="inlineStr"/>
      <c r="S150" s="12" t="inlineStr"/>
      <c r="T150" s="11" t="inlineStr"/>
    </row>
    <row r="151" outlineLevel="1">
      <c r="A151" s="12" t="inlineStr">
        <is>
          <t>L3</t>
        </is>
      </c>
      <c r="B151" s="12" t="inlineStr">
        <is>
          <t>4.6.5</t>
        </is>
      </c>
      <c r="C151" s="12" t="inlineStr">
        <is>
          <t>D4</t>
        </is>
      </c>
      <c r="D151" s="13" t="inlineStr">
        <is>
          <t>Pre-Deployment Acceptance Testing</t>
        </is>
      </c>
      <c r="E151" s="12" t="inlineStr">
        <is>
          <t>Test against acceptance criteria and record the result as release evidence.</t>
        </is>
      </c>
      <c r="F151" s="12" t="inlineStr"/>
      <c r="G151" s="12" t="inlineStr"/>
      <c r="H151" s="12" t="inlineStr"/>
      <c r="I151" s="12" t="inlineStr"/>
      <c r="J151" s="12" t="inlineStr"/>
      <c r="K151" s="12" t="inlineStr"/>
      <c r="L151" s="12" t="inlineStr"/>
      <c r="M151" s="12" t="inlineStr"/>
      <c r="N151" s="12" t="inlineStr"/>
      <c r="O151" s="12" t="inlineStr"/>
      <c r="P151" s="11" t="inlineStr"/>
      <c r="Q151" s="11" t="inlineStr"/>
      <c r="R151" s="12" t="inlineStr"/>
      <c r="S151" s="12" t="inlineStr"/>
      <c r="T151" s="11" t="inlineStr"/>
    </row>
    <row r="152">
      <c r="A152" s="8" t="inlineStr">
        <is>
          <t>L2</t>
        </is>
      </c>
      <c r="B152" s="8" t="inlineStr">
        <is>
          <t>4.7</t>
        </is>
      </c>
      <c r="C152" s="8" t="inlineStr">
        <is>
          <t>D4</t>
        </is>
      </c>
      <c r="D152" s="8" t="inlineStr">
        <is>
          <t>AI Release &amp; Change Management</t>
        </is>
      </c>
      <c r="E152" s="8" t="inlineStr">
        <is>
          <t>Able to move AI change into production under control and to reverse it.</t>
        </is>
      </c>
      <c r="F152" s="8" t="inlineStr">
        <is>
          <t>Core Platforms</t>
        </is>
      </c>
      <c r="G152" s="9" t="inlineStr">
        <is>
          <t>JUANAA@iadb.org</t>
        </is>
      </c>
      <c r="H152" s="14" t="inlineStr">
        <is>
          <t>Inferred</t>
        </is>
      </c>
      <c r="I152" s="9" t="inlineStr">
        <is>
          <t>Core Platforms claims the Development platform (Terraform, CICD). AI-specific release gating is not named.</t>
        </is>
      </c>
      <c r="J152" s="9" t="inlineStr">
        <is>
          <t>DevSecOps Owner</t>
        </is>
      </c>
      <c r="K152" s="9" t="inlineStr">
        <is>
          <t>lens</t>
        </is>
      </c>
      <c r="L152" s="9" t="inlineStr"/>
      <c r="M152" s="9" t="inlineStr">
        <is>
          <t>high</t>
        </is>
      </c>
      <c r="N152" s="9" t="inlineStr">
        <is>
          <t>ITIL 4; The Open Group IT4IT; ISO/IEC 5338</t>
        </is>
      </c>
      <c r="O152" s="9" t="inlineStr"/>
      <c r="P152" s="11" t="inlineStr"/>
      <c r="Q152" s="11" t="inlineStr"/>
      <c r="R152" s="11" t="inlineStr"/>
      <c r="S152" s="11" t="inlineStr"/>
      <c r="T152" s="11" t="inlineStr"/>
    </row>
    <row r="153" outlineLevel="1">
      <c r="A153" s="12" t="inlineStr">
        <is>
          <t>L3</t>
        </is>
      </c>
      <c r="B153" s="12" t="inlineStr">
        <is>
          <t>4.7.1</t>
        </is>
      </c>
      <c r="C153" s="12" t="inlineStr">
        <is>
          <t>D4</t>
        </is>
      </c>
      <c r="D153" s="13" t="inlineStr">
        <is>
          <t>Build &amp; Continuous Integration</t>
        </is>
      </c>
      <c r="E153" s="12" t="inlineStr">
        <is>
          <t>Build AI artifacts through an automated, auditable pipeline.</t>
        </is>
      </c>
      <c r="F153" s="12" t="inlineStr"/>
      <c r="G153" s="12" t="inlineStr"/>
      <c r="H153" s="12" t="inlineStr"/>
      <c r="I153" s="12" t="inlineStr"/>
      <c r="J153" s="12" t="inlineStr"/>
      <c r="K153" s="12" t="inlineStr"/>
      <c r="L153" s="12" t="inlineStr"/>
      <c r="M153" s="12" t="inlineStr"/>
      <c r="N153" s="12" t="inlineStr"/>
      <c r="O153" s="12" t="inlineStr"/>
      <c r="P153" s="11" t="inlineStr"/>
      <c r="Q153" s="11" t="inlineStr"/>
      <c r="R153" s="12" t="inlineStr"/>
      <c r="S153" s="12" t="inlineStr"/>
      <c r="T153" s="11" t="inlineStr"/>
    </row>
    <row r="154" outlineLevel="1">
      <c r="A154" s="12" t="inlineStr">
        <is>
          <t>L3</t>
        </is>
      </c>
      <c r="B154" s="12" t="inlineStr">
        <is>
          <t>4.7.2</t>
        </is>
      </c>
      <c r="C154" s="12" t="inlineStr">
        <is>
          <t>D4</t>
        </is>
      </c>
      <c r="D154" s="13" t="inlineStr">
        <is>
          <t>Promotion &amp; Environment Progression</t>
        </is>
      </c>
      <c r="E154" s="12" t="inlineStr">
        <is>
          <t>Move artifacts through environments under defined entry and exit criteria.</t>
        </is>
      </c>
      <c r="F154" s="12" t="inlineStr"/>
      <c r="G154" s="12" t="inlineStr"/>
      <c r="H154" s="12" t="inlineStr"/>
      <c r="I154" s="12" t="inlineStr"/>
      <c r="J154" s="12" t="inlineStr"/>
      <c r="K154" s="12" t="inlineStr"/>
      <c r="L154" s="12" t="inlineStr"/>
      <c r="M154" s="12" t="inlineStr"/>
      <c r="N154" s="12" t="inlineStr"/>
      <c r="O154" s="12" t="inlineStr"/>
      <c r="P154" s="11" t="inlineStr"/>
      <c r="Q154" s="11" t="inlineStr"/>
      <c r="R154" s="12" t="inlineStr"/>
      <c r="S154" s="12" t="inlineStr"/>
      <c r="T154" s="11" t="inlineStr"/>
    </row>
    <row r="155" outlineLevel="1">
      <c r="A155" s="12" t="inlineStr">
        <is>
          <t>L3</t>
        </is>
      </c>
      <c r="B155" s="12" t="inlineStr">
        <is>
          <t>4.7.3</t>
        </is>
      </c>
      <c r="C155" s="12" t="inlineStr">
        <is>
          <t>D4</t>
        </is>
      </c>
      <c r="D155" s="13" t="inlineStr">
        <is>
          <t>Change Approval &amp; Release Authorization</t>
        </is>
      </c>
      <c r="E155" s="12" t="inlineStr">
        <is>
          <t>Authorise AI change through a route proportionate to its risk tier.</t>
        </is>
      </c>
      <c r="F155" s="12" t="inlineStr"/>
      <c r="G155" s="12" t="inlineStr"/>
      <c r="H155" s="12" t="inlineStr"/>
      <c r="I155" s="12" t="inlineStr"/>
      <c r="J155" s="12" t="inlineStr"/>
      <c r="K155" s="12" t="inlineStr"/>
      <c r="L155" s="12" t="inlineStr"/>
      <c r="M155" s="12" t="inlineStr"/>
      <c r="N155" s="12" t="inlineStr"/>
      <c r="O155" s="12" t="inlineStr"/>
      <c r="P155" s="11" t="inlineStr"/>
      <c r="Q155" s="11" t="inlineStr"/>
      <c r="R155" s="12" t="inlineStr"/>
      <c r="S155" s="12" t="inlineStr"/>
      <c r="T155" s="11" t="inlineStr"/>
    </row>
    <row r="156" outlineLevel="1">
      <c r="A156" s="12" t="inlineStr">
        <is>
          <t>L3</t>
        </is>
      </c>
      <c r="B156" s="12" t="inlineStr">
        <is>
          <t>4.7.4</t>
        </is>
      </c>
      <c r="C156" s="12" t="inlineStr">
        <is>
          <t>D4</t>
        </is>
      </c>
      <c r="D156" s="13" t="inlineStr">
        <is>
          <t>Rollback &amp; Release Reversal</t>
        </is>
      </c>
      <c r="E156" s="12" t="inlineStr">
        <is>
          <t>Return a deployed AI system to a previously accepted release.</t>
        </is>
      </c>
      <c r="F156" s="12" t="inlineStr"/>
      <c r="G156" s="12" t="inlineStr"/>
      <c r="H156" s="12" t="inlineStr"/>
      <c r="I156" s="12" t="inlineStr"/>
      <c r="J156" s="12" t="inlineStr"/>
      <c r="K156" s="12" t="inlineStr"/>
      <c r="L156" s="12" t="inlineStr"/>
      <c r="M156" s="12" t="inlineStr"/>
      <c r="N156" s="12" t="inlineStr"/>
      <c r="O156" s="12" t="inlineStr"/>
      <c r="P156" s="11" t="inlineStr"/>
      <c r="Q156" s="11" t="inlineStr"/>
      <c r="R156" s="12" t="inlineStr"/>
      <c r="S156" s="12" t="inlineStr"/>
      <c r="T156" s="11" t="inlineStr"/>
    </row>
    <row r="157" outlineLevel="1">
      <c r="A157" s="12" t="inlineStr">
        <is>
          <t>L3</t>
        </is>
      </c>
      <c r="B157" s="12" t="inlineStr">
        <is>
          <t>4.7.5</t>
        </is>
      </c>
      <c r="C157" s="12" t="inlineStr">
        <is>
          <t>D4</t>
        </is>
      </c>
      <c r="D157" s="13" t="inlineStr">
        <is>
          <t>Release Documentation &amp; Evidence Capture</t>
        </is>
      </c>
      <c r="E157" s="12" t="inlineStr">
        <is>
          <t>Capture at release the evidence that later assurance work will need.</t>
        </is>
      </c>
      <c r="F157" s="12" t="inlineStr"/>
      <c r="G157" s="12" t="inlineStr"/>
      <c r="H157" s="12" t="inlineStr"/>
      <c r="I157" s="12" t="inlineStr"/>
      <c r="J157" s="12" t="inlineStr"/>
      <c r="K157" s="12" t="inlineStr"/>
      <c r="L157" s="12" t="inlineStr"/>
      <c r="M157" s="12" t="inlineStr"/>
      <c r="N157" s="12" t="inlineStr"/>
      <c r="O157" s="12" t="inlineStr"/>
      <c r="P157" s="11" t="inlineStr"/>
      <c r="Q157" s="11" t="inlineStr"/>
      <c r="R157" s="12" t="inlineStr"/>
      <c r="S157" s="12" t="inlineStr"/>
      <c r="T157" s="11" t="inlineStr"/>
    </row>
    <row r="158">
      <c r="A158" s="7" t="inlineStr">
        <is>
          <t>Domain</t>
        </is>
      </c>
      <c r="B158" s="7" t="inlineStr">
        <is>
          <t>D5</t>
        </is>
      </c>
      <c r="C158" s="7" t="inlineStr">
        <is>
          <t>D5</t>
        </is>
      </c>
      <c r="D158" s="7" t="inlineStr">
        <is>
          <t>AI Platform &amp; Infrastructure</t>
        </is>
      </c>
      <c r="E158" s="7" t="inlineStr">
        <is>
          <t>Able to provide and sustain the technical means to build and run AI.</t>
        </is>
      </c>
      <c r="F158" s="7" t="n"/>
      <c r="G158" s="7" t="n"/>
      <c r="H158" s="7" t="n"/>
      <c r="I158" s="7" t="n"/>
      <c r="J158" s="7" t="n"/>
      <c r="K158" s="7" t="n"/>
      <c r="L158" s="7" t="n"/>
      <c r="M158" s="7" t="n"/>
      <c r="N158" s="7" t="n"/>
      <c r="O158" s="7" t="n"/>
      <c r="P158" s="7" t="n"/>
      <c r="Q158" s="7" t="n"/>
      <c r="R158" s="7" t="n"/>
      <c r="S158" s="7" t="n"/>
      <c r="T158" s="7" t="inlineStr"/>
    </row>
    <row r="159">
      <c r="A159" s="8" t="inlineStr">
        <is>
          <t>L2</t>
        </is>
      </c>
      <c r="B159" s="8" t="inlineStr">
        <is>
          <t>5.1</t>
        </is>
      </c>
      <c r="C159" s="8" t="inlineStr">
        <is>
          <t>D5</t>
        </is>
      </c>
      <c r="D159" s="8" t="inlineStr">
        <is>
          <t>AI Platform Service Provisioning</t>
        </is>
      </c>
      <c r="E159" s="8" t="inlineStr">
        <is>
          <t>Able to offer AI platform services as a governed, supported institutional service.</t>
        </is>
      </c>
      <c r="F159" s="8" t="inlineStr">
        <is>
          <t>Artificial Intelligence</t>
        </is>
      </c>
      <c r="G159" s="9" t="inlineStr">
        <is>
          <t>JAIRORI@IADB.ORG</t>
        </is>
      </c>
      <c r="H159" s="10" t="inlineStr">
        <is>
          <t>Direct</t>
        </is>
      </c>
      <c r="I159" s="9" t="inlineStr">
        <is>
          <t>AI enabler claims Ops &amp; Lifecycle Management: operate and continuously improve AI platform capabilities in production.</t>
        </is>
      </c>
      <c r="J159" s="9" t="inlineStr">
        <is>
          <t>AI Platform Owner</t>
        </is>
      </c>
      <c r="K159" s="9" t="inlineStr">
        <is>
          <t>specialization</t>
        </is>
      </c>
      <c r="L159" s="9" t="inlineStr"/>
      <c r="M159" s="9" t="inlineStr">
        <is>
          <t>medium</t>
        </is>
      </c>
      <c r="N159" s="9" t="inlineStr">
        <is>
          <t>AWS CAF-AI - Platform perspective; Microsoft Cloud Adoption Framework for AI; NVIDIA Enterprise AI Factory</t>
        </is>
      </c>
      <c r="O159" s="9" t="inlineStr"/>
      <c r="P159" s="11" t="inlineStr"/>
      <c r="Q159" s="11" t="inlineStr"/>
      <c r="R159" s="11" t="inlineStr"/>
      <c r="S159" s="11" t="inlineStr"/>
      <c r="T159" s="11" t="inlineStr"/>
    </row>
    <row r="160" outlineLevel="1">
      <c r="A160" s="12" t="inlineStr">
        <is>
          <t>L3</t>
        </is>
      </c>
      <c r="B160" s="12" t="inlineStr">
        <is>
          <t>5.1.1</t>
        </is>
      </c>
      <c r="C160" s="12" t="inlineStr">
        <is>
          <t>D5</t>
        </is>
      </c>
      <c r="D160" s="13" t="inlineStr">
        <is>
          <t>Platform Service Catalog Management</t>
        </is>
      </c>
      <c r="E160" s="12" t="inlineStr">
        <is>
          <t>Publish what AI platform services exist, their terms and how to obtain them.</t>
        </is>
      </c>
      <c r="F160" s="12" t="inlineStr"/>
      <c r="G160" s="12" t="inlineStr"/>
      <c r="H160" s="12" t="inlineStr"/>
      <c r="I160" s="12" t="inlineStr"/>
      <c r="J160" s="12" t="inlineStr"/>
      <c r="K160" s="12" t="inlineStr"/>
      <c r="L160" s="12" t="inlineStr"/>
      <c r="M160" s="12" t="inlineStr"/>
      <c r="N160" s="12" t="inlineStr"/>
      <c r="O160" s="12" t="inlineStr"/>
      <c r="P160" s="11" t="inlineStr"/>
      <c r="Q160" s="11" t="inlineStr"/>
      <c r="R160" s="12" t="inlineStr"/>
      <c r="S160" s="12" t="inlineStr"/>
      <c r="T160" s="11" t="inlineStr"/>
    </row>
    <row r="161" outlineLevel="1">
      <c r="A161" s="12" t="inlineStr">
        <is>
          <t>L3</t>
        </is>
      </c>
      <c r="B161" s="12" t="inlineStr">
        <is>
          <t>5.1.2</t>
        </is>
      </c>
      <c r="C161" s="12" t="inlineStr">
        <is>
          <t>D5</t>
        </is>
      </c>
      <c r="D161" s="13" t="inlineStr">
        <is>
          <t>Landing Zone &amp; Baseline Provisioning</t>
        </is>
      </c>
      <c r="E161" s="12" t="inlineStr">
        <is>
          <t>Provision AI environments from a compliant baseline rather than by hand.</t>
        </is>
      </c>
      <c r="F161" s="12" t="inlineStr"/>
      <c r="G161" s="12" t="inlineStr"/>
      <c r="H161" s="12" t="inlineStr"/>
      <c r="I161" s="12" t="inlineStr"/>
      <c r="J161" s="12" t="inlineStr"/>
      <c r="K161" s="12" t="inlineStr"/>
      <c r="L161" s="12" t="inlineStr"/>
      <c r="M161" s="12" t="inlineStr"/>
      <c r="N161" s="12" t="inlineStr"/>
      <c r="O161" s="12" t="inlineStr"/>
      <c r="P161" s="11" t="inlineStr"/>
      <c r="Q161" s="11" t="inlineStr"/>
      <c r="R161" s="12" t="inlineStr"/>
      <c r="S161" s="12" t="inlineStr"/>
      <c r="T161" s="11" t="inlineStr"/>
    </row>
    <row r="162" outlineLevel="1">
      <c r="A162" s="12" t="inlineStr">
        <is>
          <t>L3</t>
        </is>
      </c>
      <c r="B162" s="12" t="inlineStr">
        <is>
          <t>5.1.3</t>
        </is>
      </c>
      <c r="C162" s="12" t="inlineStr">
        <is>
          <t>D5</t>
        </is>
      </c>
      <c r="D162" s="13" t="inlineStr">
        <is>
          <t>Platform Configuration &amp; Policy Enforcement</t>
        </is>
      </c>
      <c r="E162" s="12" t="inlineStr">
        <is>
          <t>Enforce configuration standards technically, not by instruction.</t>
        </is>
      </c>
      <c r="F162" s="12" t="inlineStr"/>
      <c r="G162" s="12" t="inlineStr"/>
      <c r="H162" s="12" t="inlineStr"/>
      <c r="I162" s="12" t="inlineStr"/>
      <c r="J162" s="12" t="inlineStr"/>
      <c r="K162" s="12" t="inlineStr"/>
      <c r="L162" s="12" t="inlineStr"/>
      <c r="M162" s="12" t="inlineStr"/>
      <c r="N162" s="12" t="inlineStr"/>
      <c r="O162" s="12" t="inlineStr"/>
      <c r="P162" s="11" t="inlineStr"/>
      <c r="Q162" s="11" t="inlineStr"/>
      <c r="R162" s="12" t="inlineStr"/>
      <c r="S162" s="12" t="inlineStr"/>
      <c r="T162" s="11" t="inlineStr"/>
    </row>
    <row r="163" outlineLevel="1">
      <c r="A163" s="12" t="inlineStr">
        <is>
          <t>L3</t>
        </is>
      </c>
      <c r="B163" s="12" t="inlineStr">
        <is>
          <t>5.1.4</t>
        </is>
      </c>
      <c r="C163" s="12" t="inlineStr">
        <is>
          <t>D5</t>
        </is>
      </c>
      <c r="D163" s="13" t="inlineStr">
        <is>
          <t>Platform Service Level Commitment</t>
        </is>
      </c>
      <c r="E163" s="12" t="inlineStr">
        <is>
          <t>Commit to and meet service levels for the shared AI platform services the institution offers.</t>
        </is>
      </c>
      <c r="F163" s="12" t="inlineStr"/>
      <c r="G163" s="12" t="inlineStr"/>
      <c r="H163" s="12" t="inlineStr"/>
      <c r="I163" s="12" t="inlineStr"/>
      <c r="J163" s="12" t="inlineStr"/>
      <c r="K163" s="12" t="inlineStr"/>
      <c r="L163" s="12" t="inlineStr"/>
      <c r="M163" s="12" t="inlineStr"/>
      <c r="N163" s="12" t="inlineStr"/>
      <c r="O163" s="12" t="inlineStr"/>
      <c r="P163" s="11" t="inlineStr"/>
      <c r="Q163" s="11" t="inlineStr"/>
      <c r="R163" s="12" t="inlineStr"/>
      <c r="S163" s="12" t="inlineStr"/>
      <c r="T163" s="11" t="inlineStr"/>
    </row>
    <row r="164" outlineLevel="1">
      <c r="A164" s="12" t="inlineStr">
        <is>
          <t>L3</t>
        </is>
      </c>
      <c r="B164" s="12" t="inlineStr">
        <is>
          <t>5.1.5</t>
        </is>
      </c>
      <c r="C164" s="12" t="inlineStr">
        <is>
          <t>D5</t>
        </is>
      </c>
      <c r="D164" s="13" t="inlineStr">
        <is>
          <t>Platform Upgrade &amp; Deprecation Management</t>
        </is>
      </c>
      <c r="E164" s="12" t="inlineStr">
        <is>
          <t>Move consumers across platform versions without stranding them.</t>
        </is>
      </c>
      <c r="F164" s="12" t="inlineStr"/>
      <c r="G164" s="12" t="inlineStr"/>
      <c r="H164" s="12" t="inlineStr"/>
      <c r="I164" s="12" t="inlineStr"/>
      <c r="J164" s="12" t="inlineStr"/>
      <c r="K164" s="12" t="inlineStr"/>
      <c r="L164" s="12" t="inlineStr"/>
      <c r="M164" s="12" t="inlineStr"/>
      <c r="N164" s="12" t="inlineStr"/>
      <c r="O164" s="12" t="inlineStr"/>
      <c r="P164" s="11" t="inlineStr"/>
      <c r="Q164" s="11" t="inlineStr"/>
      <c r="R164" s="12" t="inlineStr"/>
      <c r="S164" s="12" t="inlineStr"/>
      <c r="T164" s="11" t="inlineStr"/>
    </row>
    <row r="165">
      <c r="A165" s="8" t="inlineStr">
        <is>
          <t>L2</t>
        </is>
      </c>
      <c r="B165" s="8" t="inlineStr">
        <is>
          <t>5.2</t>
        </is>
      </c>
      <c r="C165" s="8" t="inlineStr">
        <is>
          <t>D5</t>
        </is>
      </c>
      <c r="D165" s="8" t="inlineStr">
        <is>
          <t>Model Access &amp; Traffic Management</t>
        </is>
      </c>
      <c r="E165" s="8" t="inlineStr">
        <is>
          <t>Able to control which models the institution may call, through one governed path.</t>
        </is>
      </c>
      <c r="F165" s="8" t="inlineStr">
        <is>
          <t>Artificial Intelligence</t>
        </is>
      </c>
      <c r="G165" s="9" t="inlineStr">
        <is>
          <t>JAIRORI@IADB.ORG</t>
        </is>
      </c>
      <c r="H165" s="10" t="inlineStr">
        <is>
          <t>Direct</t>
        </is>
      </c>
      <c r="I165" s="9" t="inlineStr">
        <is>
          <t>The AI enabler's fact sheet names the AI Gateway (shared and dedicated model access) among its systems.</t>
        </is>
      </c>
      <c r="J165" s="9" t="inlineStr">
        <is>
          <t>AI Platform Owner</t>
        </is>
      </c>
      <c r="K165" s="9" t="inlineStr">
        <is>
          <t>new</t>
        </is>
      </c>
      <c r="L165" s="9" t="inlineStr"/>
      <c r="M165" s="9" t="inlineStr">
        <is>
          <t>low</t>
        </is>
      </c>
      <c r="N165" s="9" t="inlineStr">
        <is>
          <t>IBM Generative AI Capability Model; Microsoft Cloud Adoption Framework for AI; ISO/IEC 42001</t>
        </is>
      </c>
      <c r="O165" s="9" t="inlineStr"/>
      <c r="P165" s="11" t="inlineStr"/>
      <c r="Q165" s="11" t="inlineStr"/>
      <c r="R165" s="11" t="inlineStr"/>
      <c r="S165" s="11" t="inlineStr"/>
      <c r="T165" s="11" t="inlineStr"/>
    </row>
    <row r="166" outlineLevel="1">
      <c r="A166" s="12" t="inlineStr">
        <is>
          <t>L3</t>
        </is>
      </c>
      <c r="B166" s="12" t="inlineStr">
        <is>
          <t>5.2.1</t>
        </is>
      </c>
      <c r="C166" s="12" t="inlineStr">
        <is>
          <t>D5</t>
        </is>
      </c>
      <c r="D166" s="13" t="inlineStr">
        <is>
          <t>Model Clearance &amp; Approved Model List</t>
        </is>
      </c>
      <c r="E166" s="12" t="inlineStr">
        <is>
          <t>Assess candidate models against institutional criteria, record the clearance decision and its conditions, and maintain the approved list.</t>
        </is>
      </c>
      <c r="F166" s="12" t="inlineStr"/>
      <c r="G166" s="12" t="inlineStr"/>
      <c r="H166" s="12" t="inlineStr"/>
      <c r="I166" s="12" t="inlineStr"/>
      <c r="J166" s="12" t="inlineStr"/>
      <c r="K166" s="12" t="inlineStr"/>
      <c r="L166" s="12" t="inlineStr"/>
      <c r="M166" s="12" t="inlineStr"/>
      <c r="N166" s="12" t="inlineStr"/>
      <c r="O166" s="12" t="inlineStr"/>
      <c r="P166" s="11" t="inlineStr"/>
      <c r="Q166" s="11" t="inlineStr"/>
      <c r="R166" s="12" t="inlineStr"/>
      <c r="S166" s="12" t="inlineStr"/>
      <c r="T166" s="11" t="inlineStr"/>
    </row>
    <row r="167" outlineLevel="1">
      <c r="A167" s="12" t="inlineStr">
        <is>
          <t>L3</t>
        </is>
      </c>
      <c r="B167" s="12" t="inlineStr">
        <is>
          <t>5.2.2</t>
        </is>
      </c>
      <c r="C167" s="12" t="inlineStr">
        <is>
          <t>D5</t>
        </is>
      </c>
      <c r="D167" s="13" t="inlineStr">
        <is>
          <t>Model Traffic Control &amp; Routing</t>
        </is>
      </c>
      <c r="E167" s="12" t="inlineStr">
        <is>
          <t>Route all model traffic through a controlled point that can observe and enforce.</t>
        </is>
      </c>
      <c r="F167" s="12" t="inlineStr"/>
      <c r="G167" s="12" t="inlineStr"/>
      <c r="H167" s="12" t="inlineStr"/>
      <c r="I167" s="12" t="inlineStr"/>
      <c r="J167" s="12" t="inlineStr"/>
      <c r="K167" s="12" t="inlineStr"/>
      <c r="L167" s="12" t="inlineStr"/>
      <c r="M167" s="12" t="inlineStr"/>
      <c r="N167" s="12" t="inlineStr"/>
      <c r="O167" s="12" t="inlineStr"/>
      <c r="P167" s="11" t="inlineStr"/>
      <c r="Q167" s="11" t="inlineStr"/>
      <c r="R167" s="12" t="inlineStr"/>
      <c r="S167" s="12" t="inlineStr"/>
      <c r="T167" s="11" t="inlineStr"/>
    </row>
    <row r="168" outlineLevel="1">
      <c r="A168" s="12" t="inlineStr">
        <is>
          <t>L3</t>
        </is>
      </c>
      <c r="B168" s="12" t="inlineStr">
        <is>
          <t>5.2.3</t>
        </is>
      </c>
      <c r="C168" s="12" t="inlineStr">
        <is>
          <t>D5</t>
        </is>
      </c>
      <c r="D168" s="13" t="inlineStr">
        <is>
          <t>Quota, Throttling &amp; Rate Management</t>
        </is>
      </c>
      <c r="E168" s="12" t="inlineStr">
        <is>
          <t>Allocate and enforce consumption limits per consumer.</t>
        </is>
      </c>
      <c r="F168" s="12" t="inlineStr"/>
      <c r="G168" s="12" t="inlineStr"/>
      <c r="H168" s="12" t="inlineStr"/>
      <c r="I168" s="12" t="inlineStr"/>
      <c r="J168" s="12" t="inlineStr"/>
      <c r="K168" s="12" t="inlineStr"/>
      <c r="L168" s="12" t="inlineStr"/>
      <c r="M168" s="12" t="inlineStr"/>
      <c r="N168" s="12" t="inlineStr"/>
      <c r="O168" s="12" t="inlineStr"/>
      <c r="P168" s="11" t="inlineStr"/>
      <c r="Q168" s="11" t="inlineStr"/>
      <c r="R168" s="12" t="inlineStr"/>
      <c r="S168" s="12" t="inlineStr"/>
      <c r="T168" s="11" t="inlineStr"/>
    </row>
    <row r="169" outlineLevel="1">
      <c r="A169" s="12" t="inlineStr">
        <is>
          <t>L3</t>
        </is>
      </c>
      <c r="B169" s="12" t="inlineStr">
        <is>
          <t>5.2.4</t>
        </is>
      </c>
      <c r="C169" s="12" t="inlineStr">
        <is>
          <t>D5</t>
        </is>
      </c>
      <c r="D169" s="13" t="inlineStr">
        <is>
          <t>Model Provider Credential Management</t>
        </is>
      </c>
      <c r="E169" s="12" t="inlineStr">
        <is>
          <t>Issue, rotate and revoke the credentials used to reach model providers and platform services. Agent identity is 7.4.4.</t>
        </is>
      </c>
      <c r="F169" s="12" t="inlineStr"/>
      <c r="G169" s="12" t="inlineStr"/>
      <c r="H169" s="12" t="inlineStr"/>
      <c r="I169" s="12" t="inlineStr"/>
      <c r="J169" s="12" t="inlineStr"/>
      <c r="K169" s="12" t="inlineStr"/>
      <c r="L169" s="12" t="inlineStr"/>
      <c r="M169" s="12" t="inlineStr"/>
      <c r="N169" s="12" t="inlineStr"/>
      <c r="O169" s="12" t="inlineStr"/>
      <c r="P169" s="11" t="inlineStr"/>
      <c r="Q169" s="11" t="inlineStr"/>
      <c r="R169" s="12" t="inlineStr"/>
      <c r="S169" s="12" t="inlineStr"/>
      <c r="T169" s="11" t="inlineStr"/>
    </row>
    <row r="170" outlineLevel="1">
      <c r="A170" s="12" t="inlineStr">
        <is>
          <t>L3</t>
        </is>
      </c>
      <c r="B170" s="12" t="inlineStr">
        <is>
          <t>5.2.5</t>
        </is>
      </c>
      <c r="C170" s="12" t="inlineStr">
        <is>
          <t>D5</t>
        </is>
      </c>
      <c r="D170" s="13" t="inlineStr">
        <is>
          <t>Model Version Availability &amp; Provider Change Control</t>
        </is>
      </c>
      <c r="E170" s="12" t="inlineStr">
        <is>
          <t>Control which model versions remain reachable and absorb provider-side version change without breaking consumers.</t>
        </is>
      </c>
      <c r="F170" s="12" t="inlineStr"/>
      <c r="G170" s="12" t="inlineStr"/>
      <c r="H170" s="12" t="inlineStr"/>
      <c r="I170" s="12" t="inlineStr"/>
      <c r="J170" s="12" t="inlineStr"/>
      <c r="K170" s="12" t="inlineStr"/>
      <c r="L170" s="12" t="inlineStr"/>
      <c r="M170" s="12" t="inlineStr"/>
      <c r="N170" s="12" t="inlineStr"/>
      <c r="O170" s="12" t="inlineStr"/>
      <c r="P170" s="11" t="inlineStr"/>
      <c r="Q170" s="11" t="inlineStr"/>
      <c r="R170" s="12" t="inlineStr"/>
      <c r="S170" s="12" t="inlineStr"/>
      <c r="T170" s="11" t="inlineStr"/>
    </row>
    <row r="171">
      <c r="A171" s="8" t="inlineStr">
        <is>
          <t>L2</t>
        </is>
      </c>
      <c r="B171" s="8" t="inlineStr">
        <is>
          <t>5.3</t>
        </is>
      </c>
      <c r="C171" s="8" t="inlineStr">
        <is>
          <t>D5</t>
        </is>
      </c>
      <c r="D171" s="8" t="inlineStr">
        <is>
          <t>AI Environment &amp; Workspace Management</t>
        </is>
      </c>
      <c r="E171" s="8" t="inlineStr">
        <is>
          <t>Able to give teams isolated places to work without weakening controls.</t>
        </is>
      </c>
      <c r="F171" s="8" t="inlineStr">
        <is>
          <t>Cloud and Infrastructure</t>
        </is>
      </c>
      <c r="G171" s="9" t="inlineStr">
        <is>
          <t>EGDARESF@IADB.ORG</t>
        </is>
      </c>
      <c r="H171" s="10" t="inlineStr">
        <is>
          <t>Direct</t>
        </is>
      </c>
      <c r="I171" s="9" t="inlineStr">
        <is>
          <t>Cloud and Infrastructure claims Cloud Operations, Engineering and Security, and Identity and Access Management.</t>
        </is>
      </c>
      <c r="J171" s="9" t="inlineStr">
        <is>
          <t>Cloud Platform Owner</t>
        </is>
      </c>
      <c r="K171" s="9" t="inlineStr">
        <is>
          <t>lens</t>
        </is>
      </c>
      <c r="L171" s="9" t="inlineStr"/>
      <c r="M171" s="9" t="inlineStr">
        <is>
          <t>medium</t>
        </is>
      </c>
      <c r="N171" s="9" t="inlineStr">
        <is>
          <t>Microsoft Cloud Adoption Framework for AI; ISO/IEC 27001</t>
        </is>
      </c>
      <c r="O171" s="9" t="inlineStr"/>
      <c r="P171" s="11" t="inlineStr"/>
      <c r="Q171" s="11" t="inlineStr"/>
      <c r="R171" s="11" t="inlineStr"/>
      <c r="S171" s="11" t="inlineStr"/>
      <c r="T171" s="11" t="inlineStr"/>
    </row>
    <row r="172" outlineLevel="1">
      <c r="A172" s="12" t="inlineStr">
        <is>
          <t>L3</t>
        </is>
      </c>
      <c r="B172" s="12" t="inlineStr">
        <is>
          <t>5.3.1</t>
        </is>
      </c>
      <c r="C172" s="12" t="inlineStr">
        <is>
          <t>D5</t>
        </is>
      </c>
      <c r="D172" s="13" t="inlineStr">
        <is>
          <t>Experimentation Environment Provision</t>
        </is>
      </c>
      <c r="E172" s="12" t="inlineStr">
        <is>
          <t>Provide safe environments for experimentation with clear data rules.</t>
        </is>
      </c>
      <c r="F172" s="12" t="inlineStr"/>
      <c r="G172" s="12" t="inlineStr"/>
      <c r="H172" s="12" t="inlineStr"/>
      <c r="I172" s="12" t="inlineStr"/>
      <c r="J172" s="12" t="inlineStr"/>
      <c r="K172" s="12" t="inlineStr"/>
      <c r="L172" s="12" t="inlineStr"/>
      <c r="M172" s="12" t="inlineStr"/>
      <c r="N172" s="12" t="inlineStr"/>
      <c r="O172" s="12" t="inlineStr"/>
      <c r="P172" s="11" t="inlineStr"/>
      <c r="Q172" s="11" t="inlineStr"/>
      <c r="R172" s="12" t="inlineStr"/>
      <c r="S172" s="12" t="inlineStr"/>
      <c r="T172" s="11" t="inlineStr"/>
    </row>
    <row r="173" outlineLevel="1">
      <c r="A173" s="12" t="inlineStr">
        <is>
          <t>L3</t>
        </is>
      </c>
      <c r="B173" s="12" t="inlineStr">
        <is>
          <t>5.3.2</t>
        </is>
      </c>
      <c r="C173" s="12" t="inlineStr">
        <is>
          <t>D5</t>
        </is>
      </c>
      <c r="D173" s="13" t="inlineStr">
        <is>
          <t>Workspace Tenancy &amp; Isolation</t>
        </is>
      </c>
      <c r="E173" s="12" t="inlineStr">
        <is>
          <t>Define and enforce the tenancy and isolation topology between team workspaces.</t>
        </is>
      </c>
      <c r="F173" s="12" t="inlineStr"/>
      <c r="G173" s="12" t="inlineStr"/>
      <c r="H173" s="12" t="inlineStr"/>
      <c r="I173" s="12" t="inlineStr"/>
      <c r="J173" s="12" t="inlineStr"/>
      <c r="K173" s="12" t="inlineStr"/>
      <c r="L173" s="12" t="inlineStr"/>
      <c r="M173" s="12" t="inlineStr"/>
      <c r="N173" s="12" t="inlineStr"/>
      <c r="O173" s="12" t="inlineStr"/>
      <c r="P173" s="11" t="inlineStr"/>
      <c r="Q173" s="11" t="inlineStr"/>
      <c r="R173" s="12" t="inlineStr"/>
      <c r="S173" s="12" t="inlineStr"/>
      <c r="T173" s="11" t="inlineStr"/>
    </row>
    <row r="174" outlineLevel="1">
      <c r="A174" s="12" t="inlineStr">
        <is>
          <t>L3</t>
        </is>
      </c>
      <c r="B174" s="12" t="inlineStr">
        <is>
          <t>5.3.3</t>
        </is>
      </c>
      <c r="C174" s="12" t="inlineStr">
        <is>
          <t>D5</t>
        </is>
      </c>
      <c r="D174" s="13" t="inlineStr">
        <is>
          <t>Network &amp; Private Connectivity Control</t>
        </is>
      </c>
      <c r="E174" s="12" t="inlineStr">
        <is>
          <t>Control network reachability of AI services and keep traffic private where required.</t>
        </is>
      </c>
      <c r="F174" s="12" t="inlineStr"/>
      <c r="G174" s="12" t="inlineStr"/>
      <c r="H174" s="12" t="inlineStr"/>
      <c r="I174" s="12" t="inlineStr"/>
      <c r="J174" s="12" t="inlineStr"/>
      <c r="K174" s="12" t="inlineStr"/>
      <c r="L174" s="12" t="inlineStr"/>
      <c r="M174" s="12" t="inlineStr"/>
      <c r="N174" s="12" t="inlineStr"/>
      <c r="O174" s="12" t="inlineStr"/>
      <c r="P174" s="11" t="inlineStr"/>
      <c r="Q174" s="11" t="inlineStr"/>
      <c r="R174" s="12" t="inlineStr"/>
      <c r="S174" s="12" t="inlineStr"/>
      <c r="T174" s="11" t="inlineStr"/>
    </row>
    <row r="175" outlineLevel="1">
      <c r="A175" s="12" t="inlineStr">
        <is>
          <t>L3</t>
        </is>
      </c>
      <c r="B175" s="12" t="inlineStr">
        <is>
          <t>5.3.4</t>
        </is>
      </c>
      <c r="C175" s="12" t="inlineStr">
        <is>
          <t>D5</t>
        </is>
      </c>
      <c r="D175" s="13" t="inlineStr">
        <is>
          <t>Environment Data Segregation</t>
        </is>
      </c>
      <c r="E175" s="12" t="inlineStr">
        <is>
          <t>Prevent production data from reaching environments not cleared for it.</t>
        </is>
      </c>
      <c r="F175" s="12" t="inlineStr"/>
      <c r="G175" s="12" t="inlineStr"/>
      <c r="H175" s="12" t="inlineStr"/>
      <c r="I175" s="12" t="inlineStr"/>
      <c r="J175" s="12" t="inlineStr"/>
      <c r="K175" s="12" t="inlineStr"/>
      <c r="L175" s="12" t="inlineStr"/>
      <c r="M175" s="12" t="inlineStr"/>
      <c r="N175" s="12" t="inlineStr"/>
      <c r="O175" s="12" t="inlineStr"/>
      <c r="P175" s="11" t="inlineStr"/>
      <c r="Q175" s="11" t="inlineStr"/>
      <c r="R175" s="12" t="inlineStr"/>
      <c r="S175" s="12" t="inlineStr"/>
      <c r="T175" s="11" t="inlineStr"/>
    </row>
    <row r="176">
      <c r="A176" s="8" t="inlineStr">
        <is>
          <t>L2</t>
        </is>
      </c>
      <c r="B176" s="8" t="inlineStr">
        <is>
          <t>5.4</t>
        </is>
      </c>
      <c r="C176" s="8" t="inlineStr">
        <is>
          <t>D5</t>
        </is>
      </c>
      <c r="D176" s="8" t="inlineStr">
        <is>
          <t>AI Compute &amp; Capacity Management</t>
        </is>
      </c>
      <c r="E176" s="8" t="inlineStr">
        <is>
          <t>Able to secure and allocate the compute that AI work requires.</t>
        </is>
      </c>
      <c r="F176" s="8" t="inlineStr">
        <is>
          <t>Cloud and Infrastructure</t>
        </is>
      </c>
      <c r="G176" s="9" t="inlineStr">
        <is>
          <t>EGDARESF@IADB.ORG</t>
        </is>
      </c>
      <c r="H176" s="10" t="inlineStr">
        <is>
          <t>Direct</t>
        </is>
      </c>
      <c r="I176" s="9" t="inlineStr">
        <is>
          <t>Cloud and Infrastructure claims Cloud Strategy and Cost Management.</t>
        </is>
      </c>
      <c r="J176" s="9" t="inlineStr">
        <is>
          <t>Infrastructure Platform Owner</t>
        </is>
      </c>
      <c r="K176" s="9" t="inlineStr">
        <is>
          <t>specialization</t>
        </is>
      </c>
      <c r="L176" s="9" t="inlineStr"/>
      <c r="M176" s="9" t="inlineStr">
        <is>
          <t>medium</t>
        </is>
      </c>
      <c r="N176" s="9" t="inlineStr">
        <is>
          <t>NVIDIA Enterprise AI Factory; Microsoft Cloud Adoption Framework for AI; FinOps Foundation</t>
        </is>
      </c>
      <c r="O176" s="9" t="inlineStr"/>
      <c r="P176" s="11" t="inlineStr"/>
      <c r="Q176" s="11" t="inlineStr"/>
      <c r="R176" s="11" t="inlineStr"/>
      <c r="S176" s="11" t="inlineStr"/>
      <c r="T176" s="11" t="inlineStr"/>
    </row>
    <row r="177" outlineLevel="1">
      <c r="A177" s="12" t="inlineStr">
        <is>
          <t>L3</t>
        </is>
      </c>
      <c r="B177" s="12" t="inlineStr">
        <is>
          <t>5.4.1</t>
        </is>
      </c>
      <c r="C177" s="12" t="inlineStr">
        <is>
          <t>D5</t>
        </is>
      </c>
      <c r="D177" s="13" t="inlineStr">
        <is>
          <t>Compute Provisioning &amp; Scheduling</t>
        </is>
      </c>
      <c r="E177" s="12" t="inlineStr">
        <is>
          <t>Make compute available to workloads on a predictable basis.</t>
        </is>
      </c>
      <c r="F177" s="12" t="inlineStr"/>
      <c r="G177" s="12" t="inlineStr"/>
      <c r="H177" s="12" t="inlineStr"/>
      <c r="I177" s="12" t="inlineStr"/>
      <c r="J177" s="12" t="inlineStr"/>
      <c r="K177" s="12" t="inlineStr"/>
      <c r="L177" s="12" t="inlineStr"/>
      <c r="M177" s="12" t="inlineStr"/>
      <c r="N177" s="12" t="inlineStr"/>
      <c r="O177" s="12" t="inlineStr"/>
      <c r="P177" s="11" t="inlineStr"/>
      <c r="Q177" s="11" t="inlineStr"/>
      <c r="R177" s="12" t="inlineStr"/>
      <c r="S177" s="12" t="inlineStr"/>
      <c r="T177" s="11" t="inlineStr"/>
    </row>
    <row r="178" outlineLevel="1">
      <c r="A178" s="12" t="inlineStr">
        <is>
          <t>L3</t>
        </is>
      </c>
      <c r="B178" s="12" t="inlineStr">
        <is>
          <t>5.4.2</t>
        </is>
      </c>
      <c r="C178" s="12" t="inlineStr">
        <is>
          <t>D5</t>
        </is>
      </c>
      <c r="D178" s="13" t="inlineStr">
        <is>
          <t>Capacity Planning &amp; Forecasting</t>
        </is>
      </c>
      <c r="E178" s="12" t="inlineStr">
        <is>
          <t>Forecast demand far enough ahead to secure supply.</t>
        </is>
      </c>
      <c r="F178" s="12" t="inlineStr"/>
      <c r="G178" s="12" t="inlineStr"/>
      <c r="H178" s="12" t="inlineStr"/>
      <c r="I178" s="12" t="inlineStr"/>
      <c r="J178" s="12" t="inlineStr"/>
      <c r="K178" s="12" t="inlineStr"/>
      <c r="L178" s="12" t="inlineStr"/>
      <c r="M178" s="12" t="inlineStr"/>
      <c r="N178" s="12" t="inlineStr"/>
      <c r="O178" s="12" t="inlineStr"/>
      <c r="P178" s="11" t="inlineStr"/>
      <c r="Q178" s="11" t="inlineStr"/>
      <c r="R178" s="12" t="inlineStr"/>
      <c r="S178" s="12" t="inlineStr"/>
      <c r="T178" s="11" t="inlineStr"/>
    </row>
    <row r="179" outlineLevel="1">
      <c r="A179" s="12" t="inlineStr">
        <is>
          <t>L3</t>
        </is>
      </c>
      <c r="B179" s="12" t="inlineStr">
        <is>
          <t>5.4.3</t>
        </is>
      </c>
      <c r="C179" s="12" t="inlineStr">
        <is>
          <t>D5</t>
        </is>
      </c>
      <c r="D179" s="13" t="inlineStr">
        <is>
          <t>Accelerator &amp; Quota Allocation</t>
        </is>
      </c>
      <c r="E179" s="12" t="inlineStr">
        <is>
          <t>Allocate scarce accelerator capacity against portfolio priority.</t>
        </is>
      </c>
      <c r="F179" s="12" t="inlineStr"/>
      <c r="G179" s="12" t="inlineStr"/>
      <c r="H179" s="12" t="inlineStr"/>
      <c r="I179" s="12" t="inlineStr"/>
      <c r="J179" s="12" t="inlineStr"/>
      <c r="K179" s="12" t="inlineStr"/>
      <c r="L179" s="12" t="inlineStr"/>
      <c r="M179" s="12" t="inlineStr"/>
      <c r="N179" s="12" t="inlineStr"/>
      <c r="O179" s="12" t="inlineStr"/>
      <c r="P179" s="11" t="inlineStr"/>
      <c r="Q179" s="11" t="inlineStr"/>
      <c r="R179" s="12" t="inlineStr"/>
      <c r="S179" s="12" t="inlineStr"/>
      <c r="T179" s="11" t="inlineStr"/>
    </row>
    <row r="180" outlineLevel="1">
      <c r="A180" s="12" t="inlineStr">
        <is>
          <t>L3</t>
        </is>
      </c>
      <c r="B180" s="12" t="inlineStr">
        <is>
          <t>5.4.4</t>
        </is>
      </c>
      <c r="C180" s="12" t="inlineStr">
        <is>
          <t>D5</t>
        </is>
      </c>
      <c r="D180" s="13" t="inlineStr">
        <is>
          <t>Workload Placement &amp; Residency Enforcement</t>
        </is>
      </c>
      <c r="E180" s="12" t="inlineStr">
        <is>
          <t>Place workloads in locations that enforce the transfer and residency decisions taken in 3.1.5.</t>
        </is>
      </c>
      <c r="F180" s="12" t="inlineStr"/>
      <c r="G180" s="12" t="inlineStr"/>
      <c r="H180" s="12" t="inlineStr"/>
      <c r="I180" s="12" t="inlineStr"/>
      <c r="J180" s="12" t="inlineStr"/>
      <c r="K180" s="12" t="inlineStr"/>
      <c r="L180" s="12" t="inlineStr"/>
      <c r="M180" s="12" t="inlineStr"/>
      <c r="N180" s="12" t="inlineStr"/>
      <c r="O180" s="12" t="inlineStr"/>
      <c r="P180" s="11" t="inlineStr"/>
      <c r="Q180" s="11" t="inlineStr"/>
      <c r="R180" s="12" t="inlineStr"/>
      <c r="S180" s="12" t="inlineStr"/>
      <c r="T180" s="11" t="inlineStr"/>
    </row>
    <row r="181" outlineLevel="1">
      <c r="A181" s="12" t="inlineStr">
        <is>
          <t>L3</t>
        </is>
      </c>
      <c r="B181" s="12" t="inlineStr">
        <is>
          <t>5.4.5</t>
        </is>
      </c>
      <c r="C181" s="12" t="inlineStr">
        <is>
          <t>D5</t>
        </is>
      </c>
      <c r="D181" s="13" t="inlineStr">
        <is>
          <t>Edge &amp; Disconnected Operation</t>
        </is>
      </c>
      <c r="E181" s="12" t="inlineStr">
        <is>
          <t>Run AI where connectivity, latency or residency prevents central serving, including fully offline.</t>
        </is>
      </c>
      <c r="F181" s="12" t="inlineStr"/>
      <c r="G181" s="12" t="inlineStr"/>
      <c r="H181" s="12" t="inlineStr"/>
      <c r="I181" s="12" t="inlineStr"/>
      <c r="J181" s="12" t="inlineStr"/>
      <c r="K181" s="12" t="inlineStr"/>
      <c r="L181" s="12" t="inlineStr"/>
      <c r="M181" s="12" t="inlineStr"/>
      <c r="N181" s="12" t="inlineStr"/>
      <c r="O181" s="12" t="inlineStr"/>
      <c r="P181" s="11" t="inlineStr"/>
      <c r="Q181" s="11" t="inlineStr"/>
      <c r="R181" s="12" t="inlineStr"/>
      <c r="S181" s="12" t="inlineStr"/>
      <c r="T181" s="11" t="inlineStr"/>
    </row>
    <row r="182">
      <c r="A182" s="8" t="inlineStr">
        <is>
          <t>L2</t>
        </is>
      </c>
      <c r="B182" s="8" t="inlineStr">
        <is>
          <t>5.5</t>
        </is>
      </c>
      <c r="C182" s="8" t="inlineStr">
        <is>
          <t>D5</t>
        </is>
      </c>
      <c r="D182" s="8" t="inlineStr">
        <is>
          <t>Tool &amp; Connector Catalog Management</t>
        </is>
      </c>
      <c r="E182" s="8" t="inlineStr">
        <is>
          <t>Able to control what actions AI systems can reach, as a governed inventory.</t>
        </is>
      </c>
      <c r="F182" s="8" t="inlineStr">
        <is>
          <t>Artificial Intelligence</t>
        </is>
      </c>
      <c r="G182" s="9" t="inlineStr">
        <is>
          <t>JAIRORI@IADB.ORG</t>
        </is>
      </c>
      <c r="H182" s="15" t="inlineStr">
        <is>
          <t>Partial</t>
        </is>
      </c>
      <c r="I182" s="9" t="inlineStr">
        <is>
          <t>AI enabler maintains the enterprise AI capability catalogue and owns the MCP servers. A catalogue of capabilities is not a governed inventory of callable tools with scopes and vetting.</t>
        </is>
      </c>
      <c r="J182" s="9" t="inlineStr">
        <is>
          <t>Integration Platform Owner</t>
        </is>
      </c>
      <c r="K182" s="9" t="inlineStr">
        <is>
          <t>new</t>
        </is>
      </c>
      <c r="L182" s="9" t="inlineStr">
        <is>
          <t>Y</t>
        </is>
      </c>
      <c r="M182" s="9" t="inlineStr">
        <is>
          <t>low</t>
        </is>
      </c>
      <c r="N182" s="9" t="inlineStr">
        <is>
          <t>SAP AI-native North Star architecture; IMDA Model AI Governance Framework; Model Context Protocol specification</t>
        </is>
      </c>
      <c r="O182" s="9" t="inlineStr"/>
      <c r="P182" s="11" t="inlineStr"/>
      <c r="Q182" s="11" t="inlineStr"/>
      <c r="R182" s="11" t="inlineStr"/>
      <c r="S182" s="11" t="inlineStr"/>
      <c r="T182" s="11" t="inlineStr"/>
    </row>
    <row r="183" outlineLevel="1">
      <c r="A183" s="12" t="inlineStr">
        <is>
          <t>L3</t>
        </is>
      </c>
      <c r="B183" s="12" t="inlineStr">
        <is>
          <t>5.5.1</t>
        </is>
      </c>
      <c r="C183" s="12" t="inlineStr">
        <is>
          <t>D5</t>
        </is>
      </c>
      <c r="D183" s="13" t="inlineStr">
        <is>
          <t>Tool &amp; Connector Catalog Management</t>
        </is>
      </c>
      <c r="E183" s="12" t="inlineStr">
        <is>
          <t>Maintain the inventory of actions and connectors available to AI systems.</t>
        </is>
      </c>
      <c r="F183" s="12" t="inlineStr"/>
      <c r="G183" s="12" t="inlineStr"/>
      <c r="H183" s="12" t="inlineStr"/>
      <c r="I183" s="12" t="inlineStr"/>
      <c r="J183" s="12" t="inlineStr"/>
      <c r="K183" s="12" t="inlineStr"/>
      <c r="L183" s="12" t="inlineStr">
        <is>
          <t>Y</t>
        </is>
      </c>
      <c r="M183" s="12" t="inlineStr"/>
      <c r="N183" s="12" t="inlineStr"/>
      <c r="O183" s="12" t="inlineStr"/>
      <c r="P183" s="11" t="inlineStr"/>
      <c r="Q183" s="11" t="inlineStr"/>
      <c r="R183" s="12" t="inlineStr"/>
      <c r="S183" s="12" t="inlineStr"/>
      <c r="T183" s="11" t="inlineStr"/>
    </row>
    <row r="184" outlineLevel="1">
      <c r="A184" s="12" t="inlineStr">
        <is>
          <t>L3</t>
        </is>
      </c>
      <c r="B184" s="12" t="inlineStr">
        <is>
          <t>5.5.2</t>
        </is>
      </c>
      <c r="C184" s="12" t="inlineStr">
        <is>
          <t>D5</t>
        </is>
      </c>
      <c r="D184" s="13" t="inlineStr">
        <is>
          <t>Tool Source Registration &amp; Approval</t>
        </is>
      </c>
      <c r="E184" s="12" t="inlineStr">
        <is>
          <t>Register and approve any source of callable tools before an AI client may reach it.</t>
        </is>
      </c>
      <c r="F184" s="12" t="inlineStr"/>
      <c r="G184" s="12" t="inlineStr"/>
      <c r="H184" s="12" t="inlineStr"/>
      <c r="I184" s="12" t="inlineStr"/>
      <c r="J184" s="12" t="inlineStr"/>
      <c r="K184" s="12" t="inlineStr"/>
      <c r="L184" s="12" t="inlineStr">
        <is>
          <t>Y</t>
        </is>
      </c>
      <c r="M184" s="12" t="inlineStr"/>
      <c r="N184" s="12" t="inlineStr"/>
      <c r="O184" s="12" t="inlineStr"/>
      <c r="P184" s="11" t="inlineStr"/>
      <c r="Q184" s="11" t="inlineStr"/>
      <c r="R184" s="12" t="inlineStr"/>
      <c r="S184" s="12" t="inlineStr"/>
      <c r="T184" s="11" t="inlineStr"/>
    </row>
    <row r="185" outlineLevel="1">
      <c r="A185" s="12" t="inlineStr">
        <is>
          <t>L3</t>
        </is>
      </c>
      <c r="B185" s="12" t="inlineStr">
        <is>
          <t>5.5.3</t>
        </is>
      </c>
      <c r="C185" s="12" t="inlineStr">
        <is>
          <t>D5</t>
        </is>
      </c>
      <c r="D185" s="13" t="inlineStr">
        <is>
          <t>Tool Permission &amp; Scope Governance</t>
        </is>
      </c>
      <c r="E185" s="12" t="inlineStr">
        <is>
          <t>Set and enforce the scope each tool grants, at least privilege.</t>
        </is>
      </c>
      <c r="F185" s="12" t="inlineStr"/>
      <c r="G185" s="12" t="inlineStr"/>
      <c r="H185" s="12" t="inlineStr"/>
      <c r="I185" s="12" t="inlineStr"/>
      <c r="J185" s="12" t="inlineStr"/>
      <c r="K185" s="12" t="inlineStr"/>
      <c r="L185" s="12" t="inlineStr">
        <is>
          <t>Y</t>
        </is>
      </c>
      <c r="M185" s="12" t="inlineStr"/>
      <c r="N185" s="12" t="inlineStr"/>
      <c r="O185" s="12" t="inlineStr"/>
      <c r="P185" s="11" t="inlineStr"/>
      <c r="Q185" s="11" t="inlineStr"/>
      <c r="R185" s="12" t="inlineStr"/>
      <c r="S185" s="12" t="inlineStr"/>
      <c r="T185" s="11" t="inlineStr"/>
    </row>
    <row r="186" outlineLevel="1">
      <c r="A186" s="12" t="inlineStr">
        <is>
          <t>L3</t>
        </is>
      </c>
      <c r="B186" s="12" t="inlineStr">
        <is>
          <t>5.5.4</t>
        </is>
      </c>
      <c r="C186" s="12" t="inlineStr">
        <is>
          <t>D5</t>
        </is>
      </c>
      <c r="D186" s="13" t="inlineStr">
        <is>
          <t>Third-Party Tool Vetting</t>
        </is>
      </c>
      <c r="E186" s="12" t="inlineStr">
        <is>
          <t>Assess externally supplied tools and connectors before admission.</t>
        </is>
      </c>
      <c r="F186" s="12" t="inlineStr"/>
      <c r="G186" s="12" t="inlineStr"/>
      <c r="H186" s="12" t="inlineStr"/>
      <c r="I186" s="12" t="inlineStr"/>
      <c r="J186" s="12" t="inlineStr"/>
      <c r="K186" s="12" t="inlineStr"/>
      <c r="L186" s="12" t="inlineStr">
        <is>
          <t>Y</t>
        </is>
      </c>
      <c r="M186" s="12" t="inlineStr"/>
      <c r="N186" s="12" t="inlineStr"/>
      <c r="O186" s="12" t="inlineStr"/>
      <c r="P186" s="11" t="inlineStr"/>
      <c r="Q186" s="11" t="inlineStr"/>
      <c r="R186" s="12" t="inlineStr"/>
      <c r="S186" s="12" t="inlineStr"/>
      <c r="T186" s="11" t="inlineStr"/>
    </row>
    <row r="187" outlineLevel="1">
      <c r="A187" s="12" t="inlineStr">
        <is>
          <t>L3</t>
        </is>
      </c>
      <c r="B187" s="12" t="inlineStr">
        <is>
          <t>5.5.5</t>
        </is>
      </c>
      <c r="C187" s="12" t="inlineStr">
        <is>
          <t>D5</t>
        </is>
      </c>
      <c r="D187" s="13" t="inlineStr">
        <is>
          <t>Tool Version &amp; Deprecation Control</t>
        </is>
      </c>
      <c r="E187" s="12" t="inlineStr">
        <is>
          <t>Manage tool change so agent behavior does not silently shift.</t>
        </is>
      </c>
      <c r="F187" s="12" t="inlineStr"/>
      <c r="G187" s="12" t="inlineStr"/>
      <c r="H187" s="12" t="inlineStr"/>
      <c r="I187" s="12" t="inlineStr"/>
      <c r="J187" s="12" t="inlineStr"/>
      <c r="K187" s="12" t="inlineStr"/>
      <c r="L187" s="12" t="inlineStr">
        <is>
          <t>Y</t>
        </is>
      </c>
      <c r="M187" s="12" t="inlineStr"/>
      <c r="N187" s="12" t="inlineStr"/>
      <c r="O187" s="12" t="inlineStr"/>
      <c r="P187" s="11" t="inlineStr"/>
      <c r="Q187" s="11" t="inlineStr"/>
      <c r="R187" s="12" t="inlineStr"/>
      <c r="S187" s="12" t="inlineStr"/>
      <c r="T187" s="11" t="inlineStr"/>
    </row>
    <row r="188">
      <c r="A188" s="8" t="inlineStr">
        <is>
          <t>L2</t>
        </is>
      </c>
      <c r="B188" s="8" t="inlineStr">
        <is>
          <t>5.6</t>
        </is>
      </c>
      <c r="C188" s="8" t="inlineStr">
        <is>
          <t>D5</t>
        </is>
      </c>
      <c r="D188" s="8" t="inlineStr">
        <is>
          <t>AI Developer Experience &amp; Reuse Assets</t>
        </is>
      </c>
      <c r="E188" s="8" t="inlineStr">
        <is>
          <t>Able to make the compliant path the easiest path for delivery teams.</t>
        </is>
      </c>
      <c r="F188" s="8" t="inlineStr">
        <is>
          <t>Core Platforms</t>
        </is>
      </c>
      <c r="G188" s="9" t="inlineStr">
        <is>
          <t>JUANAA@iadb.org</t>
        </is>
      </c>
      <c r="H188" s="15" t="inlineStr">
        <is>
          <t>Partial</t>
        </is>
      </c>
      <c r="I188" s="9" t="inlineStr">
        <is>
          <t>Core Platforms claims the Development platform (Terraform, CICD). Curation of AI reference implementations and templates is not named — today the AI enabler and EA produce them.</t>
        </is>
      </c>
      <c r="J188" s="9" t="inlineStr">
        <is>
          <t>Developer Platform Owner</t>
        </is>
      </c>
      <c r="K188" s="9" t="inlineStr">
        <is>
          <t>specialization</t>
        </is>
      </c>
      <c r="L188" s="9" t="inlineStr"/>
      <c r="M188" s="9" t="inlineStr">
        <is>
          <t>medium</t>
        </is>
      </c>
      <c r="N188" s="9" t="inlineStr">
        <is>
          <t>The Open Group IT4IT; The Open Group Open Agile Architecture; AWS CAF-AI</t>
        </is>
      </c>
      <c r="O188" s="9" t="inlineStr"/>
      <c r="P188" s="11" t="inlineStr"/>
      <c r="Q188" s="11" t="inlineStr"/>
      <c r="R188" s="11" t="inlineStr"/>
      <c r="S188" s="11" t="inlineStr"/>
      <c r="T188" s="11" t="inlineStr"/>
    </row>
    <row r="189" outlineLevel="1">
      <c r="A189" s="12" t="inlineStr">
        <is>
          <t>L3</t>
        </is>
      </c>
      <c r="B189" s="12" t="inlineStr">
        <is>
          <t>5.6.1</t>
        </is>
      </c>
      <c r="C189" s="12" t="inlineStr">
        <is>
          <t>D5</t>
        </is>
      </c>
      <c r="D189" s="13" t="inlineStr">
        <is>
          <t>Reference Implementation &amp; Template Provision</t>
        </is>
      </c>
      <c r="E189" s="12" t="inlineStr">
        <is>
          <t>Publish working templates that already embed required controls.</t>
        </is>
      </c>
      <c r="F189" s="12" t="inlineStr"/>
      <c r="G189" s="12" t="inlineStr"/>
      <c r="H189" s="12" t="inlineStr"/>
      <c r="I189" s="12" t="inlineStr"/>
      <c r="J189" s="12" t="inlineStr"/>
      <c r="K189" s="12" t="inlineStr"/>
      <c r="L189" s="12" t="inlineStr"/>
      <c r="M189" s="12" t="inlineStr"/>
      <c r="N189" s="12" t="inlineStr"/>
      <c r="O189" s="12" t="inlineStr"/>
      <c r="P189" s="11" t="inlineStr"/>
      <c r="Q189" s="11" t="inlineStr"/>
      <c r="R189" s="12" t="inlineStr"/>
      <c r="S189" s="12" t="inlineStr"/>
      <c r="T189" s="11" t="inlineStr"/>
    </row>
    <row r="190" outlineLevel="1">
      <c r="A190" s="12" t="inlineStr">
        <is>
          <t>L3</t>
        </is>
      </c>
      <c r="B190" s="12" t="inlineStr">
        <is>
          <t>5.6.2</t>
        </is>
      </c>
      <c r="C190" s="12" t="inlineStr">
        <is>
          <t>D5</t>
        </is>
      </c>
      <c r="D190" s="13" t="inlineStr">
        <is>
          <t>SDK, Library &amp; Component Curation</t>
        </is>
      </c>
      <c r="E190" s="12" t="inlineStr">
        <is>
          <t>Curate the approved libraries and shared components teams should build on.</t>
        </is>
      </c>
      <c r="F190" s="12" t="inlineStr"/>
      <c r="G190" s="12" t="inlineStr"/>
      <c r="H190" s="12" t="inlineStr"/>
      <c r="I190" s="12" t="inlineStr"/>
      <c r="J190" s="12" t="inlineStr"/>
      <c r="K190" s="12" t="inlineStr"/>
      <c r="L190" s="12" t="inlineStr"/>
      <c r="M190" s="12" t="inlineStr"/>
      <c r="N190" s="12" t="inlineStr"/>
      <c r="O190" s="12" t="inlineStr"/>
      <c r="P190" s="11" t="inlineStr"/>
      <c r="Q190" s="11" t="inlineStr"/>
      <c r="R190" s="12" t="inlineStr"/>
      <c r="S190" s="12" t="inlineStr"/>
      <c r="T190" s="11" t="inlineStr"/>
    </row>
    <row r="191" outlineLevel="1">
      <c r="A191" s="12" t="inlineStr">
        <is>
          <t>L3</t>
        </is>
      </c>
      <c r="B191" s="12" t="inlineStr">
        <is>
          <t>5.6.3</t>
        </is>
      </c>
      <c r="C191" s="12" t="inlineStr">
        <is>
          <t>D5</t>
        </is>
      </c>
      <c r="D191" s="13" t="inlineStr">
        <is>
          <t>Self-Service Onboarding</t>
        </is>
      </c>
      <c r="E191" s="12" t="inlineStr">
        <is>
          <t>Let a team start correctly without a bespoke engagement.</t>
        </is>
      </c>
      <c r="F191" s="12" t="inlineStr"/>
      <c r="G191" s="12" t="inlineStr"/>
      <c r="H191" s="12" t="inlineStr"/>
      <c r="I191" s="12" t="inlineStr"/>
      <c r="J191" s="12" t="inlineStr"/>
      <c r="K191" s="12" t="inlineStr"/>
      <c r="L191" s="12" t="inlineStr"/>
      <c r="M191" s="12" t="inlineStr"/>
      <c r="N191" s="12" t="inlineStr"/>
      <c r="O191" s="12" t="inlineStr"/>
      <c r="P191" s="11" t="inlineStr"/>
      <c r="Q191" s="11" t="inlineStr"/>
      <c r="R191" s="12" t="inlineStr"/>
      <c r="S191" s="12" t="inlineStr"/>
      <c r="T191" s="11" t="inlineStr"/>
    </row>
    <row r="192" outlineLevel="1">
      <c r="A192" s="12" t="inlineStr">
        <is>
          <t>L3</t>
        </is>
      </c>
      <c r="B192" s="12" t="inlineStr">
        <is>
          <t>5.6.4</t>
        </is>
      </c>
      <c r="C192" s="12" t="inlineStr">
        <is>
          <t>D5</t>
        </is>
      </c>
      <c r="D192" s="13" t="inlineStr">
        <is>
          <t>Inner-Source &amp; Asset Reuse</t>
        </is>
      </c>
      <c r="E192" s="12" t="inlineStr">
        <is>
          <t>Make internally built assets discoverable and reusable across the institution.</t>
        </is>
      </c>
      <c r="F192" s="12" t="inlineStr"/>
      <c r="G192" s="12" t="inlineStr"/>
      <c r="H192" s="12" t="inlineStr"/>
      <c r="I192" s="12" t="inlineStr"/>
      <c r="J192" s="12" t="inlineStr"/>
      <c r="K192" s="12" t="inlineStr"/>
      <c r="L192" s="12" t="inlineStr"/>
      <c r="M192" s="12" t="inlineStr"/>
      <c r="N192" s="12" t="inlineStr"/>
      <c r="O192" s="12" t="inlineStr"/>
      <c r="P192" s="11" t="inlineStr"/>
      <c r="Q192" s="11" t="inlineStr"/>
      <c r="R192" s="12" t="inlineStr"/>
      <c r="S192" s="12" t="inlineStr"/>
      <c r="T192" s="11" t="inlineStr"/>
    </row>
    <row r="193" outlineLevel="1">
      <c r="A193" s="12" t="inlineStr">
        <is>
          <t>L3</t>
        </is>
      </c>
      <c r="B193" s="12" t="inlineStr">
        <is>
          <t>5.6.5</t>
        </is>
      </c>
      <c r="C193" s="12" t="inlineStr">
        <is>
          <t>D5</t>
        </is>
      </c>
      <c r="D193" s="13" t="inlineStr">
        <is>
          <t>Developer Documentation &amp; Support</t>
        </is>
      </c>
      <c r="E193" s="12" t="inlineStr">
        <is>
          <t>Document the platform to the standard its users actually need.</t>
        </is>
      </c>
      <c r="F193" s="12" t="inlineStr"/>
      <c r="G193" s="12" t="inlineStr"/>
      <c r="H193" s="12" t="inlineStr"/>
      <c r="I193" s="12" t="inlineStr"/>
      <c r="J193" s="12" t="inlineStr"/>
      <c r="K193" s="12" t="inlineStr"/>
      <c r="L193" s="12" t="inlineStr"/>
      <c r="M193" s="12" t="inlineStr"/>
      <c r="N193" s="12" t="inlineStr"/>
      <c r="O193" s="12" t="inlineStr"/>
      <c r="P193" s="11" t="inlineStr"/>
      <c r="Q193" s="11" t="inlineStr"/>
      <c r="R193" s="12" t="inlineStr"/>
      <c r="S193" s="12" t="inlineStr"/>
      <c r="T193" s="11" t="inlineStr"/>
    </row>
    <row r="194">
      <c r="A194" s="7" t="inlineStr">
        <is>
          <t>Domain</t>
        </is>
      </c>
      <c r="B194" s="7" t="inlineStr">
        <is>
          <t>D6</t>
        </is>
      </c>
      <c r="C194" s="7" t="inlineStr">
        <is>
          <t>D6</t>
        </is>
      </c>
      <c r="D194" s="7" t="inlineStr">
        <is>
          <t>AI Operations &amp; Reliability</t>
        </is>
      </c>
      <c r="E194" s="7" t="inlineStr">
        <is>
          <t>Able to run AI in production dependably, observably and affordably.</t>
        </is>
      </c>
      <c r="F194" s="7" t="n"/>
      <c r="G194" s="7" t="n"/>
      <c r="H194" s="7" t="n"/>
      <c r="I194" s="7" t="n"/>
      <c r="J194" s="7" t="n"/>
      <c r="K194" s="7" t="n"/>
      <c r="L194" s="7" t="n"/>
      <c r="M194" s="7" t="n"/>
      <c r="N194" s="7" t="n"/>
      <c r="O194" s="7" t="n"/>
      <c r="P194" s="7" t="n"/>
      <c r="Q194" s="7" t="n"/>
      <c r="R194" s="7" t="n"/>
      <c r="S194" s="7" t="n"/>
      <c r="T194" s="7" t="inlineStr"/>
    </row>
    <row r="195">
      <c r="A195" s="8" t="inlineStr">
        <is>
          <t>L2</t>
        </is>
      </c>
      <c r="B195" s="8" t="inlineStr">
        <is>
          <t>6.1</t>
        </is>
      </c>
      <c r="C195" s="8" t="inlineStr">
        <is>
          <t>D6</t>
        </is>
      </c>
      <c r="D195" s="8" t="inlineStr">
        <is>
          <t>AI Deployment &amp; Serving Operations</t>
        </is>
      </c>
      <c r="E195" s="8" t="inlineStr">
        <is>
          <t>Able to place AI systems into production and keep them serving.</t>
        </is>
      </c>
      <c r="F195" s="8" t="inlineStr">
        <is>
          <t>Artificial Intelligence</t>
        </is>
      </c>
      <c r="G195" s="9" t="inlineStr">
        <is>
          <t>JAIRORI@IADB.ORG</t>
        </is>
      </c>
      <c r="H195" s="10" t="inlineStr">
        <is>
          <t>Direct</t>
        </is>
      </c>
      <c r="I195" s="9" t="inlineStr">
        <is>
          <t>AI enabler claims Ops &amp; Lifecycle Management in production.</t>
        </is>
      </c>
      <c r="J195" s="9" t="inlineStr">
        <is>
          <t>AI Operations Owner</t>
        </is>
      </c>
      <c r="K195" s="9" t="inlineStr">
        <is>
          <t>specialization</t>
        </is>
      </c>
      <c r="L195" s="9" t="inlineStr"/>
      <c r="M195" s="9" t="inlineStr">
        <is>
          <t>medium</t>
        </is>
      </c>
      <c r="N195" s="9" t="inlineStr">
        <is>
          <t>IBM Generative AI Capability Model; ITIL 4; ISO/IEC 5338</t>
        </is>
      </c>
      <c r="O195" s="9" t="inlineStr"/>
      <c r="P195" s="11" t="inlineStr"/>
      <c r="Q195" s="11" t="inlineStr"/>
      <c r="R195" s="11" t="inlineStr"/>
      <c r="S195" s="11" t="inlineStr"/>
      <c r="T195" s="11" t="inlineStr"/>
    </row>
    <row r="196" outlineLevel="1">
      <c r="A196" s="12" t="inlineStr">
        <is>
          <t>L3</t>
        </is>
      </c>
      <c r="B196" s="12" t="inlineStr">
        <is>
          <t>6.1.1</t>
        </is>
      </c>
      <c r="C196" s="12" t="inlineStr">
        <is>
          <t>D6</t>
        </is>
      </c>
      <c r="D196" s="13" t="inlineStr">
        <is>
          <t>Model &amp; Agent Deployment</t>
        </is>
      </c>
      <c r="E196" s="12" t="inlineStr">
        <is>
          <t>Deploy models and agents into production through a controlled mechanism.</t>
        </is>
      </c>
      <c r="F196" s="12" t="inlineStr"/>
      <c r="G196" s="12" t="inlineStr"/>
      <c r="H196" s="12" t="inlineStr"/>
      <c r="I196" s="12" t="inlineStr"/>
      <c r="J196" s="12" t="inlineStr"/>
      <c r="K196" s="12" t="inlineStr"/>
      <c r="L196" s="12" t="inlineStr">
        <is>
          <t>Y</t>
        </is>
      </c>
      <c r="M196" s="12" t="inlineStr"/>
      <c r="N196" s="12" t="inlineStr"/>
      <c r="O196" s="12" t="inlineStr"/>
      <c r="P196" s="11" t="inlineStr"/>
      <c r="Q196" s="11" t="inlineStr"/>
      <c r="R196" s="12" t="inlineStr"/>
      <c r="S196" s="12" t="inlineStr"/>
      <c r="T196" s="11" t="inlineStr"/>
    </row>
    <row r="197" outlineLevel="1">
      <c r="A197" s="12" t="inlineStr">
        <is>
          <t>L3</t>
        </is>
      </c>
      <c r="B197" s="12" t="inlineStr">
        <is>
          <t>6.1.2</t>
        </is>
      </c>
      <c r="C197" s="12" t="inlineStr">
        <is>
          <t>D6</t>
        </is>
      </c>
      <c r="D197" s="13" t="inlineStr">
        <is>
          <t>Inference Serving &amp; Scaling</t>
        </is>
      </c>
      <c r="E197" s="12" t="inlineStr">
        <is>
          <t>Serve inference at required throughput and scale it with demand.</t>
        </is>
      </c>
      <c r="F197" s="12" t="inlineStr"/>
      <c r="G197" s="12" t="inlineStr"/>
      <c r="H197" s="12" t="inlineStr"/>
      <c r="I197" s="12" t="inlineStr"/>
      <c r="J197" s="12" t="inlineStr"/>
      <c r="K197" s="12" t="inlineStr"/>
      <c r="L197" s="12" t="inlineStr"/>
      <c r="M197" s="12" t="inlineStr"/>
      <c r="N197" s="12" t="inlineStr"/>
      <c r="O197" s="12" t="inlineStr"/>
      <c r="P197" s="11" t="inlineStr"/>
      <c r="Q197" s="11" t="inlineStr"/>
      <c r="R197" s="12" t="inlineStr"/>
      <c r="S197" s="12" t="inlineStr"/>
      <c r="T197" s="11" t="inlineStr"/>
    </row>
    <row r="198" outlineLevel="1">
      <c r="A198" s="12" t="inlineStr">
        <is>
          <t>L3</t>
        </is>
      </c>
      <c r="B198" s="12" t="inlineStr">
        <is>
          <t>6.1.3</t>
        </is>
      </c>
      <c r="C198" s="12" t="inlineStr">
        <is>
          <t>D6</t>
        </is>
      </c>
      <c r="D198" s="13" t="inlineStr">
        <is>
          <t>Configuration &amp; Feature Flag Control</t>
        </is>
      </c>
      <c r="E198" s="12" t="inlineStr">
        <is>
          <t>Change runtime behavior safely without redeployment.</t>
        </is>
      </c>
      <c r="F198" s="12" t="inlineStr"/>
      <c r="G198" s="12" t="inlineStr"/>
      <c r="H198" s="12" t="inlineStr"/>
      <c r="I198" s="12" t="inlineStr"/>
      <c r="J198" s="12" t="inlineStr"/>
      <c r="K198" s="12" t="inlineStr"/>
      <c r="L198" s="12" t="inlineStr"/>
      <c r="M198" s="12" t="inlineStr"/>
      <c r="N198" s="12" t="inlineStr"/>
      <c r="O198" s="12" t="inlineStr"/>
      <c r="P198" s="11" t="inlineStr"/>
      <c r="Q198" s="11" t="inlineStr"/>
      <c r="R198" s="12" t="inlineStr"/>
      <c r="S198" s="12" t="inlineStr"/>
      <c r="T198" s="11" t="inlineStr"/>
    </row>
    <row r="199" outlineLevel="1">
      <c r="A199" s="12" t="inlineStr">
        <is>
          <t>L3</t>
        </is>
      </c>
      <c r="B199" s="12" t="inlineStr">
        <is>
          <t>6.1.4</t>
        </is>
      </c>
      <c r="C199" s="12" t="inlineStr">
        <is>
          <t>D6</t>
        </is>
      </c>
      <c r="D199" s="13" t="inlineStr">
        <is>
          <t>System Availability &amp; Continuity Management</t>
        </is>
      </c>
      <c r="E199" s="12" t="inlineStr">
        <is>
          <t>Meet availability and continuity commitments for individual AI systems in production.</t>
        </is>
      </c>
      <c r="F199" s="12" t="inlineStr"/>
      <c r="G199" s="12" t="inlineStr"/>
      <c r="H199" s="12" t="inlineStr"/>
      <c r="I199" s="12" t="inlineStr"/>
      <c r="J199" s="12" t="inlineStr"/>
      <c r="K199" s="12" t="inlineStr"/>
      <c r="L199" s="12" t="inlineStr"/>
      <c r="M199" s="12" t="inlineStr"/>
      <c r="N199" s="12" t="inlineStr"/>
      <c r="O199" s="12" t="inlineStr"/>
      <c r="P199" s="11" t="inlineStr"/>
      <c r="Q199" s="11" t="inlineStr"/>
      <c r="R199" s="12" t="inlineStr"/>
      <c r="S199" s="12" t="inlineStr"/>
      <c r="T199" s="11" t="inlineStr"/>
    </row>
    <row r="200" outlineLevel="1">
      <c r="A200" s="12" t="inlineStr">
        <is>
          <t>L3</t>
        </is>
      </c>
      <c r="B200" s="12" t="inlineStr">
        <is>
          <t>6.1.5</t>
        </is>
      </c>
      <c r="C200" s="12" t="inlineStr">
        <is>
          <t>D6</t>
        </is>
      </c>
      <c r="D200" s="13" t="inlineStr">
        <is>
          <t>Operational Readiness &amp; Handover</t>
        </is>
      </c>
      <c r="E200" s="12" t="inlineStr">
        <is>
          <t>Hand over to operations with documented procedures before go-live.</t>
        </is>
      </c>
      <c r="F200" s="12" t="inlineStr"/>
      <c r="G200" s="12" t="inlineStr"/>
      <c r="H200" s="12" t="inlineStr"/>
      <c r="I200" s="12" t="inlineStr"/>
      <c r="J200" s="12" t="inlineStr"/>
      <c r="K200" s="12" t="inlineStr"/>
      <c r="L200" s="12" t="inlineStr"/>
      <c r="M200" s="12" t="inlineStr"/>
      <c r="N200" s="12" t="inlineStr"/>
      <c r="O200" s="12" t="inlineStr"/>
      <c r="P200" s="11" t="inlineStr"/>
      <c r="Q200" s="11" t="inlineStr"/>
      <c r="R200" s="12" t="inlineStr"/>
      <c r="S200" s="12" t="inlineStr"/>
      <c r="T200" s="11" t="inlineStr"/>
    </row>
    <row r="201">
      <c r="A201" s="8" t="inlineStr">
        <is>
          <t>L2</t>
        </is>
      </c>
      <c r="B201" s="8" t="inlineStr">
        <is>
          <t>6.2</t>
        </is>
      </c>
      <c r="C201" s="8" t="inlineStr">
        <is>
          <t>D6</t>
        </is>
      </c>
      <c r="D201" s="8" t="inlineStr">
        <is>
          <t>AI Monitoring &amp; Observability</t>
        </is>
      </c>
      <c r="E201" s="8" t="inlineStr">
        <is>
          <t>Able to see what an AI system did, in enough detail to explain it afterwards.</t>
        </is>
      </c>
      <c r="F201" s="8" t="inlineStr">
        <is>
          <t>Cloud and Infrastructure</t>
        </is>
      </c>
      <c r="G201" s="9" t="inlineStr">
        <is>
          <t>EGDARESF@IADB.ORG</t>
        </is>
      </c>
      <c r="H201" s="15" t="inlineStr">
        <is>
          <t>Partial</t>
        </is>
      </c>
      <c r="I201" s="9" t="inlineStr">
        <is>
          <t>Cloud and Infrastructure claims observability within networking and cloud service delivery. AI-specific telemetry — traces, tool calls, agent actions — is not named.</t>
        </is>
      </c>
      <c r="J201" s="9" t="inlineStr">
        <is>
          <t>AI SRE Owner</t>
        </is>
      </c>
      <c r="K201" s="9" t="inlineStr">
        <is>
          <t>specialization</t>
        </is>
      </c>
      <c r="L201" s="9" t="inlineStr"/>
      <c r="M201" s="9" t="inlineStr">
        <is>
          <t>medium</t>
        </is>
      </c>
      <c r="N201" s="9" t="inlineStr">
        <is>
          <t>IBM Generative AI Capability Model; NVIDIA Enterprise AI Factory; NIST AI RMF - Measure</t>
        </is>
      </c>
      <c r="O201" s="9" t="inlineStr"/>
      <c r="P201" s="11" t="inlineStr"/>
      <c r="Q201" s="11" t="inlineStr"/>
      <c r="R201" s="11" t="inlineStr"/>
      <c r="S201" s="11" t="inlineStr"/>
      <c r="T201" s="11" t="inlineStr"/>
    </row>
    <row r="202" outlineLevel="1">
      <c r="A202" s="12" t="inlineStr">
        <is>
          <t>L3</t>
        </is>
      </c>
      <c r="B202" s="12" t="inlineStr">
        <is>
          <t>6.2.1</t>
        </is>
      </c>
      <c r="C202" s="12" t="inlineStr">
        <is>
          <t>D6</t>
        </is>
      </c>
      <c r="D202" s="13" t="inlineStr">
        <is>
          <t>Telemetry Instrumentation &amp; Collection</t>
        </is>
      </c>
      <c r="E202" s="12" t="inlineStr">
        <is>
          <t>Instrument AI systems to emit the signals operations and assurance need.</t>
        </is>
      </c>
      <c r="F202" s="12" t="inlineStr"/>
      <c r="G202" s="12" t="inlineStr"/>
      <c r="H202" s="12" t="inlineStr"/>
      <c r="I202" s="12" t="inlineStr"/>
      <c r="J202" s="12" t="inlineStr"/>
      <c r="K202" s="12" t="inlineStr"/>
      <c r="L202" s="12" t="inlineStr"/>
      <c r="M202" s="12" t="inlineStr"/>
      <c r="N202" s="12" t="inlineStr"/>
      <c r="O202" s="12" t="inlineStr"/>
      <c r="P202" s="11" t="inlineStr"/>
      <c r="Q202" s="11" t="inlineStr"/>
      <c r="R202" s="12" t="inlineStr"/>
      <c r="S202" s="12" t="inlineStr"/>
      <c r="T202" s="11" t="inlineStr"/>
    </row>
    <row r="203" outlineLevel="1">
      <c r="A203" s="12" t="inlineStr">
        <is>
          <t>L3</t>
        </is>
      </c>
      <c r="B203" s="12" t="inlineStr">
        <is>
          <t>6.2.2</t>
        </is>
      </c>
      <c r="C203" s="12" t="inlineStr">
        <is>
          <t>D6</t>
        </is>
      </c>
      <c r="D203" s="13" t="inlineStr">
        <is>
          <t>Trace &amp; Interaction Logging</t>
        </is>
      </c>
      <c r="E203" s="12" t="inlineStr">
        <is>
          <t>Record prompts, context, outputs and decisions to a defined retention standard.</t>
        </is>
      </c>
      <c r="F203" s="12" t="inlineStr"/>
      <c r="G203" s="12" t="inlineStr"/>
      <c r="H203" s="12" t="inlineStr"/>
      <c r="I203" s="12" t="inlineStr"/>
      <c r="J203" s="12" t="inlineStr"/>
      <c r="K203" s="12" t="inlineStr"/>
      <c r="L203" s="12" t="inlineStr">
        <is>
          <t>Y</t>
        </is>
      </c>
      <c r="M203" s="12" t="inlineStr"/>
      <c r="N203" s="12" t="inlineStr"/>
      <c r="O203" s="12" t="inlineStr"/>
      <c r="P203" s="11" t="inlineStr"/>
      <c r="Q203" s="11" t="inlineStr"/>
      <c r="R203" s="12" t="inlineStr"/>
      <c r="S203" s="12" t="inlineStr"/>
      <c r="T203" s="11" t="inlineStr"/>
    </row>
    <row r="204" outlineLevel="1">
      <c r="A204" s="12" t="inlineStr">
        <is>
          <t>L3</t>
        </is>
      </c>
      <c r="B204" s="12" t="inlineStr">
        <is>
          <t>6.2.3</t>
        </is>
      </c>
      <c r="C204" s="12" t="inlineStr">
        <is>
          <t>D6</t>
        </is>
      </c>
      <c r="D204" s="13" t="inlineStr">
        <is>
          <t>Agent Action &amp; Tool-Call Observability</t>
        </is>
      </c>
      <c r="E204" s="12" t="inlineStr">
        <is>
          <t>See every action an agent took, with what arguments and to what effect.</t>
        </is>
      </c>
      <c r="F204" s="12" t="inlineStr"/>
      <c r="G204" s="12" t="inlineStr"/>
      <c r="H204" s="12" t="inlineStr"/>
      <c r="I204" s="12" t="inlineStr"/>
      <c r="J204" s="12" t="inlineStr"/>
      <c r="K204" s="12" t="inlineStr"/>
      <c r="L204" s="12" t="inlineStr">
        <is>
          <t>Y</t>
        </is>
      </c>
      <c r="M204" s="12" t="inlineStr"/>
      <c r="N204" s="12" t="inlineStr"/>
      <c r="O204" s="12" t="inlineStr"/>
      <c r="P204" s="11" t="inlineStr"/>
      <c r="Q204" s="11" t="inlineStr"/>
      <c r="R204" s="12" t="inlineStr"/>
      <c r="S204" s="12" t="inlineStr"/>
      <c r="T204" s="11" t="inlineStr"/>
    </row>
    <row r="205" outlineLevel="1">
      <c r="A205" s="12" t="inlineStr">
        <is>
          <t>L3</t>
        </is>
      </c>
      <c r="B205" s="12" t="inlineStr">
        <is>
          <t>6.2.4</t>
        </is>
      </c>
      <c r="C205" s="12" t="inlineStr">
        <is>
          <t>D6</t>
        </is>
      </c>
      <c r="D205" s="13" t="inlineStr">
        <is>
          <t>Alerting &amp; Threshold Management</t>
        </is>
      </c>
      <c r="E205" s="12" t="inlineStr">
        <is>
          <t>Detect abnormal behavior and raise it to someone who can act.</t>
        </is>
      </c>
      <c r="F205" s="12" t="inlineStr"/>
      <c r="G205" s="12" t="inlineStr"/>
      <c r="H205" s="12" t="inlineStr"/>
      <c r="I205" s="12" t="inlineStr"/>
      <c r="J205" s="12" t="inlineStr"/>
      <c r="K205" s="12" t="inlineStr"/>
      <c r="L205" s="12" t="inlineStr"/>
      <c r="M205" s="12" t="inlineStr"/>
      <c r="N205" s="12" t="inlineStr"/>
      <c r="O205" s="12" t="inlineStr"/>
      <c r="P205" s="11" t="inlineStr"/>
      <c r="Q205" s="11" t="inlineStr"/>
      <c r="R205" s="12" t="inlineStr"/>
      <c r="S205" s="12" t="inlineStr"/>
      <c r="T205" s="11" t="inlineStr"/>
    </row>
    <row r="206" outlineLevel="1">
      <c r="A206" s="12" t="inlineStr">
        <is>
          <t>L3</t>
        </is>
      </c>
      <c r="B206" s="12" t="inlineStr">
        <is>
          <t>6.2.5</t>
        </is>
      </c>
      <c r="C206" s="12" t="inlineStr">
        <is>
          <t>D6</t>
        </is>
      </c>
      <c r="D206" s="13" t="inlineStr">
        <is>
          <t>Operational Dashboarding</t>
        </is>
      </c>
      <c r="E206" s="12" t="inlineStr">
        <is>
          <t>Present operational state to the people accountable for it.</t>
        </is>
      </c>
      <c r="F206" s="12" t="inlineStr"/>
      <c r="G206" s="12" t="inlineStr"/>
      <c r="H206" s="12" t="inlineStr"/>
      <c r="I206" s="12" t="inlineStr"/>
      <c r="J206" s="12" t="inlineStr"/>
      <c r="K206" s="12" t="inlineStr"/>
      <c r="L206" s="12" t="inlineStr"/>
      <c r="M206" s="12" t="inlineStr"/>
      <c r="N206" s="12" t="inlineStr"/>
      <c r="O206" s="12" t="inlineStr"/>
      <c r="P206" s="11" t="inlineStr"/>
      <c r="Q206" s="11" t="inlineStr"/>
      <c r="R206" s="12" t="inlineStr"/>
      <c r="S206" s="12" t="inlineStr"/>
      <c r="T206" s="11" t="inlineStr"/>
    </row>
    <row r="207">
      <c r="A207" s="8" t="inlineStr">
        <is>
          <t>L2</t>
        </is>
      </c>
      <c r="B207" s="8" t="inlineStr">
        <is>
          <t>6.3</t>
        </is>
      </c>
      <c r="C207" s="8" t="inlineStr">
        <is>
          <t>D6</t>
        </is>
      </c>
      <c r="D207" s="8" t="inlineStr">
        <is>
          <t>Continuous Evaluation, Drift &amp; Quality Management</t>
        </is>
      </c>
      <c r="E207" s="8" t="inlineStr">
        <is>
          <t>Able to know that a system still performs as it did at release.</t>
        </is>
      </c>
      <c r="F207" s="16" t="inlineStr">
        <is>
          <t>— none in the catalogue —</t>
        </is>
      </c>
      <c r="G207" s="9" t="inlineStr"/>
      <c r="H207" s="17" t="inlineStr">
        <is>
          <t>NO MATCH</t>
        </is>
      </c>
      <c r="I207" s="9" t="inlineStr">
        <is>
          <t>Nobody claims drift detection or continuous quality management. Related to 4.6: the Bank has no named owner for whether an AI system still works after release.</t>
        </is>
      </c>
      <c r="J207" s="9" t="inlineStr">
        <is>
          <t>AI Product Operations Owner</t>
        </is>
      </c>
      <c r="K207" s="9" t="inlineStr">
        <is>
          <t>new</t>
        </is>
      </c>
      <c r="L207" s="9" t="inlineStr"/>
      <c r="M207" s="9" t="inlineStr">
        <is>
          <t>medium</t>
        </is>
      </c>
      <c r="N207" s="9" t="inlineStr">
        <is>
          <t>NIST AI RMF - Measure; ISO/IEC 5338</t>
        </is>
      </c>
      <c r="O207" s="9" t="inlineStr"/>
      <c r="P207" s="11" t="inlineStr"/>
      <c r="Q207" s="11" t="inlineStr"/>
      <c r="R207" s="11" t="inlineStr"/>
      <c r="S207" s="11" t="inlineStr"/>
      <c r="T207" s="11" t="inlineStr"/>
    </row>
    <row r="208" outlineLevel="1">
      <c r="A208" s="12" t="inlineStr">
        <is>
          <t>L3</t>
        </is>
      </c>
      <c r="B208" s="12" t="inlineStr">
        <is>
          <t>6.3.1</t>
        </is>
      </c>
      <c r="C208" s="12" t="inlineStr">
        <is>
          <t>D6</t>
        </is>
      </c>
      <c r="D208" s="13" t="inlineStr">
        <is>
          <t>Production Output Quality Monitoring</t>
        </is>
      </c>
      <c r="E208" s="12" t="inlineStr">
        <is>
          <t>Measure output quality on live traffic, not only on test sets.</t>
        </is>
      </c>
      <c r="F208" s="12" t="inlineStr"/>
      <c r="G208" s="12" t="inlineStr"/>
      <c r="H208" s="12" t="inlineStr"/>
      <c r="I208" s="12" t="inlineStr"/>
      <c r="J208" s="12" t="inlineStr"/>
      <c r="K208" s="12" t="inlineStr"/>
      <c r="L208" s="12" t="inlineStr"/>
      <c r="M208" s="12" t="inlineStr"/>
      <c r="N208" s="12" t="inlineStr"/>
      <c r="O208" s="12" t="inlineStr"/>
      <c r="P208" s="11" t="inlineStr"/>
      <c r="Q208" s="11" t="inlineStr"/>
      <c r="R208" s="12" t="inlineStr"/>
      <c r="S208" s="12" t="inlineStr"/>
      <c r="T208" s="11" t="inlineStr"/>
    </row>
    <row r="209" outlineLevel="1">
      <c r="A209" s="12" t="inlineStr">
        <is>
          <t>L3</t>
        </is>
      </c>
      <c r="B209" s="12" t="inlineStr">
        <is>
          <t>6.3.2</t>
        </is>
      </c>
      <c r="C209" s="12" t="inlineStr">
        <is>
          <t>D6</t>
        </is>
      </c>
      <c r="D209" s="13" t="inlineStr">
        <is>
          <t>Data &amp; Concept Drift Detection</t>
        </is>
      </c>
      <c r="E209" s="12" t="inlineStr">
        <is>
          <t>Detect when inputs or the world have moved away from training conditions.</t>
        </is>
      </c>
      <c r="F209" s="12" t="inlineStr"/>
      <c r="G209" s="12" t="inlineStr"/>
      <c r="H209" s="12" t="inlineStr"/>
      <c r="I209" s="12" t="inlineStr"/>
      <c r="J209" s="12" t="inlineStr"/>
      <c r="K209" s="12" t="inlineStr"/>
      <c r="L209" s="12" t="inlineStr"/>
      <c r="M209" s="12" t="inlineStr"/>
      <c r="N209" s="12" t="inlineStr"/>
      <c r="O209" s="12" t="inlineStr"/>
      <c r="P209" s="11" t="inlineStr"/>
      <c r="Q209" s="11" t="inlineStr"/>
      <c r="R209" s="12" t="inlineStr"/>
      <c r="S209" s="12" t="inlineStr"/>
      <c r="T209" s="11" t="inlineStr"/>
    </row>
    <row r="210" outlineLevel="1">
      <c r="A210" s="12" t="inlineStr">
        <is>
          <t>L3</t>
        </is>
      </c>
      <c r="B210" s="12" t="inlineStr">
        <is>
          <t>6.3.3</t>
        </is>
      </c>
      <c r="C210" s="12" t="inlineStr">
        <is>
          <t>D6</t>
        </is>
      </c>
      <c r="D210" s="13" t="inlineStr">
        <is>
          <t>Bias &amp; Fairness Monitoring in Production</t>
        </is>
      </c>
      <c r="E210" s="12" t="inlineStr">
        <is>
          <t>Monitor outcome disparities on live populations over time.</t>
        </is>
      </c>
      <c r="F210" s="12" t="inlineStr"/>
      <c r="G210" s="12" t="inlineStr"/>
      <c r="H210" s="12" t="inlineStr"/>
      <c r="I210" s="12" t="inlineStr"/>
      <c r="J210" s="12" t="inlineStr"/>
      <c r="K210" s="12" t="inlineStr"/>
      <c r="L210" s="12" t="inlineStr"/>
      <c r="M210" s="12" t="inlineStr"/>
      <c r="N210" s="12" t="inlineStr"/>
      <c r="O210" s="12" t="inlineStr"/>
      <c r="P210" s="11" t="inlineStr"/>
      <c r="Q210" s="11" t="inlineStr"/>
      <c r="R210" s="12" t="inlineStr"/>
      <c r="S210" s="12" t="inlineStr"/>
      <c r="T210" s="11" t="inlineStr"/>
    </row>
    <row r="211" outlineLevel="1">
      <c r="A211" s="12" t="inlineStr">
        <is>
          <t>L3</t>
        </is>
      </c>
      <c r="B211" s="12" t="inlineStr">
        <is>
          <t>6.3.4</t>
        </is>
      </c>
      <c r="C211" s="12" t="inlineStr">
        <is>
          <t>D6</t>
        </is>
      </c>
      <c r="D211" s="13" t="inlineStr">
        <is>
          <t>Feedback Capture &amp; Ground-Truth Collection</t>
        </is>
      </c>
      <c r="E211" s="12" t="inlineStr">
        <is>
          <t>Capture corrections and outcomes to build evolving ground truth.</t>
        </is>
      </c>
      <c r="F211" s="12" t="inlineStr"/>
      <c r="G211" s="12" t="inlineStr"/>
      <c r="H211" s="12" t="inlineStr"/>
      <c r="I211" s="12" t="inlineStr"/>
      <c r="J211" s="12" t="inlineStr"/>
      <c r="K211" s="12" t="inlineStr"/>
      <c r="L211" s="12" t="inlineStr"/>
      <c r="M211" s="12" t="inlineStr"/>
      <c r="N211" s="12" t="inlineStr"/>
      <c r="O211" s="12" t="inlineStr"/>
      <c r="P211" s="11" t="inlineStr"/>
      <c r="Q211" s="11" t="inlineStr"/>
      <c r="R211" s="12" t="inlineStr"/>
      <c r="S211" s="12" t="inlineStr"/>
      <c r="T211" s="11" t="inlineStr"/>
    </row>
    <row r="212" outlineLevel="1">
      <c r="A212" s="12" t="inlineStr">
        <is>
          <t>L3</t>
        </is>
      </c>
      <c r="B212" s="12" t="inlineStr">
        <is>
          <t>6.3.5</t>
        </is>
      </c>
      <c r="C212" s="12" t="inlineStr">
        <is>
          <t>D6</t>
        </is>
      </c>
      <c r="D212" s="13" t="inlineStr">
        <is>
          <t>Retraining &amp; Refresh Triggering</t>
        </is>
      </c>
      <c r="E212" s="12" t="inlineStr">
        <is>
          <t>Trigger retraining or refresh on defined conditions rather than on schedule alone.</t>
        </is>
      </c>
      <c r="F212" s="12" t="inlineStr"/>
      <c r="G212" s="12" t="inlineStr"/>
      <c r="H212" s="12" t="inlineStr"/>
      <c r="I212" s="12" t="inlineStr"/>
      <c r="J212" s="12" t="inlineStr"/>
      <c r="K212" s="12" t="inlineStr"/>
      <c r="L212" s="12" t="inlineStr"/>
      <c r="M212" s="12" t="inlineStr"/>
      <c r="N212" s="12" t="inlineStr"/>
      <c r="O212" s="12" t="inlineStr"/>
      <c r="P212" s="11" t="inlineStr"/>
      <c r="Q212" s="11" t="inlineStr"/>
      <c r="R212" s="12" t="inlineStr"/>
      <c r="S212" s="12" t="inlineStr"/>
      <c r="T212" s="11" t="inlineStr"/>
    </row>
    <row r="213">
      <c r="A213" s="8" t="inlineStr">
        <is>
          <t>L2</t>
        </is>
      </c>
      <c r="B213" s="8" t="inlineStr">
        <is>
          <t>6.4</t>
        </is>
      </c>
      <c r="C213" s="8" t="inlineStr">
        <is>
          <t>D6</t>
        </is>
      </c>
      <c r="D213" s="8" t="inlineStr">
        <is>
          <t>AI Incident &amp; Problem Management</t>
        </is>
      </c>
      <c r="E213" s="8" t="inlineStr">
        <is>
          <t>Able to stop AI harm quickly and account for it afterwards.</t>
        </is>
      </c>
      <c r="F213" s="8" t="inlineStr">
        <is>
          <t>Service Delivery</t>
        </is>
      </c>
      <c r="G213" s="9" t="inlineStr">
        <is>
          <t>PAULOV@iadb.org</t>
        </is>
      </c>
      <c r="H213" s="15" t="inlineStr">
        <is>
          <t>Partial</t>
        </is>
      </c>
      <c r="I213" s="9" t="inlineStr">
        <is>
          <t>Service Delivery claims the Service Desk as first point of contact. AI-specific incident handling, and the question of who triages a model or agent failure, is not covered.</t>
        </is>
      </c>
      <c r="J213" s="9" t="inlineStr">
        <is>
          <t>Service Operations Owner</t>
        </is>
      </c>
      <c r="K213" s="9" t="inlineStr">
        <is>
          <t>lens</t>
        </is>
      </c>
      <c r="L213" s="9" t="inlineStr"/>
      <c r="M213" s="9" t="inlineStr">
        <is>
          <t>high</t>
        </is>
      </c>
      <c r="N213" s="9" t="inlineStr">
        <is>
          <t>ISO/IEC 42001; NIST AI RMF - Manage; ITIL 4</t>
        </is>
      </c>
      <c r="O213" s="9" t="inlineStr"/>
      <c r="P213" s="11" t="inlineStr"/>
      <c r="Q213" s="11" t="inlineStr"/>
      <c r="R213" s="11" t="inlineStr"/>
      <c r="S213" s="11" t="inlineStr"/>
      <c r="T213" s="11" t="inlineStr"/>
    </row>
    <row r="214" outlineLevel="1">
      <c r="A214" s="12" t="inlineStr">
        <is>
          <t>L3</t>
        </is>
      </c>
      <c r="B214" s="12" t="inlineStr">
        <is>
          <t>6.4.1</t>
        </is>
      </c>
      <c r="C214" s="12" t="inlineStr">
        <is>
          <t>D6</t>
        </is>
      </c>
      <c r="D214" s="13" t="inlineStr">
        <is>
          <t>AI Incident Detection &amp; Classification</t>
        </is>
      </c>
      <c r="E214" s="12" t="inlineStr">
        <is>
          <t>Recognise an AI incident as distinct from a conventional IT incident.</t>
        </is>
      </c>
      <c r="F214" s="12" t="inlineStr"/>
      <c r="G214" s="12" t="inlineStr"/>
      <c r="H214" s="12" t="inlineStr"/>
      <c r="I214" s="12" t="inlineStr"/>
      <c r="J214" s="12" t="inlineStr"/>
      <c r="K214" s="12" t="inlineStr"/>
      <c r="L214" s="12" t="inlineStr"/>
      <c r="M214" s="12" t="inlineStr"/>
      <c r="N214" s="12" t="inlineStr"/>
      <c r="O214" s="12" t="inlineStr"/>
      <c r="P214" s="11" t="inlineStr"/>
      <c r="Q214" s="11" t="inlineStr"/>
      <c r="R214" s="12" t="inlineStr"/>
      <c r="S214" s="12" t="inlineStr"/>
      <c r="T214" s="11" t="inlineStr"/>
    </row>
    <row r="215" outlineLevel="1">
      <c r="A215" s="12" t="inlineStr">
        <is>
          <t>L3</t>
        </is>
      </c>
      <c r="B215" s="12" t="inlineStr">
        <is>
          <t>6.4.2</t>
        </is>
      </c>
      <c r="C215" s="12" t="inlineStr">
        <is>
          <t>D6</t>
        </is>
      </c>
      <c r="D215" s="13" t="inlineStr">
        <is>
          <t>Containment &amp; Kill-Switch Execution</t>
        </is>
      </c>
      <c r="E215" s="12" t="inlineStr">
        <is>
          <t>Stop a model or agent immediately, at any hour, with a tested mechanism.</t>
        </is>
      </c>
      <c r="F215" s="12" t="inlineStr"/>
      <c r="G215" s="12" t="inlineStr"/>
      <c r="H215" s="12" t="inlineStr"/>
      <c r="I215" s="12" t="inlineStr"/>
      <c r="J215" s="12" t="inlineStr"/>
      <c r="K215" s="12" t="inlineStr"/>
      <c r="L215" s="12" t="inlineStr">
        <is>
          <t>Y</t>
        </is>
      </c>
      <c r="M215" s="12" t="inlineStr"/>
      <c r="N215" s="12" t="inlineStr"/>
      <c r="O215" s="12" t="inlineStr"/>
      <c r="P215" s="11" t="inlineStr"/>
      <c r="Q215" s="11" t="inlineStr"/>
      <c r="R215" s="12" t="inlineStr"/>
      <c r="S215" s="12" t="inlineStr"/>
      <c r="T215" s="11" t="inlineStr"/>
    </row>
    <row r="216" outlineLevel="1">
      <c r="A216" s="12" t="inlineStr">
        <is>
          <t>L3</t>
        </is>
      </c>
      <c r="B216" s="12" t="inlineStr">
        <is>
          <t>6.4.3</t>
        </is>
      </c>
      <c r="C216" s="12" t="inlineStr">
        <is>
          <t>D6</t>
        </is>
      </c>
      <c r="D216" s="13" t="inlineStr">
        <is>
          <t>Root Cause Analysis</t>
        </is>
      </c>
      <c r="E216" s="12" t="inlineStr">
        <is>
          <t>Establish why an AI system behaved as it did, including at the data and prompt level.</t>
        </is>
      </c>
      <c r="F216" s="12" t="inlineStr"/>
      <c r="G216" s="12" t="inlineStr"/>
      <c r="H216" s="12" t="inlineStr"/>
      <c r="I216" s="12" t="inlineStr"/>
      <c r="J216" s="12" t="inlineStr"/>
      <c r="K216" s="12" t="inlineStr"/>
      <c r="L216" s="12" t="inlineStr"/>
      <c r="M216" s="12" t="inlineStr"/>
      <c r="N216" s="12" t="inlineStr"/>
      <c r="O216" s="12" t="inlineStr"/>
      <c r="P216" s="11" t="inlineStr"/>
      <c r="Q216" s="11" t="inlineStr"/>
      <c r="R216" s="12" t="inlineStr"/>
      <c r="S216" s="12" t="inlineStr"/>
      <c r="T216" s="11" t="inlineStr"/>
    </row>
    <row r="217" outlineLevel="1">
      <c r="A217" s="12" t="inlineStr">
        <is>
          <t>L3</t>
        </is>
      </c>
      <c r="B217" s="12" t="inlineStr">
        <is>
          <t>6.4.4</t>
        </is>
      </c>
      <c r="C217" s="12" t="inlineStr">
        <is>
          <t>D6</t>
        </is>
      </c>
      <c r="D217" s="13" t="inlineStr">
        <is>
          <t>Regulatory &amp; Stakeholder Notification</t>
        </is>
      </c>
      <c r="E217" s="12" t="inlineStr">
        <is>
          <t>Notify the parties an incident obliges the institution to notify, within the deadline.</t>
        </is>
      </c>
      <c r="F217" s="12" t="inlineStr"/>
      <c r="G217" s="12" t="inlineStr"/>
      <c r="H217" s="12" t="inlineStr"/>
      <c r="I217" s="12" t="inlineStr"/>
      <c r="J217" s="12" t="inlineStr"/>
      <c r="K217" s="12" t="inlineStr"/>
      <c r="L217" s="12" t="inlineStr"/>
      <c r="M217" s="12" t="inlineStr"/>
      <c r="N217" s="12" t="inlineStr"/>
      <c r="O217" s="12" t="inlineStr"/>
      <c r="P217" s="11" t="inlineStr"/>
      <c r="Q217" s="11" t="inlineStr"/>
      <c r="R217" s="12" t="inlineStr"/>
      <c r="S217" s="12" t="inlineStr"/>
      <c r="T217" s="11" t="inlineStr"/>
    </row>
    <row r="218" outlineLevel="1">
      <c r="A218" s="12" t="inlineStr">
        <is>
          <t>L3</t>
        </is>
      </c>
      <c r="B218" s="12" t="inlineStr">
        <is>
          <t>6.4.5</t>
        </is>
      </c>
      <c r="C218" s="12" t="inlineStr">
        <is>
          <t>D6</t>
        </is>
      </c>
      <c r="D218" s="13" t="inlineStr">
        <is>
          <t>Corrective Action &amp; Lessons Learned</t>
        </is>
      </c>
      <c r="E218" s="12" t="inlineStr">
        <is>
          <t>Close findings and feed them back into design and control.</t>
        </is>
      </c>
      <c r="F218" s="12" t="inlineStr"/>
      <c r="G218" s="12" t="inlineStr"/>
      <c r="H218" s="12" t="inlineStr"/>
      <c r="I218" s="12" t="inlineStr"/>
      <c r="J218" s="12" t="inlineStr"/>
      <c r="K218" s="12" t="inlineStr"/>
      <c r="L218" s="12" t="inlineStr"/>
      <c r="M218" s="12" t="inlineStr"/>
      <c r="N218" s="12" t="inlineStr"/>
      <c r="O218" s="12" t="inlineStr"/>
      <c r="P218" s="11" t="inlineStr"/>
      <c r="Q218" s="11" t="inlineStr"/>
      <c r="R218" s="12" t="inlineStr"/>
      <c r="S218" s="12" t="inlineStr"/>
      <c r="T218" s="11" t="inlineStr"/>
    </row>
    <row r="219">
      <c r="A219" s="8" t="inlineStr">
        <is>
          <t>L2</t>
        </is>
      </c>
      <c r="B219" s="8" t="inlineStr">
        <is>
          <t>6.5</t>
        </is>
      </c>
      <c r="C219" s="8" t="inlineStr">
        <is>
          <t>D6</t>
        </is>
      </c>
      <c r="D219" s="8" t="inlineStr">
        <is>
          <t>AI Cost Management</t>
        </is>
      </c>
      <c r="E219" s="8" t="inlineStr">
        <is>
          <t>Able to know what AI costs, per unit of value, and to control it.</t>
        </is>
      </c>
      <c r="F219" s="8" t="inlineStr">
        <is>
          <t>Cloud and Infrastructure</t>
        </is>
      </c>
      <c r="G219" s="9" t="inlineStr">
        <is>
          <t>EGDARESF@IADB.ORG</t>
        </is>
      </c>
      <c r="H219" s="10" t="inlineStr">
        <is>
          <t>Direct</t>
        </is>
      </c>
      <c r="I219" s="9" t="inlineStr">
        <is>
          <t>Cloud and Infrastructure claims Cloud Strategy and Cost Management, including financial operations integration with SaaS and cloud.</t>
        </is>
      </c>
      <c r="J219" s="9" t="inlineStr">
        <is>
          <t>FinOps Owner</t>
        </is>
      </c>
      <c r="K219" s="9" t="inlineStr">
        <is>
          <t>lens</t>
        </is>
      </c>
      <c r="L219" s="9" t="inlineStr"/>
      <c r="M219" s="9" t="inlineStr">
        <is>
          <t>high</t>
        </is>
      </c>
      <c r="N219" s="9" t="inlineStr">
        <is>
          <t>FinOps Foundation; Microsoft Cloud Adoption Framework for AI; Gartner (analyst, non-public)</t>
        </is>
      </c>
      <c r="O219" s="9" t="inlineStr"/>
      <c r="P219" s="11" t="inlineStr"/>
      <c r="Q219" s="11" t="inlineStr"/>
      <c r="R219" s="11" t="inlineStr"/>
      <c r="S219" s="11" t="inlineStr"/>
      <c r="T219" s="11" t="inlineStr"/>
    </row>
    <row r="220" outlineLevel="1">
      <c r="A220" s="12" t="inlineStr">
        <is>
          <t>L3</t>
        </is>
      </c>
      <c r="B220" s="12" t="inlineStr">
        <is>
          <t>6.5.1</t>
        </is>
      </c>
      <c r="C220" s="12" t="inlineStr">
        <is>
          <t>D6</t>
        </is>
      </c>
      <c r="D220" s="13" t="inlineStr">
        <is>
          <t>Consumption Metering &amp; Attribution</t>
        </is>
      </c>
      <c r="E220" s="12" t="inlineStr">
        <is>
          <t>Attribute token, compute and storage consumption to an owner.</t>
        </is>
      </c>
      <c r="F220" s="12" t="inlineStr"/>
      <c r="G220" s="12" t="inlineStr"/>
      <c r="H220" s="12" t="inlineStr"/>
      <c r="I220" s="12" t="inlineStr"/>
      <c r="J220" s="12" t="inlineStr"/>
      <c r="K220" s="12" t="inlineStr"/>
      <c r="L220" s="12" t="inlineStr"/>
      <c r="M220" s="12" t="inlineStr"/>
      <c r="N220" s="12" t="inlineStr"/>
      <c r="O220" s="12" t="inlineStr"/>
      <c r="P220" s="11" t="inlineStr"/>
      <c r="Q220" s="11" t="inlineStr"/>
      <c r="R220" s="12" t="inlineStr"/>
      <c r="S220" s="12" t="inlineStr"/>
      <c r="T220" s="11" t="inlineStr"/>
    </row>
    <row r="221" outlineLevel="1">
      <c r="A221" s="12" t="inlineStr">
        <is>
          <t>L3</t>
        </is>
      </c>
      <c r="B221" s="12" t="inlineStr">
        <is>
          <t>6.5.2</t>
        </is>
      </c>
      <c r="C221" s="12" t="inlineStr">
        <is>
          <t>D6</t>
        </is>
      </c>
      <c r="D221" s="13" t="inlineStr">
        <is>
          <t>Cost Forecasting &amp; Budget Control</t>
        </is>
      </c>
      <c r="E221" s="12" t="inlineStr">
        <is>
          <t>Forecast AI spend and stop it exceeding authorization.</t>
        </is>
      </c>
      <c r="F221" s="12" t="inlineStr"/>
      <c r="G221" s="12" t="inlineStr"/>
      <c r="H221" s="12" t="inlineStr"/>
      <c r="I221" s="12" t="inlineStr"/>
      <c r="J221" s="12" t="inlineStr"/>
      <c r="K221" s="12" t="inlineStr"/>
      <c r="L221" s="12" t="inlineStr"/>
      <c r="M221" s="12" t="inlineStr"/>
      <c r="N221" s="12" t="inlineStr"/>
      <c r="O221" s="12" t="inlineStr"/>
      <c r="P221" s="11" t="inlineStr"/>
      <c r="Q221" s="11" t="inlineStr"/>
      <c r="R221" s="12" t="inlineStr"/>
      <c r="S221" s="12" t="inlineStr"/>
      <c r="T221" s="11" t="inlineStr"/>
    </row>
    <row r="222" outlineLevel="1">
      <c r="A222" s="12" t="inlineStr">
        <is>
          <t>L3</t>
        </is>
      </c>
      <c r="B222" s="12" t="inlineStr">
        <is>
          <t>6.5.3</t>
        </is>
      </c>
      <c r="C222" s="12" t="inlineStr">
        <is>
          <t>D6</t>
        </is>
      </c>
      <c r="D222" s="13" t="inlineStr">
        <is>
          <t>Unit Economics &amp; Cost-per-Outcome</t>
        </is>
      </c>
      <c r="E222" s="12" t="inlineStr">
        <is>
          <t>Express cost per transaction, per document or per outcome, not per month.</t>
        </is>
      </c>
      <c r="F222" s="12" t="inlineStr"/>
      <c r="G222" s="12" t="inlineStr"/>
      <c r="H222" s="12" t="inlineStr"/>
      <c r="I222" s="12" t="inlineStr"/>
      <c r="J222" s="12" t="inlineStr"/>
      <c r="K222" s="12" t="inlineStr"/>
      <c r="L222" s="12" t="inlineStr"/>
      <c r="M222" s="12" t="inlineStr"/>
      <c r="N222" s="12" t="inlineStr"/>
      <c r="O222" s="12" t="inlineStr"/>
      <c r="P222" s="11" t="inlineStr"/>
      <c r="Q222" s="11" t="inlineStr"/>
      <c r="R222" s="12" t="inlineStr"/>
      <c r="S222" s="12" t="inlineStr"/>
      <c r="T222" s="11" t="inlineStr"/>
    </row>
    <row r="223" outlineLevel="1">
      <c r="A223" s="12" t="inlineStr">
        <is>
          <t>L3</t>
        </is>
      </c>
      <c r="B223" s="12" t="inlineStr">
        <is>
          <t>6.5.4</t>
        </is>
      </c>
      <c r="C223" s="12" t="inlineStr">
        <is>
          <t>D6</t>
        </is>
      </c>
      <c r="D223" s="13" t="inlineStr">
        <is>
          <t>Optimization &amp; Rightsizing</t>
        </is>
      </c>
      <c r="E223" s="12" t="inlineStr">
        <is>
          <t>Reduce cost through model, caching and routing choices without losing quality.</t>
        </is>
      </c>
      <c r="F223" s="12" t="inlineStr"/>
      <c r="G223" s="12" t="inlineStr"/>
      <c r="H223" s="12" t="inlineStr"/>
      <c r="I223" s="12" t="inlineStr"/>
      <c r="J223" s="12" t="inlineStr"/>
      <c r="K223" s="12" t="inlineStr"/>
      <c r="L223" s="12" t="inlineStr"/>
      <c r="M223" s="12" t="inlineStr"/>
      <c r="N223" s="12" t="inlineStr"/>
      <c r="O223" s="12" t="inlineStr"/>
      <c r="P223" s="11" t="inlineStr"/>
      <c r="Q223" s="11" t="inlineStr"/>
      <c r="R223" s="12" t="inlineStr"/>
      <c r="S223" s="12" t="inlineStr"/>
      <c r="T223" s="11" t="inlineStr"/>
    </row>
    <row r="224">
      <c r="A224" s="8" t="inlineStr">
        <is>
          <t>L2</t>
        </is>
      </c>
      <c r="B224" s="8" t="inlineStr">
        <is>
          <t>6.6</t>
        </is>
      </c>
      <c r="C224" s="8" t="inlineStr">
        <is>
          <t>D6</t>
        </is>
      </c>
      <c r="D224" s="8" t="inlineStr">
        <is>
          <t>AI Asset Retirement &amp; Evidence Preservation</t>
        </is>
      </c>
      <c r="E224" s="8" t="inlineStr">
        <is>
          <t>Able to retire AI systems deliberately, with their evidence preserved.</t>
        </is>
      </c>
      <c r="F224" s="8" t="inlineStr">
        <is>
          <t>Service Delivery</t>
        </is>
      </c>
      <c r="G224" s="9" t="inlineStr">
        <is>
          <t>PAULOV@iadb.org</t>
        </is>
      </c>
      <c r="H224" s="15" t="inlineStr">
        <is>
          <t>Partial</t>
        </is>
      </c>
      <c r="I224" s="9" t="inlineStr">
        <is>
          <t>Service Delivery claims Assets Management; Core Platforms claims e-disposition of records. Retirement of an AI system with its evidence preserved is not named by either.</t>
        </is>
      </c>
      <c r="J224" s="9" t="inlineStr">
        <is>
          <t>Asset Management Owner</t>
        </is>
      </c>
      <c r="K224" s="9" t="inlineStr">
        <is>
          <t>lens</t>
        </is>
      </c>
      <c r="L224" s="9" t="inlineStr"/>
      <c r="M224" s="9" t="inlineStr">
        <is>
          <t>high</t>
        </is>
      </c>
      <c r="N224" s="9" t="inlineStr">
        <is>
          <t>ISO/IEC 5338 - retirement processes; ISO/IEC 42001; GAO AI Accountability Framework</t>
        </is>
      </c>
      <c r="O224" s="9" t="inlineStr"/>
      <c r="P224" s="11" t="inlineStr"/>
      <c r="Q224" s="11" t="inlineStr"/>
      <c r="R224" s="11" t="inlineStr"/>
      <c r="S224" s="11" t="inlineStr"/>
      <c r="T224" s="11" t="inlineStr"/>
    </row>
    <row r="225" outlineLevel="1">
      <c r="A225" s="12" t="inlineStr">
        <is>
          <t>L3</t>
        </is>
      </c>
      <c r="B225" s="12" t="inlineStr">
        <is>
          <t>6.6.1</t>
        </is>
      </c>
      <c r="C225" s="12" t="inlineStr">
        <is>
          <t>D6</t>
        </is>
      </c>
      <c r="D225" s="13" t="inlineStr">
        <is>
          <t>Periodic Recertification &amp; Review</t>
        </is>
      </c>
      <c r="E225" s="12" t="inlineStr">
        <is>
          <t>Re-confirm at defined intervals that a system should remain in service.</t>
        </is>
      </c>
      <c r="F225" s="12" t="inlineStr"/>
      <c r="G225" s="12" t="inlineStr"/>
      <c r="H225" s="12" t="inlineStr"/>
      <c r="I225" s="12" t="inlineStr"/>
      <c r="J225" s="12" t="inlineStr"/>
      <c r="K225" s="12" t="inlineStr"/>
      <c r="L225" s="12" t="inlineStr"/>
      <c r="M225" s="12" t="inlineStr"/>
      <c r="N225" s="12" t="inlineStr"/>
      <c r="O225" s="12" t="inlineStr"/>
      <c r="P225" s="11" t="inlineStr"/>
      <c r="Q225" s="11" t="inlineStr"/>
      <c r="R225" s="12" t="inlineStr"/>
      <c r="S225" s="12" t="inlineStr"/>
      <c r="T225" s="11" t="inlineStr"/>
    </row>
    <row r="226" outlineLevel="1">
      <c r="A226" s="12" t="inlineStr">
        <is>
          <t>L3</t>
        </is>
      </c>
      <c r="B226" s="12" t="inlineStr">
        <is>
          <t>6.6.2</t>
        </is>
      </c>
      <c r="C226" s="12" t="inlineStr">
        <is>
          <t>D6</t>
        </is>
      </c>
      <c r="D226" s="13" t="inlineStr">
        <is>
          <t>Deprecation &amp; Sunset Planning</t>
        </is>
      </c>
      <c r="E226" s="12" t="inlineStr">
        <is>
          <t>Plan and communicate withdrawal before it happens.</t>
        </is>
      </c>
      <c r="F226" s="12" t="inlineStr"/>
      <c r="G226" s="12" t="inlineStr"/>
      <c r="H226" s="12" t="inlineStr"/>
      <c r="I226" s="12" t="inlineStr"/>
      <c r="J226" s="12" t="inlineStr"/>
      <c r="K226" s="12" t="inlineStr"/>
      <c r="L226" s="12" t="inlineStr"/>
      <c r="M226" s="12" t="inlineStr"/>
      <c r="N226" s="12" t="inlineStr"/>
      <c r="O226" s="12" t="inlineStr"/>
      <c r="P226" s="11" t="inlineStr"/>
      <c r="Q226" s="11" t="inlineStr"/>
      <c r="R226" s="12" t="inlineStr"/>
      <c r="S226" s="12" t="inlineStr"/>
      <c r="T226" s="11" t="inlineStr"/>
    </row>
    <row r="227" outlineLevel="1">
      <c r="A227" s="12" t="inlineStr">
        <is>
          <t>L3</t>
        </is>
      </c>
      <c r="B227" s="12" t="inlineStr">
        <is>
          <t>6.6.3</t>
        </is>
      </c>
      <c r="C227" s="12" t="inlineStr">
        <is>
          <t>D6</t>
        </is>
      </c>
      <c r="D227" s="13" t="inlineStr">
        <is>
          <t>Decommissioning &amp; Data Disposition</t>
        </is>
      </c>
      <c r="E227" s="12" t="inlineStr">
        <is>
          <t>Remove the system and dispose of its data under retention rules.</t>
        </is>
      </c>
      <c r="F227" s="12" t="inlineStr"/>
      <c r="G227" s="12" t="inlineStr"/>
      <c r="H227" s="12" t="inlineStr"/>
      <c r="I227" s="12" t="inlineStr"/>
      <c r="J227" s="12" t="inlineStr"/>
      <c r="K227" s="12" t="inlineStr"/>
      <c r="L227" s="12" t="inlineStr"/>
      <c r="M227" s="12" t="inlineStr"/>
      <c r="N227" s="12" t="inlineStr"/>
      <c r="O227" s="12" t="inlineStr"/>
      <c r="P227" s="11" t="inlineStr"/>
      <c r="Q227" s="11" t="inlineStr"/>
      <c r="R227" s="12" t="inlineStr"/>
      <c r="S227" s="12" t="inlineStr"/>
      <c r="T227" s="11" t="inlineStr"/>
    </row>
    <row r="228" outlineLevel="1">
      <c r="A228" s="12" t="inlineStr">
        <is>
          <t>L3</t>
        </is>
      </c>
      <c r="B228" s="12" t="inlineStr">
        <is>
          <t>6.6.4</t>
        </is>
      </c>
      <c r="C228" s="12" t="inlineStr">
        <is>
          <t>D6</t>
        </is>
      </c>
      <c r="D228" s="13" t="inlineStr">
        <is>
          <t>Archive &amp; Evidence Preservation</t>
        </is>
      </c>
      <c r="E228" s="12" t="inlineStr">
        <is>
          <t>Preserve the records that assurance and legal obligations require after retirement.</t>
        </is>
      </c>
      <c r="F228" s="12" t="inlineStr"/>
      <c r="G228" s="12" t="inlineStr"/>
      <c r="H228" s="12" t="inlineStr"/>
      <c r="I228" s="12" t="inlineStr"/>
      <c r="J228" s="12" t="inlineStr"/>
      <c r="K228" s="12" t="inlineStr"/>
      <c r="L228" s="12" t="inlineStr"/>
      <c r="M228" s="12" t="inlineStr"/>
      <c r="N228" s="12" t="inlineStr"/>
      <c r="O228" s="12" t="inlineStr"/>
      <c r="P228" s="11" t="inlineStr"/>
      <c r="Q228" s="11" t="inlineStr"/>
      <c r="R228" s="12" t="inlineStr"/>
      <c r="S228" s="12" t="inlineStr"/>
      <c r="T228" s="11" t="inlineStr"/>
    </row>
    <row r="229">
      <c r="A229" s="7" t="inlineStr">
        <is>
          <t>Domain</t>
        </is>
      </c>
      <c r="B229" s="7" t="inlineStr">
        <is>
          <t>D7</t>
        </is>
      </c>
      <c r="C229" s="7" t="inlineStr">
        <is>
          <t>D7</t>
        </is>
      </c>
      <c r="D229" s="7" t="inlineStr">
        <is>
          <t>AI Governance, Risk, Security &amp; Assurance</t>
        </is>
      </c>
      <c r="E229" s="7" t="inlineStr">
        <is>
          <t>Able to direct, control, protect and evidence the trustworthy use of AI.</t>
        </is>
      </c>
      <c r="F229" s="7" t="n"/>
      <c r="G229" s="7" t="n"/>
      <c r="H229" s="7" t="n"/>
      <c r="I229" s="7" t="n"/>
      <c r="J229" s="7" t="n"/>
      <c r="K229" s="7" t="n"/>
      <c r="L229" s="7" t="n"/>
      <c r="M229" s="7" t="n"/>
      <c r="N229" s="7" t="n"/>
      <c r="O229" s="7" t="n"/>
      <c r="P229" s="7" t="n"/>
      <c r="Q229" s="7" t="n"/>
      <c r="R229" s="7" t="n"/>
      <c r="S229" s="7" t="n"/>
      <c r="T229" s="7" t="inlineStr"/>
    </row>
    <row r="230">
      <c r="A230" s="8" t="inlineStr">
        <is>
          <t>L2</t>
        </is>
      </c>
      <c r="B230" s="8" t="inlineStr">
        <is>
          <t>7.1</t>
        </is>
      </c>
      <c r="C230" s="8" t="inlineStr">
        <is>
          <t>D7</t>
        </is>
      </c>
      <c r="D230" s="8" t="inlineStr">
        <is>
          <t>AI Policy, Standards &amp; Management System</t>
        </is>
      </c>
      <c r="E230" s="8" t="inlineStr">
        <is>
          <t>Able to operate a functioning management system for AI, not a policy document.</t>
        </is>
      </c>
      <c r="F230" s="8" t="inlineStr">
        <is>
          <t>Artificial Intelligence</t>
        </is>
      </c>
      <c r="G230" s="9" t="inlineStr">
        <is>
          <t>JAIRORI@IADB.ORG</t>
        </is>
      </c>
      <c r="H230" s="15" t="inlineStr">
        <is>
          <t>Partial</t>
        </is>
      </c>
      <c r="I230" s="9" t="inlineStr">
        <is>
          <t>AI enabler owns the AI strategy; Cybersecurity owns Security Governance (policies, standards, baselines); EA owns technology guidelines. No one owns an AI management system as such.</t>
        </is>
      </c>
      <c r="J230" s="9" t="inlineStr">
        <is>
          <t>AI Management System Owner</t>
        </is>
      </c>
      <c r="K230" s="9" t="inlineStr">
        <is>
          <t>specialization</t>
        </is>
      </c>
      <c r="L230" s="9" t="inlineStr"/>
      <c r="M230" s="9" t="inlineStr">
        <is>
          <t>medium</t>
        </is>
      </c>
      <c r="N230" s="9" t="inlineStr">
        <is>
          <t>ISO/IEC 42001 - AI management system; ISO/IEC 38507; GAO AI Accountability Framework</t>
        </is>
      </c>
      <c r="O230" s="9" t="inlineStr"/>
      <c r="P230" s="11" t="inlineStr"/>
      <c r="Q230" s="11" t="inlineStr"/>
      <c r="R230" s="11" t="inlineStr"/>
      <c r="S230" s="11" t="inlineStr"/>
      <c r="T230" s="11" t="inlineStr"/>
    </row>
    <row r="231" outlineLevel="1">
      <c r="A231" s="12" t="inlineStr">
        <is>
          <t>L3</t>
        </is>
      </c>
      <c r="B231" s="12" t="inlineStr">
        <is>
          <t>7.1.1</t>
        </is>
      </c>
      <c r="C231" s="12" t="inlineStr">
        <is>
          <t>D7</t>
        </is>
      </c>
      <c r="D231" s="13" t="inlineStr">
        <is>
          <t>AI Management System Operation</t>
        </is>
      </c>
      <c r="E231" s="12" t="inlineStr">
        <is>
          <t>Operate the AIMS itself — scope, objectives, reviews, continual improvement.</t>
        </is>
      </c>
      <c r="F231" s="12" t="inlineStr"/>
      <c r="G231" s="12" t="inlineStr"/>
      <c r="H231" s="12" t="inlineStr"/>
      <c r="I231" s="12" t="inlineStr"/>
      <c r="J231" s="12" t="inlineStr"/>
      <c r="K231" s="12" t="inlineStr"/>
      <c r="L231" s="12" t="inlineStr"/>
      <c r="M231" s="12" t="inlineStr"/>
      <c r="N231" s="12" t="inlineStr"/>
      <c r="O231" s="12" t="inlineStr"/>
      <c r="P231" s="11" t="inlineStr"/>
      <c r="Q231" s="11" t="inlineStr"/>
      <c r="R231" s="12" t="inlineStr"/>
      <c r="S231" s="12" t="inlineStr"/>
      <c r="T231" s="11" t="inlineStr"/>
    </row>
    <row r="232" outlineLevel="1">
      <c r="A232" s="12" t="inlineStr">
        <is>
          <t>L3</t>
        </is>
      </c>
      <c r="B232" s="12" t="inlineStr">
        <is>
          <t>7.1.2</t>
        </is>
      </c>
      <c r="C232" s="12" t="inlineStr">
        <is>
          <t>D7</t>
        </is>
      </c>
      <c r="D232" s="13" t="inlineStr">
        <is>
          <t>AI Policy Development &amp; Maintenance</t>
        </is>
      </c>
      <c r="E232" s="12" t="inlineStr">
        <is>
          <t>Issue and maintain the institutional AI policy set.</t>
        </is>
      </c>
      <c r="F232" s="12" t="inlineStr"/>
      <c r="G232" s="12" t="inlineStr"/>
      <c r="H232" s="12" t="inlineStr"/>
      <c r="I232" s="12" t="inlineStr"/>
      <c r="J232" s="12" t="inlineStr"/>
      <c r="K232" s="12" t="inlineStr"/>
      <c r="L232" s="12" t="inlineStr"/>
      <c r="M232" s="12" t="inlineStr"/>
      <c r="N232" s="12" t="inlineStr"/>
      <c r="O232" s="12" t="inlineStr"/>
      <c r="P232" s="11" t="inlineStr"/>
      <c r="Q232" s="11" t="inlineStr"/>
      <c r="R232" s="12" t="inlineStr"/>
      <c r="S232" s="12" t="inlineStr"/>
      <c r="T232" s="11" t="inlineStr"/>
    </row>
    <row r="233" outlineLevel="1">
      <c r="A233" s="12" t="inlineStr">
        <is>
          <t>L3</t>
        </is>
      </c>
      <c r="B233" s="12" t="inlineStr">
        <is>
          <t>7.1.3</t>
        </is>
      </c>
      <c r="C233" s="12" t="inlineStr">
        <is>
          <t>D7</t>
        </is>
      </c>
      <c r="D233" s="13" t="inlineStr">
        <is>
          <t>Standards &amp; Technical Guideline Issuance</t>
        </is>
      </c>
      <c r="E233" s="12" t="inlineStr">
        <is>
          <t>Translate policy into standards a delivery team can actually build to.</t>
        </is>
      </c>
      <c r="F233" s="12" t="inlineStr"/>
      <c r="G233" s="12" t="inlineStr"/>
      <c r="H233" s="12" t="inlineStr"/>
      <c r="I233" s="12" t="inlineStr"/>
      <c r="J233" s="12" t="inlineStr"/>
      <c r="K233" s="12" t="inlineStr"/>
      <c r="L233" s="12" t="inlineStr"/>
      <c r="M233" s="12" t="inlineStr"/>
      <c r="N233" s="12" t="inlineStr"/>
      <c r="O233" s="12" t="inlineStr"/>
      <c r="P233" s="11" t="inlineStr"/>
      <c r="Q233" s="11" t="inlineStr"/>
      <c r="R233" s="12" t="inlineStr"/>
      <c r="S233" s="12" t="inlineStr"/>
      <c r="T233" s="11" t="inlineStr"/>
    </row>
    <row r="234" outlineLevel="1">
      <c r="A234" s="12" t="inlineStr">
        <is>
          <t>L3</t>
        </is>
      </c>
      <c r="B234" s="12" t="inlineStr">
        <is>
          <t>7.1.4</t>
        </is>
      </c>
      <c r="C234" s="12" t="inlineStr">
        <is>
          <t>D7</t>
        </is>
      </c>
      <c r="D234" s="13" t="inlineStr">
        <is>
          <t>Governance Body &amp; Decision Rights Operation</t>
        </is>
      </c>
      <c r="E234" s="12" t="inlineStr">
        <is>
          <t>Run the forums that decide AI matters, with defined authority.</t>
        </is>
      </c>
      <c r="F234" s="12" t="inlineStr"/>
      <c r="G234" s="12" t="inlineStr"/>
      <c r="H234" s="12" t="inlineStr"/>
      <c r="I234" s="12" t="inlineStr"/>
      <c r="J234" s="12" t="inlineStr"/>
      <c r="K234" s="12" t="inlineStr"/>
      <c r="L234" s="12" t="inlineStr"/>
      <c r="M234" s="12" t="inlineStr"/>
      <c r="N234" s="12" t="inlineStr"/>
      <c r="O234" s="12" t="inlineStr"/>
      <c r="P234" s="11" t="inlineStr"/>
      <c r="Q234" s="11" t="inlineStr"/>
      <c r="R234" s="12" t="inlineStr"/>
      <c r="S234" s="12" t="inlineStr"/>
      <c r="T234" s="11" t="inlineStr"/>
    </row>
    <row r="235" outlineLevel="1">
      <c r="A235" s="12" t="inlineStr">
        <is>
          <t>L3</t>
        </is>
      </c>
      <c r="B235" s="12" t="inlineStr">
        <is>
          <t>7.1.5</t>
        </is>
      </c>
      <c r="C235" s="12" t="inlineStr">
        <is>
          <t>D7</t>
        </is>
      </c>
      <c r="D235" s="13" t="inlineStr">
        <is>
          <t>Exception &amp; Dispensation Management</t>
        </is>
      </c>
      <c r="E235" s="12" t="inlineStr">
        <is>
          <t>Grant, time-box and track departures from standard.</t>
        </is>
      </c>
      <c r="F235" s="12" t="inlineStr"/>
      <c r="G235" s="12" t="inlineStr"/>
      <c r="H235" s="12" t="inlineStr"/>
      <c r="I235" s="12" t="inlineStr"/>
      <c r="J235" s="12" t="inlineStr"/>
      <c r="K235" s="12" t="inlineStr"/>
      <c r="L235" s="12" t="inlineStr"/>
      <c r="M235" s="12" t="inlineStr"/>
      <c r="N235" s="12" t="inlineStr"/>
      <c r="O235" s="12" t="inlineStr"/>
      <c r="P235" s="11" t="inlineStr"/>
      <c r="Q235" s="11" t="inlineStr"/>
      <c r="R235" s="12" t="inlineStr"/>
      <c r="S235" s="12" t="inlineStr"/>
      <c r="T235" s="11" t="inlineStr"/>
    </row>
    <row r="236" outlineLevel="1">
      <c r="A236" s="12" t="inlineStr">
        <is>
          <t>L3</t>
        </is>
      </c>
      <c r="B236" s="12" t="inlineStr">
        <is>
          <t>7.1.6</t>
        </is>
      </c>
      <c r="C236" s="12" t="inlineStr">
        <is>
          <t>D7</t>
        </is>
      </c>
      <c r="D236" s="13" t="inlineStr">
        <is>
          <t>Conformance Monitoring</t>
        </is>
      </c>
      <c r="E236" s="12" t="inlineStr">
        <is>
          <t>Detect where practice has diverged from policy without waiting for audit.</t>
        </is>
      </c>
      <c r="F236" s="12" t="inlineStr"/>
      <c r="G236" s="12" t="inlineStr"/>
      <c r="H236" s="12" t="inlineStr"/>
      <c r="I236" s="12" t="inlineStr"/>
      <c r="J236" s="12" t="inlineStr"/>
      <c r="K236" s="12" t="inlineStr"/>
      <c r="L236" s="12" t="inlineStr"/>
      <c r="M236" s="12" t="inlineStr"/>
      <c r="N236" s="12" t="inlineStr"/>
      <c r="O236" s="12" t="inlineStr"/>
      <c r="P236" s="11" t="inlineStr"/>
      <c r="Q236" s="11" t="inlineStr"/>
      <c r="R236" s="12" t="inlineStr"/>
      <c r="S236" s="12" t="inlineStr"/>
      <c r="T236" s="11" t="inlineStr"/>
    </row>
    <row r="237">
      <c r="A237" s="8" t="inlineStr">
        <is>
          <t>L2</t>
        </is>
      </c>
      <c r="B237" s="8" t="inlineStr">
        <is>
          <t>7.2</t>
        </is>
      </c>
      <c r="C237" s="8" t="inlineStr">
        <is>
          <t>D7</t>
        </is>
      </c>
      <c r="D237" s="8" t="inlineStr">
        <is>
          <t>Responsible &amp; Trustworthy AI Practice</t>
        </is>
      </c>
      <c r="E237" s="8" t="inlineStr">
        <is>
          <t>Able to make the institution's stated AI principles operative in delivered systems.</t>
        </is>
      </c>
      <c r="F237" s="16" t="inlineStr">
        <is>
          <t>— none in the catalogue —</t>
        </is>
      </c>
      <c r="G237" s="9" t="inlineStr"/>
      <c r="H237" s="17" t="inlineStr">
        <is>
          <t>NO MATCH</t>
        </is>
      </c>
      <c r="I237" s="9" t="inlineStr">
        <is>
          <t>No product or enabler names responsible, ethical or trustworthy AI. This is the single most visible absence in the catalogue for an institution of this kind.</t>
        </is>
      </c>
      <c r="J237" s="9" t="inlineStr">
        <is>
          <t>Responsible AI Owner</t>
        </is>
      </c>
      <c r="K237" s="9" t="inlineStr">
        <is>
          <t>new</t>
        </is>
      </c>
      <c r="L237" s="9" t="inlineStr"/>
      <c r="M237" s="9" t="inlineStr">
        <is>
          <t>medium</t>
        </is>
      </c>
      <c r="N237" s="9" t="inlineStr">
        <is>
          <t>NIST AI RMF - Govern; OECD AI Principles; ISO/IEC 42001</t>
        </is>
      </c>
      <c r="O237" s="9" t="inlineStr"/>
      <c r="P237" s="11" t="inlineStr"/>
      <c r="Q237" s="11" t="inlineStr"/>
      <c r="R237" s="11" t="inlineStr"/>
      <c r="S237" s="11" t="inlineStr"/>
      <c r="T237" s="11" t="inlineStr"/>
    </row>
    <row r="238" outlineLevel="1">
      <c r="A238" s="12" t="inlineStr">
        <is>
          <t>L3</t>
        </is>
      </c>
      <c r="B238" s="12" t="inlineStr">
        <is>
          <t>7.2.1</t>
        </is>
      </c>
      <c r="C238" s="12" t="inlineStr">
        <is>
          <t>D7</t>
        </is>
      </c>
      <c r="D238" s="13" t="inlineStr">
        <is>
          <t>Fairness Standard Setting &amp; Adjudication</t>
        </is>
      </c>
      <c r="E238" s="12" t="inlineStr">
        <is>
          <t>Set the fairness standard per use case, adjudicate measured disparity against it, and mandate remediation. Measurement is 6.3.3.</t>
        </is>
      </c>
      <c r="F238" s="12" t="inlineStr"/>
      <c r="G238" s="12" t="inlineStr"/>
      <c r="H238" s="12" t="inlineStr"/>
      <c r="I238" s="12" t="inlineStr"/>
      <c r="J238" s="12" t="inlineStr"/>
      <c r="K238" s="12" t="inlineStr"/>
      <c r="L238" s="12" t="inlineStr"/>
      <c r="M238" s="12" t="inlineStr"/>
      <c r="N238" s="12" t="inlineStr"/>
      <c r="O238" s="12" t="inlineStr"/>
      <c r="P238" s="11" t="inlineStr"/>
      <c r="Q238" s="11" t="inlineStr"/>
      <c r="R238" s="12" t="inlineStr"/>
      <c r="S238" s="12" t="inlineStr"/>
      <c r="T238" s="11" t="inlineStr"/>
    </row>
    <row r="239" outlineLevel="1">
      <c r="A239" s="12" t="inlineStr">
        <is>
          <t>L3</t>
        </is>
      </c>
      <c r="B239" s="12" t="inlineStr">
        <is>
          <t>7.2.2</t>
        </is>
      </c>
      <c r="C239" s="12" t="inlineStr">
        <is>
          <t>D7</t>
        </is>
      </c>
      <c r="D239" s="13" t="inlineStr">
        <is>
          <t>Transparency &amp; Explainability Provision</t>
        </is>
      </c>
      <c r="E239" s="12" t="inlineStr">
        <is>
          <t>Provide explanation proportionate to the decision's consequence.</t>
        </is>
      </c>
      <c r="F239" s="12" t="inlineStr"/>
      <c r="G239" s="12" t="inlineStr"/>
      <c r="H239" s="12" t="inlineStr"/>
      <c r="I239" s="12" t="inlineStr"/>
      <c r="J239" s="12" t="inlineStr"/>
      <c r="K239" s="12" t="inlineStr"/>
      <c r="L239" s="12" t="inlineStr"/>
      <c r="M239" s="12" t="inlineStr"/>
      <c r="N239" s="12" t="inlineStr"/>
      <c r="O239" s="12" t="inlineStr"/>
      <c r="P239" s="11" t="inlineStr"/>
      <c r="Q239" s="11" t="inlineStr"/>
      <c r="R239" s="12" t="inlineStr"/>
      <c r="S239" s="12" t="inlineStr"/>
      <c r="T239" s="11" t="inlineStr"/>
    </row>
    <row r="240" outlineLevel="1">
      <c r="A240" s="12" t="inlineStr">
        <is>
          <t>L3</t>
        </is>
      </c>
      <c r="B240" s="12" t="inlineStr">
        <is>
          <t>7.2.3</t>
        </is>
      </c>
      <c r="C240" s="12" t="inlineStr">
        <is>
          <t>D7</t>
        </is>
      </c>
      <c r="D240" s="13" t="inlineStr">
        <is>
          <t>Human Agency &amp; Oversight Enforcement</t>
        </is>
      </c>
      <c r="E240" s="12" t="inlineStr">
        <is>
          <t>Verify that designed oversight is actually exercised in operation.</t>
        </is>
      </c>
      <c r="F240" s="12" t="inlineStr"/>
      <c r="G240" s="12" t="inlineStr"/>
      <c r="H240" s="12" t="inlineStr"/>
      <c r="I240" s="12" t="inlineStr"/>
      <c r="J240" s="12" t="inlineStr"/>
      <c r="K240" s="12" t="inlineStr"/>
      <c r="L240" s="12" t="inlineStr">
        <is>
          <t>Y</t>
        </is>
      </c>
      <c r="M240" s="12" t="inlineStr"/>
      <c r="N240" s="12" t="inlineStr"/>
      <c r="O240" s="12" t="inlineStr"/>
      <c r="P240" s="11" t="inlineStr"/>
      <c r="Q240" s="11" t="inlineStr"/>
      <c r="R240" s="12" t="inlineStr"/>
      <c r="S240" s="12" t="inlineStr"/>
      <c r="T240" s="11" t="inlineStr"/>
    </row>
    <row r="241" outlineLevel="1">
      <c r="A241" s="12" t="inlineStr">
        <is>
          <t>L3</t>
        </is>
      </c>
      <c r="B241" s="12" t="inlineStr">
        <is>
          <t>7.2.4</t>
        </is>
      </c>
      <c r="C241" s="12" t="inlineStr">
        <is>
          <t>D7</t>
        </is>
      </c>
      <c r="D241" s="13" t="inlineStr">
        <is>
          <t>Contestability &amp; Redress Handling</t>
        </is>
      </c>
      <c r="E241" s="12" t="inlineStr">
        <is>
          <t>Give affected people a route to challenge an AI-influenced outcome.</t>
        </is>
      </c>
      <c r="F241" s="12" t="inlineStr"/>
      <c r="G241" s="12" t="inlineStr"/>
      <c r="H241" s="12" t="inlineStr"/>
      <c r="I241" s="12" t="inlineStr"/>
      <c r="J241" s="12" t="inlineStr"/>
      <c r="K241" s="12" t="inlineStr"/>
      <c r="L241" s="12" t="inlineStr"/>
      <c r="M241" s="12" t="inlineStr"/>
      <c r="N241" s="12" t="inlineStr"/>
      <c r="O241" s="12" t="inlineStr"/>
      <c r="P241" s="11" t="inlineStr"/>
      <c r="Q241" s="11" t="inlineStr"/>
      <c r="R241" s="12" t="inlineStr"/>
      <c r="S241" s="12" t="inlineStr"/>
      <c r="T241" s="11" t="inlineStr"/>
    </row>
    <row r="242" outlineLevel="1">
      <c r="A242" s="12" t="inlineStr">
        <is>
          <t>L3</t>
        </is>
      </c>
      <c r="B242" s="12" t="inlineStr">
        <is>
          <t>7.2.5</t>
        </is>
      </c>
      <c r="C242" s="12" t="inlineStr">
        <is>
          <t>D7</t>
        </is>
      </c>
      <c r="D242" s="13" t="inlineStr">
        <is>
          <t>Environmental &amp; Social Responsibility</t>
        </is>
      </c>
      <c r="E242" s="12" t="inlineStr">
        <is>
          <t>Account for the environmental and social footprint of AI use.</t>
        </is>
      </c>
      <c r="F242" s="12" t="inlineStr"/>
      <c r="G242" s="12" t="inlineStr"/>
      <c r="H242" s="12" t="inlineStr"/>
      <c r="I242" s="12" t="inlineStr"/>
      <c r="J242" s="12" t="inlineStr"/>
      <c r="K242" s="12" t="inlineStr"/>
      <c r="L242" s="12" t="inlineStr"/>
      <c r="M242" s="12" t="inlineStr"/>
      <c r="N242" s="12" t="inlineStr"/>
      <c r="O242" s="12" t="inlineStr"/>
      <c r="P242" s="11" t="inlineStr"/>
      <c r="Q242" s="11" t="inlineStr"/>
      <c r="R242" s="12" t="inlineStr"/>
      <c r="S242" s="12" t="inlineStr"/>
      <c r="T242" s="11" t="inlineStr"/>
    </row>
    <row r="243">
      <c r="A243" s="8" t="inlineStr">
        <is>
          <t>L2</t>
        </is>
      </c>
      <c r="B243" s="8" t="inlineStr">
        <is>
          <t>7.3</t>
        </is>
      </c>
      <c r="C243" s="8" t="inlineStr">
        <is>
          <t>D7</t>
        </is>
      </c>
      <c r="D243" s="8" t="inlineStr">
        <is>
          <t>AI Risk Management</t>
        </is>
      </c>
      <c r="E243" s="8" t="inlineStr">
        <is>
          <t>Able to identify, treat and monitor AI risk within a stated appetite.</t>
        </is>
      </c>
      <c r="F243" s="8" t="inlineStr">
        <is>
          <t>Risk, Audit &amp; Compliance</t>
        </is>
      </c>
      <c r="G243" s="9" t="inlineStr">
        <is>
          <t>CARLOSEN@iadb.org</t>
        </is>
      </c>
      <c r="H243" s="15" t="inlineStr">
        <is>
          <t>Partial</t>
        </is>
      </c>
      <c r="I243" s="9" t="inlineStr">
        <is>
          <t>Risk, Audit &amp; Compliance claims Operational Risk management (Metric Stream) and Control management. AI risk is not named, and it is unclear whether AI risk enters the operational risk register at all.</t>
        </is>
      </c>
      <c r="J243" s="9" t="inlineStr">
        <is>
          <t>Enterprise Risk Owner</t>
        </is>
      </c>
      <c r="K243" s="9" t="inlineStr">
        <is>
          <t>specialization</t>
        </is>
      </c>
      <c r="L243" s="9" t="inlineStr"/>
      <c r="M243" s="9" t="inlineStr">
        <is>
          <t>high</t>
        </is>
      </c>
      <c r="N243" s="9" t="inlineStr">
        <is>
          <t>NIST AI RMF; ISO/IEC 23894; ISO/IEC 42005</t>
        </is>
      </c>
      <c r="O243" s="9" t="inlineStr"/>
      <c r="P243" s="11" t="inlineStr"/>
      <c r="Q243" s="11" t="inlineStr"/>
      <c r="R243" s="11" t="inlineStr"/>
      <c r="S243" s="11" t="inlineStr"/>
      <c r="T243" s="11" t="inlineStr"/>
    </row>
    <row r="244" outlineLevel="1">
      <c r="A244" s="12" t="inlineStr">
        <is>
          <t>L3</t>
        </is>
      </c>
      <c r="B244" s="12" t="inlineStr">
        <is>
          <t>7.3.1</t>
        </is>
      </c>
      <c r="C244" s="12" t="inlineStr">
        <is>
          <t>D7</t>
        </is>
      </c>
      <c r="D244" s="13" t="inlineStr">
        <is>
          <t>AI Risk Identification &amp; Taxonomy</t>
        </is>
      </c>
      <c r="E244" s="12" t="inlineStr">
        <is>
          <t>Maintain a common taxonomy of AI risks the institution recognizes.</t>
        </is>
      </c>
      <c r="F244" s="12" t="inlineStr"/>
      <c r="G244" s="12" t="inlineStr"/>
      <c r="H244" s="12" t="inlineStr"/>
      <c r="I244" s="12" t="inlineStr"/>
      <c r="J244" s="12" t="inlineStr"/>
      <c r="K244" s="12" t="inlineStr"/>
      <c r="L244" s="12" t="inlineStr"/>
      <c r="M244" s="12" t="inlineStr"/>
      <c r="N244" s="12" t="inlineStr"/>
      <c r="O244" s="12" t="inlineStr"/>
      <c r="P244" s="11" t="inlineStr"/>
      <c r="Q244" s="11" t="inlineStr"/>
      <c r="R244" s="12" t="inlineStr"/>
      <c r="S244" s="12" t="inlineStr"/>
      <c r="T244" s="11" t="inlineStr"/>
    </row>
    <row r="245" outlineLevel="1">
      <c r="A245" s="12" t="inlineStr">
        <is>
          <t>L3</t>
        </is>
      </c>
      <c r="B245" s="12" t="inlineStr">
        <is>
          <t>7.3.2</t>
        </is>
      </c>
      <c r="C245" s="12" t="inlineStr">
        <is>
          <t>D7</t>
        </is>
      </c>
      <c r="D245" s="13" t="inlineStr">
        <is>
          <t>Risk Assessment &amp; Scoring</t>
        </is>
      </c>
      <c r="E245" s="12" t="inlineStr">
        <is>
          <t>Assess AI risks consistently enough to compare them across the portfolio.</t>
        </is>
      </c>
      <c r="F245" s="12" t="inlineStr"/>
      <c r="G245" s="12" t="inlineStr"/>
      <c r="H245" s="12" t="inlineStr"/>
      <c r="I245" s="12" t="inlineStr"/>
      <c r="J245" s="12" t="inlineStr"/>
      <c r="K245" s="12" t="inlineStr"/>
      <c r="L245" s="12" t="inlineStr"/>
      <c r="M245" s="12" t="inlineStr"/>
      <c r="N245" s="12" t="inlineStr"/>
      <c r="O245" s="12" t="inlineStr"/>
      <c r="P245" s="11" t="inlineStr"/>
      <c r="Q245" s="11" t="inlineStr"/>
      <c r="R245" s="12" t="inlineStr"/>
      <c r="S245" s="12" t="inlineStr"/>
      <c r="T245" s="11" t="inlineStr"/>
    </row>
    <row r="246" outlineLevel="1">
      <c r="A246" s="12" t="inlineStr">
        <is>
          <t>L3</t>
        </is>
      </c>
      <c r="B246" s="12" t="inlineStr">
        <is>
          <t>7.3.3</t>
        </is>
      </c>
      <c r="C246" s="12" t="inlineStr">
        <is>
          <t>D7</t>
        </is>
      </c>
      <c r="D246" s="13" t="inlineStr">
        <is>
          <t>Control Design &amp; Treatment Planning</t>
        </is>
      </c>
      <c r="E246" s="12" t="inlineStr">
        <is>
          <t>Design proportionate controls and record accepted residual risk.</t>
        </is>
      </c>
      <c r="F246" s="12" t="inlineStr"/>
      <c r="G246" s="12" t="inlineStr"/>
      <c r="H246" s="12" t="inlineStr"/>
      <c r="I246" s="12" t="inlineStr"/>
      <c r="J246" s="12" t="inlineStr"/>
      <c r="K246" s="12" t="inlineStr"/>
      <c r="L246" s="12" t="inlineStr"/>
      <c r="M246" s="12" t="inlineStr"/>
      <c r="N246" s="12" t="inlineStr"/>
      <c r="O246" s="12" t="inlineStr"/>
      <c r="P246" s="11" t="inlineStr"/>
      <c r="Q246" s="11" t="inlineStr"/>
      <c r="R246" s="12" t="inlineStr"/>
      <c r="S246" s="12" t="inlineStr"/>
      <c r="T246" s="11" t="inlineStr"/>
    </row>
    <row r="247" outlineLevel="1">
      <c r="A247" s="12" t="inlineStr">
        <is>
          <t>L3</t>
        </is>
      </c>
      <c r="B247" s="12" t="inlineStr">
        <is>
          <t>7.3.4</t>
        </is>
      </c>
      <c r="C247" s="12" t="inlineStr">
        <is>
          <t>D7</t>
        </is>
      </c>
      <c r="D247" s="13" t="inlineStr">
        <is>
          <t>Risk Appetite &amp; Tolerance Setting</t>
        </is>
      </c>
      <c r="E247" s="12" t="inlineStr">
        <is>
          <t>State how much AI risk the institution will carry, by category.</t>
        </is>
      </c>
      <c r="F247" s="12" t="inlineStr"/>
      <c r="G247" s="12" t="inlineStr"/>
      <c r="H247" s="12" t="inlineStr"/>
      <c r="I247" s="12" t="inlineStr"/>
      <c r="J247" s="12" t="inlineStr"/>
      <c r="K247" s="12" t="inlineStr"/>
      <c r="L247" s="12" t="inlineStr"/>
      <c r="M247" s="12" t="inlineStr"/>
      <c r="N247" s="12" t="inlineStr"/>
      <c r="O247" s="12" t="inlineStr"/>
      <c r="P247" s="11" t="inlineStr"/>
      <c r="Q247" s="11" t="inlineStr"/>
      <c r="R247" s="12" t="inlineStr"/>
      <c r="S247" s="12" t="inlineStr"/>
      <c r="T247" s="11" t="inlineStr"/>
    </row>
    <row r="248" outlineLevel="1">
      <c r="A248" s="12" t="inlineStr">
        <is>
          <t>L3</t>
        </is>
      </c>
      <c r="B248" s="12" t="inlineStr">
        <is>
          <t>7.3.5</t>
        </is>
      </c>
      <c r="C248" s="12" t="inlineStr">
        <is>
          <t>D7</t>
        </is>
      </c>
      <c r="D248" s="13" t="inlineStr">
        <is>
          <t>Risk Monitoring &amp; Reporting</t>
        </is>
      </c>
      <c r="E248" s="12" t="inlineStr">
        <is>
          <t>Track risk position over time and report it to accountable bodies.</t>
        </is>
      </c>
      <c r="F248" s="12" t="inlineStr"/>
      <c r="G248" s="12" t="inlineStr"/>
      <c r="H248" s="12" t="inlineStr"/>
      <c r="I248" s="12" t="inlineStr"/>
      <c r="J248" s="12" t="inlineStr"/>
      <c r="K248" s="12" t="inlineStr"/>
      <c r="L248" s="12" t="inlineStr"/>
      <c r="M248" s="12" t="inlineStr"/>
      <c r="N248" s="12" t="inlineStr"/>
      <c r="O248" s="12" t="inlineStr"/>
      <c r="P248" s="11" t="inlineStr"/>
      <c r="Q248" s="11" t="inlineStr"/>
      <c r="R248" s="12" t="inlineStr"/>
      <c r="S248" s="12" t="inlineStr"/>
      <c r="T248" s="11" t="inlineStr"/>
    </row>
    <row r="249" outlineLevel="1">
      <c r="A249" s="12" t="inlineStr">
        <is>
          <t>L3</t>
        </is>
      </c>
      <c r="B249" s="12" t="inlineStr">
        <is>
          <t>7.3.6</t>
        </is>
      </c>
      <c r="C249" s="12" t="inlineStr">
        <is>
          <t>D7</t>
        </is>
      </c>
      <c r="D249" s="13" t="inlineStr">
        <is>
          <t>Independent Model Risk Validation</t>
        </is>
      </c>
      <c r="E249" s="12" t="inlineStr">
        <is>
          <t>Validate consequential models independently of the team that built them.</t>
        </is>
      </c>
      <c r="F249" s="12" t="inlineStr"/>
      <c r="G249" s="12" t="inlineStr"/>
      <c r="H249" s="12" t="inlineStr"/>
      <c r="I249" s="12" t="inlineStr"/>
      <c r="J249" s="12" t="inlineStr"/>
      <c r="K249" s="12" t="inlineStr"/>
      <c r="L249" s="12" t="inlineStr"/>
      <c r="M249" s="12" t="inlineStr"/>
      <c r="N249" s="12" t="inlineStr"/>
      <c r="O249" s="12" t="inlineStr"/>
      <c r="P249" s="11" t="inlineStr"/>
      <c r="Q249" s="11" t="inlineStr"/>
      <c r="R249" s="12" t="inlineStr"/>
      <c r="S249" s="12" t="inlineStr"/>
      <c r="T249" s="11" t="inlineStr"/>
    </row>
    <row r="250">
      <c r="A250" s="8" t="inlineStr">
        <is>
          <t>L2</t>
        </is>
      </c>
      <c r="B250" s="8" t="inlineStr">
        <is>
          <t>7.4</t>
        </is>
      </c>
      <c r="C250" s="8" t="inlineStr">
        <is>
          <t>D7</t>
        </is>
      </c>
      <c r="D250" s="8" t="inlineStr">
        <is>
          <t>AI Security &amp; Resilience</t>
        </is>
      </c>
      <c r="E250" s="8" t="inlineStr">
        <is>
          <t>Able to defend AI systems against attack, including attacks that use the AI itself.</t>
        </is>
      </c>
      <c r="F250" s="8" t="inlineStr">
        <is>
          <t>Cybersecurity</t>
        </is>
      </c>
      <c r="G250" s="9" t="inlineStr">
        <is>
          <t>harleyj@IADB.ORG</t>
        </is>
      </c>
      <c r="H250" s="10" t="inlineStr">
        <is>
          <t>Direct</t>
        </is>
      </c>
      <c r="I250" s="9" t="inlineStr">
        <is>
          <t>Cybersecurity claims Security engineering and architecture (design and review of applications) and Security Assurance including the risk register and exception management.</t>
        </is>
      </c>
      <c r="J250" s="9" t="inlineStr">
        <is>
          <t>Chief Information Security Officer</t>
        </is>
      </c>
      <c r="K250" s="9" t="inlineStr">
        <is>
          <t>new</t>
        </is>
      </c>
      <c r="L250" s="9" t="inlineStr">
        <is>
          <t>Y</t>
        </is>
      </c>
      <c r="M250" s="9" t="inlineStr">
        <is>
          <t>medium</t>
        </is>
      </c>
      <c r="N250" s="9" t="inlineStr">
        <is>
          <t>OWASP GenAI Security Project; ISO/IEC 27001; IMDA Model AI Governance Framework; NIST AI RMF</t>
        </is>
      </c>
      <c r="O250" s="9" t="inlineStr"/>
      <c r="P250" s="11" t="inlineStr"/>
      <c r="Q250" s="11" t="inlineStr"/>
      <c r="R250" s="11" t="inlineStr"/>
      <c r="S250" s="11" t="inlineStr"/>
      <c r="T250" s="11" t="inlineStr"/>
    </row>
    <row r="251" outlineLevel="1">
      <c r="A251" s="12" t="inlineStr">
        <is>
          <t>L3</t>
        </is>
      </c>
      <c r="B251" s="12" t="inlineStr">
        <is>
          <t>7.4.1</t>
        </is>
      </c>
      <c r="C251" s="12" t="inlineStr">
        <is>
          <t>D7</t>
        </is>
      </c>
      <c r="D251" s="13" t="inlineStr">
        <is>
          <t>AI Threat Modeling</t>
        </is>
      </c>
      <c r="E251" s="12" t="inlineStr">
        <is>
          <t>Model threats specific to AI systems, not only to their hosting infrastructure.</t>
        </is>
      </c>
      <c r="F251" s="12" t="inlineStr"/>
      <c r="G251" s="12" t="inlineStr"/>
      <c r="H251" s="12" t="inlineStr"/>
      <c r="I251" s="12" t="inlineStr"/>
      <c r="J251" s="12" t="inlineStr"/>
      <c r="K251" s="12" t="inlineStr"/>
      <c r="L251" s="12" t="inlineStr"/>
      <c r="M251" s="12" t="inlineStr"/>
      <c r="N251" s="12" t="inlineStr"/>
      <c r="O251" s="12" t="inlineStr"/>
      <c r="P251" s="11" t="inlineStr"/>
      <c r="Q251" s="11" t="inlineStr"/>
      <c r="R251" s="12" t="inlineStr"/>
      <c r="S251" s="12" t="inlineStr"/>
      <c r="T251" s="11" t="inlineStr"/>
    </row>
    <row r="252" outlineLevel="1">
      <c r="A252" s="12" t="inlineStr">
        <is>
          <t>L3</t>
        </is>
      </c>
      <c r="B252" s="12" t="inlineStr">
        <is>
          <t>7.4.2</t>
        </is>
      </c>
      <c r="C252" s="12" t="inlineStr">
        <is>
          <t>D7</t>
        </is>
      </c>
      <c r="D252" s="13" t="inlineStr">
        <is>
          <t>Model &amp; Supply Chain Integrity</t>
        </is>
      </c>
      <c r="E252" s="12" t="inlineStr">
        <is>
          <t>Verify the provenance and integrity of models, weights and dependencies.</t>
        </is>
      </c>
      <c r="F252" s="12" t="inlineStr"/>
      <c r="G252" s="12" t="inlineStr"/>
      <c r="H252" s="12" t="inlineStr"/>
      <c r="I252" s="12" t="inlineStr"/>
      <c r="J252" s="12" t="inlineStr"/>
      <c r="K252" s="12" t="inlineStr"/>
      <c r="L252" s="12" t="inlineStr"/>
      <c r="M252" s="12" t="inlineStr"/>
      <c r="N252" s="12" t="inlineStr"/>
      <c r="O252" s="12" t="inlineStr"/>
      <c r="P252" s="11" t="inlineStr"/>
      <c r="Q252" s="11" t="inlineStr"/>
      <c r="R252" s="12" t="inlineStr"/>
      <c r="S252" s="12" t="inlineStr"/>
      <c r="T252" s="11" t="inlineStr"/>
    </row>
    <row r="253" outlineLevel="1">
      <c r="A253" s="12" t="inlineStr">
        <is>
          <t>L3</t>
        </is>
      </c>
      <c r="B253" s="12" t="inlineStr">
        <is>
          <t>7.4.3</t>
        </is>
      </c>
      <c r="C253" s="12" t="inlineStr">
        <is>
          <t>D7</t>
        </is>
      </c>
      <c r="D253" s="13" t="inlineStr">
        <is>
          <t>Injection &amp; Jailbreak Detection and Response</t>
        </is>
      </c>
      <c r="E253" s="12" t="inlineStr">
        <is>
          <t>Detect subversion attempts in live traffic and respond to them.</t>
        </is>
      </c>
      <c r="F253" s="12" t="inlineStr"/>
      <c r="G253" s="12" t="inlineStr"/>
      <c r="H253" s="12" t="inlineStr"/>
      <c r="I253" s="12" t="inlineStr"/>
      <c r="J253" s="12" t="inlineStr"/>
      <c r="K253" s="12" t="inlineStr"/>
      <c r="L253" s="12" t="inlineStr">
        <is>
          <t>Y</t>
        </is>
      </c>
      <c r="M253" s="12" t="inlineStr"/>
      <c r="N253" s="12" t="inlineStr"/>
      <c r="O253" s="12" t="inlineStr"/>
      <c r="P253" s="11" t="inlineStr"/>
      <c r="Q253" s="11" t="inlineStr"/>
      <c r="R253" s="12" t="inlineStr"/>
      <c r="S253" s="12" t="inlineStr"/>
      <c r="T253" s="11" t="inlineStr"/>
    </row>
    <row r="254" outlineLevel="1">
      <c r="A254" s="12" t="inlineStr">
        <is>
          <t>L3</t>
        </is>
      </c>
      <c r="B254" s="12" t="inlineStr">
        <is>
          <t>7.4.4</t>
        </is>
      </c>
      <c r="C254" s="12" t="inlineStr">
        <is>
          <t>D7</t>
        </is>
      </c>
      <c r="D254" s="13" t="inlineStr">
        <is>
          <t>Agent Identity &amp; Credential Lifecycle</t>
        </is>
      </c>
      <c r="E254" s="12" t="inlineStr">
        <is>
          <t>Issue, sponsor, rotate and revoke a distinct identity per agent, rather than a shared service account.</t>
        </is>
      </c>
      <c r="F254" s="12" t="inlineStr"/>
      <c r="G254" s="12" t="inlineStr"/>
      <c r="H254" s="12" t="inlineStr"/>
      <c r="I254" s="12" t="inlineStr"/>
      <c r="J254" s="12" t="inlineStr"/>
      <c r="K254" s="12" t="inlineStr"/>
      <c r="L254" s="12" t="inlineStr">
        <is>
          <t>Y</t>
        </is>
      </c>
      <c r="M254" s="12" t="inlineStr"/>
      <c r="N254" s="12" t="inlineStr"/>
      <c r="O254" s="12" t="inlineStr"/>
      <c r="P254" s="11" t="inlineStr"/>
      <c r="Q254" s="11" t="inlineStr"/>
      <c r="R254" s="12" t="inlineStr"/>
      <c r="S254" s="12" t="inlineStr"/>
      <c r="T254" s="11" t="inlineStr"/>
    </row>
    <row r="255" outlineLevel="1">
      <c r="A255" s="12" t="inlineStr">
        <is>
          <t>L3</t>
        </is>
      </c>
      <c r="B255" s="12" t="inlineStr">
        <is>
          <t>7.4.5</t>
        </is>
      </c>
      <c r="C255" s="12" t="inlineStr">
        <is>
          <t>D7</t>
        </is>
      </c>
      <c r="D255" s="13" t="inlineStr">
        <is>
          <t>Runtime Authorization &amp; Action Control</t>
        </is>
      </c>
      <c r="E255" s="12" t="inlineStr">
        <is>
          <t>Authorise each consequential action at the moment it is attempted.</t>
        </is>
      </c>
      <c r="F255" s="12" t="inlineStr"/>
      <c r="G255" s="12" t="inlineStr"/>
      <c r="H255" s="12" t="inlineStr"/>
      <c r="I255" s="12" t="inlineStr"/>
      <c r="J255" s="12" t="inlineStr"/>
      <c r="K255" s="12" t="inlineStr"/>
      <c r="L255" s="12" t="inlineStr">
        <is>
          <t>Y</t>
        </is>
      </c>
      <c r="M255" s="12" t="inlineStr"/>
      <c r="N255" s="12" t="inlineStr"/>
      <c r="O255" s="12" t="inlineStr"/>
      <c r="P255" s="11" t="inlineStr"/>
      <c r="Q255" s="11" t="inlineStr"/>
      <c r="R255" s="12" t="inlineStr"/>
      <c r="S255" s="12" t="inlineStr"/>
      <c r="T255" s="11" t="inlineStr"/>
    </row>
    <row r="256" outlineLevel="1">
      <c r="A256" s="12" t="inlineStr">
        <is>
          <t>L3</t>
        </is>
      </c>
      <c r="B256" s="12" t="inlineStr">
        <is>
          <t>7.4.6</t>
        </is>
      </c>
      <c r="C256" s="12" t="inlineStr">
        <is>
          <t>D7</t>
        </is>
      </c>
      <c r="D256" s="13" t="inlineStr">
        <is>
          <t>Output Filtering &amp; Content Safety</t>
        </is>
      </c>
      <c r="E256" s="12" t="inlineStr">
        <is>
          <t>Prevent unsafe or disclosing output from reaching its recipient.</t>
        </is>
      </c>
      <c r="F256" s="12" t="inlineStr"/>
      <c r="G256" s="12" t="inlineStr"/>
      <c r="H256" s="12" t="inlineStr"/>
      <c r="I256" s="12" t="inlineStr"/>
      <c r="J256" s="12" t="inlineStr"/>
      <c r="K256" s="12" t="inlineStr"/>
      <c r="L256" s="12" t="inlineStr"/>
      <c r="M256" s="12" t="inlineStr"/>
      <c r="N256" s="12" t="inlineStr"/>
      <c r="O256" s="12" t="inlineStr"/>
      <c r="P256" s="11" t="inlineStr"/>
      <c r="Q256" s="11" t="inlineStr"/>
      <c r="R256" s="12" t="inlineStr"/>
      <c r="S256" s="12" t="inlineStr"/>
      <c r="T256" s="11" t="inlineStr"/>
    </row>
    <row r="257" outlineLevel="1">
      <c r="A257" s="12" t="inlineStr">
        <is>
          <t>L3</t>
        </is>
      </c>
      <c r="B257" s="12" t="inlineStr">
        <is>
          <t>7.4.7</t>
        </is>
      </c>
      <c r="C257" s="12" t="inlineStr">
        <is>
          <t>D7</t>
        </is>
      </c>
      <c r="D257" s="13" t="inlineStr">
        <is>
          <t>Adversarial &amp; Red-Team Testing</t>
        </is>
      </c>
      <c r="E257" s="12" t="inlineStr">
        <is>
          <t>Actively attempt to make AI systems fail or misbehave, before release and on a recurring basis thereafter.</t>
        </is>
      </c>
      <c r="F257" s="12" t="inlineStr"/>
      <c r="G257" s="12" t="inlineStr"/>
      <c r="H257" s="12" t="inlineStr"/>
      <c r="I257" s="12" t="inlineStr"/>
      <c r="J257" s="12" t="inlineStr"/>
      <c r="K257" s="12" t="inlineStr"/>
      <c r="L257" s="12" t="inlineStr"/>
      <c r="M257" s="12" t="inlineStr"/>
      <c r="N257" s="12" t="inlineStr"/>
      <c r="O257" s="12" t="inlineStr"/>
      <c r="P257" s="11" t="inlineStr"/>
      <c r="Q257" s="11" t="inlineStr"/>
      <c r="R257" s="12" t="inlineStr"/>
      <c r="S257" s="12" t="inlineStr"/>
      <c r="T257" s="11" t="inlineStr"/>
    </row>
    <row r="258">
      <c r="A258" s="8" t="inlineStr">
        <is>
          <t>L2</t>
        </is>
      </c>
      <c r="B258" s="8" t="inlineStr">
        <is>
          <t>7.5</t>
        </is>
      </c>
      <c r="C258" s="8" t="inlineStr">
        <is>
          <t>D7</t>
        </is>
      </c>
      <c r="D258" s="8" t="inlineStr">
        <is>
          <t>Privacy &amp; Data Protection for AI</t>
        </is>
      </c>
      <c r="E258" s="8" t="inlineStr">
        <is>
          <t>Able to use personal data in AI without breaching the institution's obligations.</t>
        </is>
      </c>
      <c r="F258" s="16" t="inlineStr">
        <is>
          <t>— none in the catalogue —</t>
        </is>
      </c>
      <c r="G258" s="9" t="inlineStr"/>
      <c r="H258" s="17" t="inlineStr">
        <is>
          <t>NO MATCH</t>
        </is>
      </c>
      <c r="I258" s="9" t="inlineStr">
        <is>
          <t>No privacy or data protection function appears anywhere in the catalogue. Confirm whether privacy sits outside TTD entirely.</t>
        </is>
      </c>
      <c r="J258" s="9" t="inlineStr">
        <is>
          <t>Privacy Officer</t>
        </is>
      </c>
      <c r="K258" s="9" t="inlineStr">
        <is>
          <t>specialization</t>
        </is>
      </c>
      <c r="L258" s="9" t="inlineStr"/>
      <c r="M258" s="9" t="inlineStr">
        <is>
          <t>high</t>
        </is>
      </c>
      <c r="N258" s="9" t="inlineStr">
        <is>
          <t>ISO/IEC 27701; ISO/IEC 42001; Institutional data protection framework</t>
        </is>
      </c>
      <c r="O258" s="9" t="inlineStr"/>
      <c r="P258" s="11" t="inlineStr"/>
      <c r="Q258" s="11" t="inlineStr"/>
      <c r="R258" s="11" t="inlineStr"/>
      <c r="S258" s="11" t="inlineStr"/>
      <c r="T258" s="11" t="inlineStr"/>
    </row>
    <row r="259" outlineLevel="1">
      <c r="A259" s="12" t="inlineStr">
        <is>
          <t>L3</t>
        </is>
      </c>
      <c r="B259" s="12" t="inlineStr">
        <is>
          <t>7.5.1</t>
        </is>
      </c>
      <c r="C259" s="12" t="inlineStr">
        <is>
          <t>D7</t>
        </is>
      </c>
      <c r="D259" s="13" t="inlineStr">
        <is>
          <t>Privacy Impact Assessment for AI</t>
        </is>
      </c>
      <c r="E259" s="12" t="inlineStr">
        <is>
          <t>Assess privacy impact where AI processing introduces new exposure.</t>
        </is>
      </c>
      <c r="F259" s="12" t="inlineStr"/>
      <c r="G259" s="12" t="inlineStr"/>
      <c r="H259" s="12" t="inlineStr"/>
      <c r="I259" s="12" t="inlineStr"/>
      <c r="J259" s="12" t="inlineStr"/>
      <c r="K259" s="12" t="inlineStr"/>
      <c r="L259" s="12" t="inlineStr"/>
      <c r="M259" s="12" t="inlineStr"/>
      <c r="N259" s="12" t="inlineStr"/>
      <c r="O259" s="12" t="inlineStr"/>
      <c r="P259" s="11" t="inlineStr"/>
      <c r="Q259" s="11" t="inlineStr"/>
      <c r="R259" s="12" t="inlineStr"/>
      <c r="S259" s="12" t="inlineStr"/>
      <c r="T259" s="11" t="inlineStr"/>
    </row>
    <row r="260" outlineLevel="1">
      <c r="A260" s="12" t="inlineStr">
        <is>
          <t>L3</t>
        </is>
      </c>
      <c r="B260" s="12" t="inlineStr">
        <is>
          <t>7.5.2</t>
        </is>
      </c>
      <c r="C260" s="12" t="inlineStr">
        <is>
          <t>D7</t>
        </is>
      </c>
      <c r="D260" s="13" t="inlineStr">
        <is>
          <t>Personal Data Minimization &amp; Masking</t>
        </is>
      </c>
      <c r="E260" s="12" t="inlineStr">
        <is>
          <t>Reduce personal data to what the purpose requires before it reaches a model.</t>
        </is>
      </c>
      <c r="F260" s="12" t="inlineStr"/>
      <c r="G260" s="12" t="inlineStr"/>
      <c r="H260" s="12" t="inlineStr"/>
      <c r="I260" s="12" t="inlineStr"/>
      <c r="J260" s="12" t="inlineStr"/>
      <c r="K260" s="12" t="inlineStr"/>
      <c r="L260" s="12" t="inlineStr"/>
      <c r="M260" s="12" t="inlineStr"/>
      <c r="N260" s="12" t="inlineStr"/>
      <c r="O260" s="12" t="inlineStr"/>
      <c r="P260" s="11" t="inlineStr"/>
      <c r="Q260" s="11" t="inlineStr"/>
      <c r="R260" s="12" t="inlineStr"/>
      <c r="S260" s="12" t="inlineStr"/>
      <c r="T260" s="11" t="inlineStr"/>
    </row>
    <row r="261" outlineLevel="1">
      <c r="A261" s="12" t="inlineStr">
        <is>
          <t>L3</t>
        </is>
      </c>
      <c r="B261" s="12" t="inlineStr">
        <is>
          <t>7.5.3</t>
        </is>
      </c>
      <c r="C261" s="12" t="inlineStr">
        <is>
          <t>D7</t>
        </is>
      </c>
      <c r="D261" s="13" t="inlineStr">
        <is>
          <t>Data Subject Rights Handling</t>
        </is>
      </c>
      <c r="E261" s="12" t="inlineStr">
        <is>
          <t>Answer access, correction and objection requests where AI is involved.</t>
        </is>
      </c>
      <c r="F261" s="12" t="inlineStr"/>
      <c r="G261" s="12" t="inlineStr"/>
      <c r="H261" s="12" t="inlineStr"/>
      <c r="I261" s="12" t="inlineStr"/>
      <c r="J261" s="12" t="inlineStr"/>
      <c r="K261" s="12" t="inlineStr"/>
      <c r="L261" s="12" t="inlineStr"/>
      <c r="M261" s="12" t="inlineStr"/>
      <c r="N261" s="12" t="inlineStr"/>
      <c r="O261" s="12" t="inlineStr"/>
      <c r="P261" s="11" t="inlineStr"/>
      <c r="Q261" s="11" t="inlineStr"/>
      <c r="R261" s="12" t="inlineStr"/>
      <c r="S261" s="12" t="inlineStr"/>
      <c r="T261" s="11" t="inlineStr"/>
    </row>
    <row r="262" outlineLevel="1">
      <c r="A262" s="12" t="inlineStr">
        <is>
          <t>L3</t>
        </is>
      </c>
      <c r="B262" s="12" t="inlineStr">
        <is>
          <t>7.5.4</t>
        </is>
      </c>
      <c r="C262" s="12" t="inlineStr">
        <is>
          <t>D7</t>
        </is>
      </c>
      <c r="D262" s="13" t="inlineStr">
        <is>
          <t>Confidentiality &amp; Non-Disclosure Control</t>
        </is>
      </c>
      <c r="E262" s="12" t="inlineStr">
        <is>
          <t>Prevent confidential material leaving through model providers or outputs.</t>
        </is>
      </c>
      <c r="F262" s="12" t="inlineStr"/>
      <c r="G262" s="12" t="inlineStr"/>
      <c r="H262" s="12" t="inlineStr"/>
      <c r="I262" s="12" t="inlineStr"/>
      <c r="J262" s="12" t="inlineStr"/>
      <c r="K262" s="12" t="inlineStr"/>
      <c r="L262" s="12" t="inlineStr"/>
      <c r="M262" s="12" t="inlineStr"/>
      <c r="N262" s="12" t="inlineStr"/>
      <c r="O262" s="12" t="inlineStr"/>
      <c r="P262" s="11" t="inlineStr"/>
      <c r="Q262" s="11" t="inlineStr"/>
      <c r="R262" s="12" t="inlineStr"/>
      <c r="S262" s="12" t="inlineStr"/>
      <c r="T262" s="11" t="inlineStr"/>
    </row>
    <row r="263" outlineLevel="1">
      <c r="A263" s="12" t="inlineStr">
        <is>
          <t>L3</t>
        </is>
      </c>
      <c r="B263" s="12" t="inlineStr">
        <is>
          <t>7.5.5</t>
        </is>
      </c>
      <c r="C263" s="12" t="inlineStr">
        <is>
          <t>D7</t>
        </is>
      </c>
      <c r="D263" s="13" t="inlineStr">
        <is>
          <t>Training-Data Privacy Controls</t>
        </is>
      </c>
      <c r="E263" s="12" t="inlineStr">
        <is>
          <t>Control whether institutional data may be used to train provider models.</t>
        </is>
      </c>
      <c r="F263" s="12" t="inlineStr"/>
      <c r="G263" s="12" t="inlineStr"/>
      <c r="H263" s="12" t="inlineStr"/>
      <c r="I263" s="12" t="inlineStr"/>
      <c r="J263" s="12" t="inlineStr"/>
      <c r="K263" s="12" t="inlineStr"/>
      <c r="L263" s="12" t="inlineStr"/>
      <c r="M263" s="12" t="inlineStr"/>
      <c r="N263" s="12" t="inlineStr"/>
      <c r="O263" s="12" t="inlineStr"/>
      <c r="P263" s="11" t="inlineStr"/>
      <c r="Q263" s="11" t="inlineStr"/>
      <c r="R263" s="12" t="inlineStr"/>
      <c r="S263" s="12" t="inlineStr"/>
      <c r="T263" s="11" t="inlineStr"/>
    </row>
    <row r="264">
      <c r="A264" s="8" t="inlineStr">
        <is>
          <t>L2</t>
        </is>
      </c>
      <c r="B264" s="8" t="inlineStr">
        <is>
          <t>7.6</t>
        </is>
      </c>
      <c r="C264" s="8" t="inlineStr">
        <is>
          <t>D7</t>
        </is>
      </c>
      <c r="D264" s="8" t="inlineStr">
        <is>
          <t>Legal, Regulatory &amp; Contractual Compliance for AI</t>
        </is>
      </c>
      <c r="E264" s="8" t="inlineStr">
        <is>
          <t>Able to know which obligations bind the institution and to demonstrate compliance.</t>
        </is>
      </c>
      <c r="F264" s="16" t="inlineStr">
        <is>
          <t>— none in the catalogue —</t>
        </is>
      </c>
      <c r="G264" s="9" t="inlineStr"/>
      <c r="H264" s="17" t="inlineStr">
        <is>
          <t>NO MATCH</t>
        </is>
      </c>
      <c r="I264" s="9" t="inlineStr">
        <is>
          <t>Legal does not appear as a product or enabler. The obligations register (18 candidate statutory references) has no owner in this catalogue.</t>
        </is>
      </c>
      <c r="J264" s="9" t="inlineStr">
        <is>
          <t>General Counsel</t>
        </is>
      </c>
      <c r="K264" s="9" t="inlineStr">
        <is>
          <t>specialization</t>
        </is>
      </c>
      <c r="L264" s="9" t="inlineStr"/>
      <c r="M264" s="9" t="inlineStr">
        <is>
          <t>medium</t>
        </is>
      </c>
      <c r="N264" s="9" t="inlineStr">
        <is>
          <t>ISO/IEC 42001; Institutional legal framework</t>
        </is>
      </c>
      <c r="O264" s="9" t="inlineStr"/>
      <c r="P264" s="11" t="inlineStr"/>
      <c r="Q264" s="11" t="inlineStr"/>
      <c r="R264" s="11" t="inlineStr"/>
      <c r="S264" s="11" t="inlineStr"/>
      <c r="T264" s="11" t="inlineStr"/>
    </row>
    <row r="265" outlineLevel="1">
      <c r="A265" s="12" t="inlineStr">
        <is>
          <t>L3</t>
        </is>
      </c>
      <c r="B265" s="12" t="inlineStr">
        <is>
          <t>7.6.1</t>
        </is>
      </c>
      <c r="C265" s="12" t="inlineStr">
        <is>
          <t>D7</t>
        </is>
      </c>
      <c r="D265" s="13" t="inlineStr">
        <is>
          <t>Regulatory Horizon Monitoring</t>
        </is>
      </c>
      <c r="E265" s="12" t="inlineStr">
        <is>
          <t>Track AI regulation across the jurisdictions the institution operates in.</t>
        </is>
      </c>
      <c r="F265" s="12" t="inlineStr"/>
      <c r="G265" s="12" t="inlineStr"/>
      <c r="H265" s="12" t="inlineStr"/>
      <c r="I265" s="12" t="inlineStr"/>
      <c r="J265" s="12" t="inlineStr"/>
      <c r="K265" s="12" t="inlineStr"/>
      <c r="L265" s="12" t="inlineStr"/>
      <c r="M265" s="12" t="inlineStr"/>
      <c r="N265" s="12" t="inlineStr"/>
      <c r="O265" s="12" t="inlineStr"/>
      <c r="P265" s="11" t="inlineStr"/>
      <c r="Q265" s="11" t="inlineStr"/>
      <c r="R265" s="12" t="inlineStr"/>
      <c r="S265" s="12" t="inlineStr"/>
      <c r="T265" s="11" t="inlineStr"/>
    </row>
    <row r="266" outlineLevel="1">
      <c r="A266" s="12" t="inlineStr">
        <is>
          <t>L3</t>
        </is>
      </c>
      <c r="B266" s="12" t="inlineStr">
        <is>
          <t>7.6.2</t>
        </is>
      </c>
      <c r="C266" s="12" t="inlineStr">
        <is>
          <t>D7</t>
        </is>
      </c>
      <c r="D266" s="13" t="inlineStr">
        <is>
          <t>Applicability &amp; Obligation Mapping</t>
        </is>
      </c>
      <c r="E266" s="12" t="inlineStr">
        <is>
          <t>Determine which obligations apply to which AI system, and record why.</t>
        </is>
      </c>
      <c r="F266" s="12" t="inlineStr"/>
      <c r="G266" s="12" t="inlineStr"/>
      <c r="H266" s="12" t="inlineStr"/>
      <c r="I266" s="12" t="inlineStr"/>
      <c r="J266" s="12" t="inlineStr"/>
      <c r="K266" s="12" t="inlineStr"/>
      <c r="L266" s="12" t="inlineStr"/>
      <c r="M266" s="12" t="inlineStr"/>
      <c r="N266" s="12" t="inlineStr"/>
      <c r="O266" s="12" t="inlineStr"/>
      <c r="P266" s="11" t="inlineStr"/>
      <c r="Q266" s="11" t="inlineStr"/>
      <c r="R266" s="12" t="inlineStr"/>
      <c r="S266" s="12" t="inlineStr"/>
      <c r="T266" s="11" t="inlineStr"/>
    </row>
    <row r="267" outlineLevel="1">
      <c r="A267" s="12" t="inlineStr">
        <is>
          <t>L3</t>
        </is>
      </c>
      <c r="B267" s="12" t="inlineStr">
        <is>
          <t>7.6.3</t>
        </is>
      </c>
      <c r="C267" s="12" t="inlineStr">
        <is>
          <t>D7</t>
        </is>
      </c>
      <c r="D267" s="13" t="inlineStr">
        <is>
          <t>Intellectual Property &amp; Copyright Control</t>
        </is>
      </c>
      <c r="E267" s="12" t="inlineStr">
        <is>
          <t>Manage IP exposure in both training inputs and generated outputs.</t>
        </is>
      </c>
      <c r="F267" s="12" t="inlineStr"/>
      <c r="G267" s="12" t="inlineStr"/>
      <c r="H267" s="12" t="inlineStr"/>
      <c r="I267" s="12" t="inlineStr"/>
      <c r="J267" s="12" t="inlineStr"/>
      <c r="K267" s="12" t="inlineStr"/>
      <c r="L267" s="12" t="inlineStr"/>
      <c r="M267" s="12" t="inlineStr"/>
      <c r="N267" s="12" t="inlineStr"/>
      <c r="O267" s="12" t="inlineStr"/>
      <c r="P267" s="11" t="inlineStr"/>
      <c r="Q267" s="11" t="inlineStr"/>
      <c r="R267" s="12" t="inlineStr"/>
      <c r="S267" s="12" t="inlineStr"/>
      <c r="T267" s="11" t="inlineStr"/>
    </row>
    <row r="268" outlineLevel="1">
      <c r="A268" s="12" t="inlineStr">
        <is>
          <t>L3</t>
        </is>
      </c>
      <c r="B268" s="12" t="inlineStr">
        <is>
          <t>7.6.4</t>
        </is>
      </c>
      <c r="C268" s="12" t="inlineStr">
        <is>
          <t>D7</t>
        </is>
      </c>
      <c r="D268" s="13" t="inlineStr">
        <is>
          <t>Records, Disclosure &amp; Registration Obligations</t>
        </is>
      </c>
      <c r="E268" s="12" t="inlineStr">
        <is>
          <t>Meet registration, logging and disclosure duties on time.</t>
        </is>
      </c>
      <c r="F268" s="12" t="inlineStr"/>
      <c r="G268" s="12" t="inlineStr"/>
      <c r="H268" s="12" t="inlineStr"/>
      <c r="I268" s="12" t="inlineStr"/>
      <c r="J268" s="12" t="inlineStr"/>
      <c r="K268" s="12" t="inlineStr"/>
      <c r="L268" s="12" t="inlineStr"/>
      <c r="M268" s="12" t="inlineStr"/>
      <c r="N268" s="12" t="inlineStr"/>
      <c r="O268" s="12" t="inlineStr"/>
      <c r="P268" s="11" t="inlineStr"/>
      <c r="Q268" s="11" t="inlineStr"/>
      <c r="R268" s="12" t="inlineStr"/>
      <c r="S268" s="12" t="inlineStr"/>
      <c r="T268" s="11" t="inlineStr"/>
    </row>
    <row r="269" outlineLevel="1">
      <c r="A269" s="12" t="inlineStr">
        <is>
          <t>L3</t>
        </is>
      </c>
      <c r="B269" s="12" t="inlineStr">
        <is>
          <t>7.6.5</t>
        </is>
      </c>
      <c r="C269" s="12" t="inlineStr">
        <is>
          <t>D7</t>
        </is>
      </c>
      <c r="D269" s="13" t="inlineStr">
        <is>
          <t>Institutional Legal Status Determination</t>
        </is>
      </c>
      <c r="E269" s="12" t="inlineStr">
        <is>
          <t>Determine, as a prerequisite to any obligation mapping, how the institution's international legal status affects which AI regimes apply. Not a maturity dimension — a legal determination that exists or does not.</t>
        </is>
      </c>
      <c r="F269" s="12" t="inlineStr"/>
      <c r="G269" s="12" t="inlineStr"/>
      <c r="H269" s="12" t="inlineStr"/>
      <c r="I269" s="12" t="inlineStr"/>
      <c r="J269" s="12" t="inlineStr"/>
      <c r="K269" s="12" t="inlineStr"/>
      <c r="L269" s="12" t="inlineStr"/>
      <c r="M269" s="12" t="inlineStr"/>
      <c r="N269" s="12" t="inlineStr"/>
      <c r="O269" s="12" t="inlineStr"/>
      <c r="P269" s="11" t="inlineStr"/>
      <c r="Q269" s="11" t="inlineStr"/>
      <c r="R269" s="12" t="inlineStr"/>
      <c r="S269" s="12" t="inlineStr"/>
      <c r="T269" s="11" t="inlineStr"/>
    </row>
    <row r="270" outlineLevel="1">
      <c r="A270" s="12" t="inlineStr">
        <is>
          <t>L3</t>
        </is>
      </c>
      <c r="B270" s="12" t="inlineStr">
        <is>
          <t>7.6.6</t>
        </is>
      </c>
      <c r="C270" s="12" t="inlineStr">
        <is>
          <t>D7</t>
        </is>
      </c>
      <c r="D270" s="13" t="inlineStr">
        <is>
          <t>Regulatory Role Determination</t>
        </is>
      </c>
      <c r="E270" s="12" t="inlineStr">
        <is>
          <t>Establish whether the institution acts as provider, deployer or distributor for each AI system, as the prerequisite to obligation mapping.</t>
        </is>
      </c>
      <c r="F270" s="12" t="inlineStr"/>
      <c r="G270" s="12" t="inlineStr"/>
      <c r="H270" s="12" t="inlineStr"/>
      <c r="I270" s="12" t="inlineStr"/>
      <c r="J270" s="12" t="inlineStr"/>
      <c r="K270" s="12" t="inlineStr"/>
      <c r="L270" s="12" t="inlineStr"/>
      <c r="M270" s="12" t="inlineStr"/>
      <c r="N270" s="12" t="inlineStr"/>
      <c r="O270" s="12" t="inlineStr"/>
      <c r="P270" s="11" t="inlineStr"/>
      <c r="Q270" s="11" t="inlineStr"/>
      <c r="R270" s="12" t="inlineStr"/>
      <c r="S270" s="12" t="inlineStr"/>
      <c r="T270" s="11" t="inlineStr"/>
    </row>
    <row r="271">
      <c r="A271" s="8" t="inlineStr">
        <is>
          <t>L2</t>
        </is>
      </c>
      <c r="B271" s="8" t="inlineStr">
        <is>
          <t>7.7</t>
        </is>
      </c>
      <c r="C271" s="8" t="inlineStr">
        <is>
          <t>D7</t>
        </is>
      </c>
      <c r="D271" s="8" t="inlineStr">
        <is>
          <t>AI System &amp; Agent Inventory Management</t>
        </is>
      </c>
      <c r="E271" s="8" t="inlineStr">
        <is>
          <t>Able to state, at any moment, every AI system and agent in operation and who owns it.</t>
        </is>
      </c>
      <c r="F271" s="8" t="inlineStr">
        <is>
          <t>Artificial Intelligence</t>
        </is>
      </c>
      <c r="G271" s="9" t="inlineStr">
        <is>
          <t>JAIRORI@IADB.ORG</t>
        </is>
      </c>
      <c r="H271" s="15" t="inlineStr">
        <is>
          <t>Partial</t>
        </is>
      </c>
      <c r="I271" s="9" t="inlineStr">
        <is>
          <t>AI enabler maintains the enterprise AI capability catalogue. That is a catalogue of what the platform offers, not an inventory of every AI system and agent in operation with a named accountable owner.</t>
        </is>
      </c>
      <c r="J271" s="9" t="inlineStr">
        <is>
          <t>AI Governance Owner</t>
        </is>
      </c>
      <c r="K271" s="9" t="inlineStr">
        <is>
          <t>new</t>
        </is>
      </c>
      <c r="L271" s="9" t="inlineStr">
        <is>
          <t>Y</t>
        </is>
      </c>
      <c r="M271" s="9" t="inlineStr">
        <is>
          <t>low</t>
        </is>
      </c>
      <c r="N271" s="9" t="inlineStr">
        <is>
          <t>ISO/IEC 42001; GAO AI Accountability Framework</t>
        </is>
      </c>
      <c r="O271" s="9" t="inlineStr"/>
      <c r="P271" s="11" t="inlineStr"/>
      <c r="Q271" s="11" t="inlineStr"/>
      <c r="R271" s="11" t="inlineStr"/>
      <c r="S271" s="11" t="inlineStr"/>
      <c r="T271" s="11" t="inlineStr"/>
    </row>
    <row r="272" outlineLevel="1">
      <c r="A272" s="12" t="inlineStr">
        <is>
          <t>L3</t>
        </is>
      </c>
      <c r="B272" s="12" t="inlineStr">
        <is>
          <t>7.7.1</t>
        </is>
      </c>
      <c r="C272" s="12" t="inlineStr">
        <is>
          <t>D7</t>
        </is>
      </c>
      <c r="D272" s="13" t="inlineStr">
        <is>
          <t>AI System Registration</t>
        </is>
      </c>
      <c r="E272" s="12" t="inlineStr">
        <is>
          <t>Register every AI system before it reaches production, with mandatory attributes.</t>
        </is>
      </c>
      <c r="F272" s="12" t="inlineStr"/>
      <c r="G272" s="12" t="inlineStr"/>
      <c r="H272" s="12" t="inlineStr"/>
      <c r="I272" s="12" t="inlineStr"/>
      <c r="J272" s="12" t="inlineStr"/>
      <c r="K272" s="12" t="inlineStr"/>
      <c r="L272" s="12" t="inlineStr">
        <is>
          <t>Y</t>
        </is>
      </c>
      <c r="M272" s="12" t="inlineStr"/>
      <c r="N272" s="12" t="inlineStr"/>
      <c r="O272" s="12" t="inlineStr"/>
      <c r="P272" s="11" t="inlineStr"/>
      <c r="Q272" s="11" t="inlineStr"/>
      <c r="R272" s="12" t="inlineStr"/>
      <c r="S272" s="12" t="inlineStr"/>
      <c r="T272" s="11" t="inlineStr"/>
    </row>
    <row r="273" outlineLevel="1">
      <c r="A273" s="12" t="inlineStr">
        <is>
          <t>L3</t>
        </is>
      </c>
      <c r="B273" s="12" t="inlineStr">
        <is>
          <t>7.7.2</t>
        </is>
      </c>
      <c r="C273" s="12" t="inlineStr">
        <is>
          <t>D7</t>
        </is>
      </c>
      <c r="D273" s="13" t="inlineStr">
        <is>
          <t>Agent Registration &amp; Attribute Recording</t>
        </is>
      </c>
      <c r="E273" s="12" t="inlineStr">
        <is>
          <t>Record each agent in the inventory with its owner, purpose, scope and identity reference.</t>
        </is>
      </c>
      <c r="F273" s="12" t="inlineStr"/>
      <c r="G273" s="12" t="inlineStr"/>
      <c r="H273" s="12" t="inlineStr"/>
      <c r="I273" s="12" t="inlineStr"/>
      <c r="J273" s="12" t="inlineStr"/>
      <c r="K273" s="12" t="inlineStr"/>
      <c r="L273" s="12" t="inlineStr">
        <is>
          <t>Y</t>
        </is>
      </c>
      <c r="M273" s="12" t="inlineStr"/>
      <c r="N273" s="12" t="inlineStr"/>
      <c r="O273" s="12" t="inlineStr"/>
      <c r="P273" s="11" t="inlineStr"/>
      <c r="Q273" s="11" t="inlineStr"/>
      <c r="R273" s="12" t="inlineStr"/>
      <c r="S273" s="12" t="inlineStr"/>
      <c r="T273" s="11" t="inlineStr"/>
    </row>
    <row r="274" outlineLevel="1">
      <c r="A274" s="12" t="inlineStr">
        <is>
          <t>L3</t>
        </is>
      </c>
      <c r="B274" s="12" t="inlineStr">
        <is>
          <t>7.7.3</t>
        </is>
      </c>
      <c r="C274" s="12" t="inlineStr">
        <is>
          <t>D7</t>
        </is>
      </c>
      <c r="D274" s="13" t="inlineStr">
        <is>
          <t>Ownership &amp; Accountability Recording</t>
        </is>
      </c>
      <c r="E274" s="12" t="inlineStr">
        <is>
          <t>Record a named accountable individual for every registered AI system and keep it current as people and teams change.</t>
        </is>
      </c>
      <c r="F274" s="12" t="inlineStr"/>
      <c r="G274" s="12" t="inlineStr"/>
      <c r="H274" s="12" t="inlineStr"/>
      <c r="I274" s="12" t="inlineStr"/>
      <c r="J274" s="12" t="inlineStr"/>
      <c r="K274" s="12" t="inlineStr"/>
      <c r="L274" s="12" t="inlineStr"/>
      <c r="M274" s="12" t="inlineStr"/>
      <c r="N274" s="12" t="inlineStr"/>
      <c r="O274" s="12" t="inlineStr"/>
      <c r="P274" s="11" t="inlineStr"/>
      <c r="Q274" s="11" t="inlineStr"/>
      <c r="R274" s="12" t="inlineStr"/>
      <c r="S274" s="12" t="inlineStr"/>
      <c r="T274" s="11" t="inlineStr"/>
    </row>
    <row r="275" outlineLevel="1">
      <c r="A275" s="12" t="inlineStr">
        <is>
          <t>L3</t>
        </is>
      </c>
      <c r="B275" s="12" t="inlineStr">
        <is>
          <t>7.7.4</t>
        </is>
      </c>
      <c r="C275" s="12" t="inlineStr">
        <is>
          <t>D7</t>
        </is>
      </c>
      <c r="D275" s="13" t="inlineStr">
        <is>
          <t>Shadow AI Discovery</t>
        </is>
      </c>
      <c r="E275" s="12" t="inlineStr">
        <is>
          <t>Find AI in use that was never registered.</t>
        </is>
      </c>
      <c r="F275" s="12" t="inlineStr"/>
      <c r="G275" s="12" t="inlineStr"/>
      <c r="H275" s="12" t="inlineStr"/>
      <c r="I275" s="12" t="inlineStr"/>
      <c r="J275" s="12" t="inlineStr"/>
      <c r="K275" s="12" t="inlineStr"/>
      <c r="L275" s="12" t="inlineStr"/>
      <c r="M275" s="12" t="inlineStr"/>
      <c r="N275" s="12" t="inlineStr"/>
      <c r="O275" s="12" t="inlineStr"/>
      <c r="P275" s="11" t="inlineStr"/>
      <c r="Q275" s="11" t="inlineStr"/>
      <c r="R275" s="12" t="inlineStr"/>
      <c r="S275" s="12" t="inlineStr"/>
      <c r="T275" s="11" t="inlineStr"/>
    </row>
    <row r="276" outlineLevel="1">
      <c r="A276" s="12" t="inlineStr">
        <is>
          <t>L3</t>
        </is>
      </c>
      <c r="B276" s="12" t="inlineStr">
        <is>
          <t>7.7.5</t>
        </is>
      </c>
      <c r="C276" s="12" t="inlineStr">
        <is>
          <t>D7</t>
        </is>
      </c>
      <c r="D276" s="13" t="inlineStr">
        <is>
          <t>Inventory Completeness Assurance</t>
        </is>
      </c>
      <c r="E276" s="12" t="inlineStr">
        <is>
          <t>Test that the inventory is actually complete rather than assumed to be.</t>
        </is>
      </c>
      <c r="F276" s="12" t="inlineStr"/>
      <c r="G276" s="12" t="inlineStr"/>
      <c r="H276" s="12" t="inlineStr"/>
      <c r="I276" s="12" t="inlineStr"/>
      <c r="J276" s="12" t="inlineStr"/>
      <c r="K276" s="12" t="inlineStr"/>
      <c r="L276" s="12" t="inlineStr"/>
      <c r="M276" s="12" t="inlineStr"/>
      <c r="N276" s="12" t="inlineStr"/>
      <c r="O276" s="12" t="inlineStr"/>
      <c r="P276" s="11" t="inlineStr"/>
      <c r="Q276" s="11" t="inlineStr"/>
      <c r="R276" s="12" t="inlineStr"/>
      <c r="S276" s="12" t="inlineStr"/>
      <c r="T276" s="11" t="inlineStr"/>
    </row>
    <row r="277">
      <c r="A277" s="8" t="inlineStr">
        <is>
          <t>L2</t>
        </is>
      </c>
      <c r="B277" s="8" t="inlineStr">
        <is>
          <t>7.8</t>
        </is>
      </c>
      <c r="C277" s="8" t="inlineStr">
        <is>
          <t>D7</t>
        </is>
      </c>
      <c r="D277" s="8" t="inlineStr">
        <is>
          <t>AI Assurance &amp; Evidence Management</t>
        </is>
      </c>
      <c r="E277" s="8" t="inlineStr">
        <is>
          <t>Able to produce and retain evidence about AI that an independent reviewer can rely on. Independent assessment of that evidence is Internal Audit's, not this capability's.</t>
        </is>
      </c>
      <c r="F277" s="8" t="inlineStr">
        <is>
          <t>IT Risk (Compliance)</t>
        </is>
      </c>
      <c r="G277" s="9" t="inlineStr">
        <is>
          <t>julissac@iadb.org</t>
        </is>
      </c>
      <c r="H277" s="15" t="inlineStr">
        <is>
          <t>Partial</t>
        </is>
      </c>
      <c r="I277" s="9" t="inlineStr">
        <is>
          <t>IT Risk claims oversight of internal and external audits and PRAC reviews of control design and implementation. Producing and preserving AI assurance evidence is not named.</t>
        </is>
      </c>
      <c r="J277" s="9" t="inlineStr">
        <is>
          <t>Second-Line Assurance Owner</t>
        </is>
      </c>
      <c r="K277" s="9" t="inlineStr">
        <is>
          <t>specialization</t>
        </is>
      </c>
      <c r="L277" s="9" t="inlineStr"/>
      <c r="M277" s="9" t="inlineStr">
        <is>
          <t>medium</t>
        </is>
      </c>
      <c r="N277" s="9" t="inlineStr">
        <is>
          <t>GAO AI Accountability Framework; ISO/IEC 42001; Institutional internal audit standards</t>
        </is>
      </c>
      <c r="O277" s="9" t="inlineStr"/>
      <c r="P277" s="11" t="inlineStr"/>
      <c r="Q277" s="11" t="inlineStr"/>
      <c r="R277" s="11" t="inlineStr"/>
      <c r="S277" s="11" t="inlineStr"/>
      <c r="T277" s="11" t="inlineStr"/>
    </row>
    <row r="278" outlineLevel="1">
      <c r="A278" s="12" t="inlineStr">
        <is>
          <t>L3</t>
        </is>
      </c>
      <c r="B278" s="12" t="inlineStr">
        <is>
          <t>7.8.1</t>
        </is>
      </c>
      <c r="C278" s="12" t="inlineStr">
        <is>
          <t>D7</t>
        </is>
      </c>
      <c r="D278" s="13" t="inlineStr">
        <is>
          <t>Control Testing &amp; Assurance Planning</t>
        </is>
      </c>
      <c r="E278" s="12" t="inlineStr">
        <is>
          <t>Plan and perform first- and second-line testing of AI controls on a risk basis.</t>
        </is>
      </c>
      <c r="F278" s="12" t="inlineStr"/>
      <c r="G278" s="12" t="inlineStr"/>
      <c r="H278" s="12" t="inlineStr"/>
      <c r="I278" s="12" t="inlineStr"/>
      <c r="J278" s="12" t="inlineStr"/>
      <c r="K278" s="12" t="inlineStr"/>
      <c r="L278" s="12" t="inlineStr"/>
      <c r="M278" s="12" t="inlineStr"/>
      <c r="N278" s="12" t="inlineStr"/>
      <c r="O278" s="12" t="inlineStr"/>
      <c r="P278" s="11" t="inlineStr"/>
      <c r="Q278" s="11" t="inlineStr"/>
      <c r="R278" s="12" t="inlineStr"/>
      <c r="S278" s="12" t="inlineStr"/>
      <c r="T278" s="11" t="inlineStr"/>
    </row>
    <row r="279" outlineLevel="1">
      <c r="A279" s="12" t="inlineStr">
        <is>
          <t>L3</t>
        </is>
      </c>
      <c r="B279" s="12" t="inlineStr">
        <is>
          <t>7.8.2</t>
        </is>
      </c>
      <c r="C279" s="12" t="inlineStr">
        <is>
          <t>D7</t>
        </is>
      </c>
      <c r="D279" s="13" t="inlineStr">
        <is>
          <t>Evidence Management &amp; Audit Trail</t>
        </is>
      </c>
      <c r="E279" s="12" t="inlineStr">
        <is>
          <t>Retain evidence in a form an auditor can rely on, without reconstruction.</t>
        </is>
      </c>
      <c r="F279" s="12" t="inlineStr"/>
      <c r="G279" s="12" t="inlineStr"/>
      <c r="H279" s="12" t="inlineStr"/>
      <c r="I279" s="12" t="inlineStr"/>
      <c r="J279" s="12" t="inlineStr"/>
      <c r="K279" s="12" t="inlineStr"/>
      <c r="L279" s="12" t="inlineStr"/>
      <c r="M279" s="12" t="inlineStr"/>
      <c r="N279" s="12" t="inlineStr"/>
      <c r="O279" s="12" t="inlineStr"/>
      <c r="P279" s="11" t="inlineStr"/>
      <c r="Q279" s="11" t="inlineStr"/>
      <c r="R279" s="12" t="inlineStr"/>
      <c r="S279" s="12" t="inlineStr"/>
      <c r="T279" s="11" t="inlineStr"/>
    </row>
    <row r="280" outlineLevel="1">
      <c r="A280" s="12" t="inlineStr">
        <is>
          <t>L3</t>
        </is>
      </c>
      <c r="B280" s="12" t="inlineStr">
        <is>
          <t>7.8.3</t>
        </is>
      </c>
      <c r="C280" s="12" t="inlineStr">
        <is>
          <t>D7</t>
        </is>
      </c>
      <c r="D280" s="13" t="inlineStr">
        <is>
          <t>External Certification &amp; Attestation</t>
        </is>
      </c>
      <c r="E280" s="12" t="inlineStr">
        <is>
          <t>Obtain and maintain external certification where it is required or valuable.</t>
        </is>
      </c>
      <c r="F280" s="12" t="inlineStr"/>
      <c r="G280" s="12" t="inlineStr"/>
      <c r="H280" s="12" t="inlineStr"/>
      <c r="I280" s="12" t="inlineStr"/>
      <c r="J280" s="12" t="inlineStr"/>
      <c r="K280" s="12" t="inlineStr"/>
      <c r="L280" s="12" t="inlineStr"/>
      <c r="M280" s="12" t="inlineStr"/>
      <c r="N280" s="12" t="inlineStr"/>
      <c r="O280" s="12" t="inlineStr"/>
      <c r="P280" s="11" t="inlineStr"/>
      <c r="Q280" s="11" t="inlineStr"/>
      <c r="R280" s="12" t="inlineStr"/>
      <c r="S280" s="12" t="inlineStr"/>
      <c r="T280" s="11" t="inlineStr"/>
    </row>
    <row r="281" outlineLevel="1">
      <c r="A281" s="12" t="inlineStr">
        <is>
          <t>L3</t>
        </is>
      </c>
      <c r="B281" s="12" t="inlineStr">
        <is>
          <t>7.8.4</t>
        </is>
      </c>
      <c r="C281" s="12" t="inlineStr">
        <is>
          <t>D7</t>
        </is>
      </c>
      <c r="D281" s="13" t="inlineStr">
        <is>
          <t>Finding Remediation Tracking</t>
        </is>
      </c>
      <c r="E281" s="12" t="inlineStr">
        <is>
          <t>Close audit and assurance findings and evidence the closure.</t>
        </is>
      </c>
      <c r="F281" s="12" t="inlineStr"/>
      <c r="G281" s="12" t="inlineStr"/>
      <c r="H281" s="12" t="inlineStr"/>
      <c r="I281" s="12" t="inlineStr"/>
      <c r="J281" s="12" t="inlineStr"/>
      <c r="K281" s="12" t="inlineStr"/>
      <c r="L281" s="12" t="inlineStr"/>
      <c r="M281" s="12" t="inlineStr"/>
      <c r="N281" s="12" t="inlineStr"/>
      <c r="O281" s="12" t="inlineStr"/>
      <c r="P281" s="11" t="inlineStr"/>
      <c r="Q281" s="11" t="inlineStr"/>
      <c r="R281" s="12" t="inlineStr"/>
      <c r="S281" s="12" t="inlineStr"/>
      <c r="T281" s="11" t="inlineStr"/>
    </row>
    <row r="282">
      <c r="A282" s="8" t="inlineStr">
        <is>
          <t>L2</t>
        </is>
      </c>
      <c r="B282" s="8" t="inlineStr">
        <is>
          <t>7.9</t>
        </is>
      </c>
      <c r="C282" s="8" t="inlineStr">
        <is>
          <t>D7</t>
        </is>
      </c>
      <c r="D282" s="8" t="inlineStr">
        <is>
          <t>AI Impact Assessment &amp; Risk Classification</t>
        </is>
      </c>
      <c r="E282" s="8" t="inlineStr">
        <is>
          <t>Able to determine, independently of the team proposing a use case, what impact it may have and what risk tier it belongs to.</t>
        </is>
      </c>
      <c r="F282" s="16" t="inlineStr">
        <is>
          <t>— none in the catalogue —</t>
        </is>
      </c>
      <c r="G282" s="9" t="inlineStr"/>
      <c r="H282" s="17" t="inlineStr">
        <is>
          <t>NO MATCH</t>
        </is>
      </c>
      <c r="I282" s="9" t="inlineStr">
        <is>
          <t>Nobody claims impact assessment or risk classification of AI systems. This is the prerequisite for almost every obligation in the register.</t>
        </is>
      </c>
      <c r="J282" s="9" t="inlineStr">
        <is>
          <t>AI Risk &amp; Governance Owner</t>
        </is>
      </c>
      <c r="K282" s="9" t="inlineStr">
        <is>
          <t>specialization</t>
        </is>
      </c>
      <c r="L282" s="9" t="inlineStr">
        <is>
          <t>Y</t>
        </is>
      </c>
      <c r="M282" s="9" t="inlineStr">
        <is>
          <t>low</t>
        </is>
      </c>
      <c r="N282" s="9" t="inlineStr">
        <is>
          <t>ISO/IEC 42005; ISO/IEC 23894; NIST AI RMF - Map; IIA Three Lines Model</t>
        </is>
      </c>
      <c r="O282" s="9" t="inlineStr"/>
      <c r="P282" s="11" t="inlineStr"/>
      <c r="Q282" s="11" t="inlineStr"/>
      <c r="R282" s="11" t="inlineStr"/>
      <c r="S282" s="11" t="inlineStr"/>
      <c r="T282" s="11" t="inlineStr"/>
    </row>
    <row r="283" outlineLevel="1">
      <c r="A283" s="12" t="inlineStr">
        <is>
          <t>L3</t>
        </is>
      </c>
      <c r="B283" s="12" t="inlineStr">
        <is>
          <t>7.9.1</t>
        </is>
      </c>
      <c r="C283" s="12" t="inlineStr">
        <is>
          <t>D7</t>
        </is>
      </c>
      <c r="D283" s="13" t="inlineStr">
        <is>
          <t>AI System Impact Assessment</t>
        </is>
      </c>
      <c r="E283" s="12" t="inlineStr">
        <is>
          <t>Conduct the structured impact assessment on affected individuals and groups per ISO/IEC 42005.</t>
        </is>
      </c>
      <c r="F283" s="12" t="inlineStr"/>
      <c r="G283" s="12" t="inlineStr"/>
      <c r="H283" s="12" t="inlineStr"/>
      <c r="I283" s="12" t="inlineStr"/>
      <c r="J283" s="12" t="inlineStr"/>
      <c r="K283" s="12" t="inlineStr"/>
      <c r="L283" s="12" t="inlineStr"/>
      <c r="M283" s="12" t="inlineStr"/>
      <c r="N283" s="12" t="inlineStr"/>
      <c r="O283" s="12" t="inlineStr"/>
      <c r="P283" s="11" t="inlineStr"/>
      <c r="Q283" s="11" t="inlineStr"/>
      <c r="R283" s="12" t="inlineStr"/>
      <c r="S283" s="12" t="inlineStr"/>
      <c r="T283" s="11" t="inlineStr"/>
    </row>
    <row r="284" outlineLevel="1">
      <c r="A284" s="12" t="inlineStr">
        <is>
          <t>L3</t>
        </is>
      </c>
      <c r="B284" s="12" t="inlineStr">
        <is>
          <t>7.9.2</t>
        </is>
      </c>
      <c r="C284" s="12" t="inlineStr">
        <is>
          <t>D7</t>
        </is>
      </c>
      <c r="D284" s="13" t="inlineStr">
        <is>
          <t>Rights Impact Assessment Determination</t>
        </is>
      </c>
      <c r="E284" s="12" t="inlineStr">
        <is>
          <t>Determine whether a fundamental-rights impact assessment is required for a use case, and conduct it where it is.</t>
        </is>
      </c>
      <c r="F284" s="12" t="inlineStr"/>
      <c r="G284" s="12" t="inlineStr"/>
      <c r="H284" s="12" t="inlineStr"/>
      <c r="I284" s="12" t="inlineStr"/>
      <c r="J284" s="12" t="inlineStr"/>
      <c r="K284" s="12" t="inlineStr"/>
      <c r="L284" s="12" t="inlineStr"/>
      <c r="M284" s="12" t="inlineStr"/>
      <c r="N284" s="12" t="inlineStr"/>
      <c r="O284" s="12" t="inlineStr"/>
      <c r="P284" s="11" t="inlineStr"/>
      <c r="Q284" s="11" t="inlineStr"/>
      <c r="R284" s="12" t="inlineStr"/>
      <c r="S284" s="12" t="inlineStr"/>
      <c r="T284" s="11" t="inlineStr"/>
    </row>
    <row r="285" outlineLevel="1">
      <c r="A285" s="12" t="inlineStr">
        <is>
          <t>L3</t>
        </is>
      </c>
      <c r="B285" s="12" t="inlineStr">
        <is>
          <t>7.9.3</t>
        </is>
      </c>
      <c r="C285" s="12" t="inlineStr">
        <is>
          <t>D7</t>
        </is>
      </c>
      <c r="D285" s="13" t="inlineStr">
        <is>
          <t>Risk Classification &amp; Tiering</t>
        </is>
      </c>
      <c r="E285" s="12" t="inlineStr">
        <is>
          <t>Assign each use case to a risk tier that determines the controls it must carry.</t>
        </is>
      </c>
      <c r="F285" s="12" t="inlineStr"/>
      <c r="G285" s="12" t="inlineStr"/>
      <c r="H285" s="12" t="inlineStr"/>
      <c r="I285" s="12" t="inlineStr"/>
      <c r="J285" s="12" t="inlineStr"/>
      <c r="K285" s="12" t="inlineStr"/>
      <c r="L285" s="12" t="inlineStr"/>
      <c r="M285" s="12" t="inlineStr"/>
      <c r="N285" s="12" t="inlineStr"/>
      <c r="O285" s="12" t="inlineStr"/>
      <c r="P285" s="11" t="inlineStr"/>
      <c r="Q285" s="11" t="inlineStr"/>
      <c r="R285" s="12" t="inlineStr"/>
      <c r="S285" s="12" t="inlineStr"/>
      <c r="T285" s="11" t="inlineStr"/>
    </row>
    <row r="286" outlineLevel="1">
      <c r="A286" s="12" t="inlineStr">
        <is>
          <t>L3</t>
        </is>
      </c>
      <c r="B286" s="12" t="inlineStr">
        <is>
          <t>7.9.4</t>
        </is>
      </c>
      <c r="C286" s="12" t="inlineStr">
        <is>
          <t>D7</t>
        </is>
      </c>
      <c r="D286" s="13" t="inlineStr">
        <is>
          <t>Classification Review &amp; Reclassification</t>
        </is>
      </c>
      <c r="E286" s="12" t="inlineStr">
        <is>
          <t>Re-examine impact and risk tier when purpose, data, autonomy or affected population materially change.</t>
        </is>
      </c>
      <c r="F286" s="12" t="inlineStr"/>
      <c r="G286" s="12" t="inlineStr"/>
      <c r="H286" s="12" t="inlineStr"/>
      <c r="I286" s="12" t="inlineStr"/>
      <c r="J286" s="12" t="inlineStr"/>
      <c r="K286" s="12" t="inlineStr"/>
      <c r="L286" s="12" t="inlineStr"/>
      <c r="M286" s="12" t="inlineStr"/>
      <c r="N286" s="12" t="inlineStr"/>
      <c r="O286" s="12" t="inlineStr"/>
      <c r="P286" s="11" t="inlineStr"/>
      <c r="Q286" s="11" t="inlineStr"/>
      <c r="R286" s="12" t="inlineStr"/>
      <c r="S286" s="12" t="inlineStr"/>
      <c r="T286" s="11" t="inlineStr"/>
    </row>
    <row r="287" outlineLevel="1">
      <c r="A287" s="12" t="inlineStr">
        <is>
          <t>L3</t>
        </is>
      </c>
      <c r="B287" s="12" t="inlineStr">
        <is>
          <t>7.9.5</t>
        </is>
      </c>
      <c r="C287" s="12" t="inlineStr">
        <is>
          <t>D7</t>
        </is>
      </c>
      <c r="D287" s="13" t="inlineStr">
        <is>
          <t>Independent Challenge of First-Line Classification</t>
        </is>
      </c>
      <c r="E287" s="12" t="inlineStr">
        <is>
          <t>Challenge and, where warranted, overturn a proposing team's own assessment of impact or risk tier.</t>
        </is>
      </c>
      <c r="F287" s="12" t="inlineStr"/>
      <c r="G287" s="12" t="inlineStr"/>
      <c r="H287" s="12" t="inlineStr"/>
      <c r="I287" s="12" t="inlineStr"/>
      <c r="J287" s="12" t="inlineStr"/>
      <c r="K287" s="12" t="inlineStr"/>
      <c r="L287" s="12" t="inlineStr">
        <is>
          <t>Y</t>
        </is>
      </c>
      <c r="M287" s="12" t="inlineStr"/>
      <c r="N287" s="12" t="inlineStr"/>
      <c r="O287" s="12" t="inlineStr"/>
      <c r="P287" s="11" t="inlineStr"/>
      <c r="Q287" s="11" t="inlineStr"/>
      <c r="R287" s="12" t="inlineStr"/>
      <c r="S287" s="12" t="inlineStr"/>
      <c r="T287" s="11" t="inlineStr"/>
    </row>
    <row r="288">
      <c r="A288" s="7" t="inlineStr">
        <is>
          <t>Domain</t>
        </is>
      </c>
      <c r="B288" s="7" t="inlineStr">
        <is>
          <t>D8</t>
        </is>
      </c>
      <c r="C288" s="7" t="inlineStr">
        <is>
          <t>D8</t>
        </is>
      </c>
      <c r="D288" s="7" t="inlineStr">
        <is>
          <t>AI People, Skills &amp; Adoption</t>
        </is>
      </c>
      <c r="E288" s="7" t="inlineStr">
        <is>
          <t>Able to build and sustain the human side of AI: who does it, who can, and who will.</t>
        </is>
      </c>
      <c r="F288" s="7" t="n"/>
      <c r="G288" s="7" t="n"/>
      <c r="H288" s="7" t="n"/>
      <c r="I288" s="7" t="n"/>
      <c r="J288" s="7" t="n"/>
      <c r="K288" s="7" t="n"/>
      <c r="L288" s="7" t="n"/>
      <c r="M288" s="7" t="n"/>
      <c r="N288" s="7" t="n"/>
      <c r="O288" s="7" t="n"/>
      <c r="P288" s="7" t="n"/>
      <c r="Q288" s="7" t="n"/>
      <c r="R288" s="7" t="n"/>
      <c r="S288" s="7" t="n"/>
      <c r="T288" s="7" t="inlineStr"/>
    </row>
    <row r="289">
      <c r="A289" s="8" t="inlineStr">
        <is>
          <t>L2</t>
        </is>
      </c>
      <c r="B289" s="8" t="inlineStr">
        <is>
          <t>8.1</t>
        </is>
      </c>
      <c r="C289" s="8" t="inlineStr">
        <is>
          <t>D8</t>
        </is>
      </c>
      <c r="D289" s="8" t="inlineStr">
        <is>
          <t>AI Operating Model &amp; Decision Rights</t>
        </is>
      </c>
      <c r="E289" s="8" t="inlineStr">
        <is>
          <t>Able to say who decides what about AI, and who does the work.</t>
        </is>
      </c>
      <c r="F289" s="8" t="inlineStr">
        <is>
          <t>Strategic Portfolio Management</t>
        </is>
      </c>
      <c r="G289" s="9" t="inlineStr">
        <is>
          <t>SUSANAP@IADB.ORG / Cesar Garces</t>
        </is>
      </c>
      <c r="H289" s="14" t="inlineStr">
        <is>
          <t>Inferred</t>
        </is>
      </c>
      <c r="I289" s="9" t="inlineStr">
        <is>
          <t>SPM claims the Governance Framework (reviews, approvals, tracking of decisions) and Ways of working. AI decision rights specifically are not named.</t>
        </is>
      </c>
      <c r="J289" s="9" t="inlineStr">
        <is>
          <t>Chief AI Officer</t>
        </is>
      </c>
      <c r="K289" s="9" t="inlineStr">
        <is>
          <t>lens</t>
        </is>
      </c>
      <c r="L289" s="9" t="inlineStr"/>
      <c r="M289" s="9" t="inlineStr">
        <is>
          <t>high</t>
        </is>
      </c>
      <c r="N289" s="9" t="inlineStr">
        <is>
          <t>WEF AI-First Operating System; MITRE AI Maturity Model; ISO/IEC 38507</t>
        </is>
      </c>
      <c r="O289" s="9" t="inlineStr"/>
      <c r="P289" s="11" t="inlineStr"/>
      <c r="Q289" s="11" t="inlineStr"/>
      <c r="R289" s="11" t="inlineStr"/>
      <c r="S289" s="11" t="inlineStr"/>
      <c r="T289" s="11" t="inlineStr"/>
    </row>
    <row r="290" outlineLevel="1">
      <c r="A290" s="12" t="inlineStr">
        <is>
          <t>L3</t>
        </is>
      </c>
      <c r="B290" s="12" t="inlineStr">
        <is>
          <t>8.1.1</t>
        </is>
      </c>
      <c r="C290" s="12" t="inlineStr">
        <is>
          <t>D8</t>
        </is>
      </c>
      <c r="D290" s="13" t="inlineStr">
        <is>
          <t>Operating Model Design</t>
        </is>
      </c>
      <c r="E290" s="12" t="inlineStr">
        <is>
          <t>Choose and maintain the centralized, federated or hybrid model for AI work.</t>
        </is>
      </c>
      <c r="F290" s="12" t="inlineStr"/>
      <c r="G290" s="12" t="inlineStr"/>
      <c r="H290" s="12" t="inlineStr"/>
      <c r="I290" s="12" t="inlineStr"/>
      <c r="J290" s="12" t="inlineStr"/>
      <c r="K290" s="12" t="inlineStr"/>
      <c r="L290" s="12" t="inlineStr"/>
      <c r="M290" s="12" t="inlineStr"/>
      <c r="N290" s="12" t="inlineStr"/>
      <c r="O290" s="12" t="inlineStr"/>
      <c r="P290" s="11" t="inlineStr"/>
      <c r="Q290" s="11" t="inlineStr"/>
      <c r="R290" s="12" t="inlineStr"/>
      <c r="S290" s="12" t="inlineStr"/>
      <c r="T290" s="11" t="inlineStr"/>
    </row>
    <row r="291" outlineLevel="1">
      <c r="A291" s="12" t="inlineStr">
        <is>
          <t>L3</t>
        </is>
      </c>
      <c r="B291" s="12" t="inlineStr">
        <is>
          <t>8.1.2</t>
        </is>
      </c>
      <c r="C291" s="12" t="inlineStr">
        <is>
          <t>D8</t>
        </is>
      </c>
      <c r="D291" s="13" t="inlineStr">
        <is>
          <t>Role &amp; Responsibility Definition</t>
        </is>
      </c>
      <c r="E291" s="12" t="inlineStr">
        <is>
          <t>Define the AI roles the institution needs and what each is accountable for.</t>
        </is>
      </c>
      <c r="F291" s="12" t="inlineStr"/>
      <c r="G291" s="12" t="inlineStr"/>
      <c r="H291" s="12" t="inlineStr"/>
      <c r="I291" s="12" t="inlineStr"/>
      <c r="J291" s="12" t="inlineStr"/>
      <c r="K291" s="12" t="inlineStr"/>
      <c r="L291" s="12" t="inlineStr"/>
      <c r="M291" s="12" t="inlineStr"/>
      <c r="N291" s="12" t="inlineStr"/>
      <c r="O291" s="12" t="inlineStr"/>
      <c r="P291" s="11" t="inlineStr"/>
      <c r="Q291" s="11" t="inlineStr"/>
      <c r="R291" s="12" t="inlineStr"/>
      <c r="S291" s="12" t="inlineStr"/>
      <c r="T291" s="11" t="inlineStr"/>
    </row>
    <row r="292" outlineLevel="1">
      <c r="A292" s="12" t="inlineStr">
        <is>
          <t>L3</t>
        </is>
      </c>
      <c r="B292" s="12" t="inlineStr">
        <is>
          <t>8.1.3</t>
        </is>
      </c>
      <c r="C292" s="12" t="inlineStr">
        <is>
          <t>D8</t>
        </is>
      </c>
      <c r="D292" s="13" t="inlineStr">
        <is>
          <t>Decision Rights &amp; Escalation Paths</t>
        </is>
      </c>
      <c r="E292" s="12" t="inlineStr">
        <is>
          <t>State who may decide what, and where a disagreement goes.</t>
        </is>
      </c>
      <c r="F292" s="12" t="inlineStr"/>
      <c r="G292" s="12" t="inlineStr"/>
      <c r="H292" s="12" t="inlineStr"/>
      <c r="I292" s="12" t="inlineStr"/>
      <c r="J292" s="12" t="inlineStr"/>
      <c r="K292" s="12" t="inlineStr"/>
      <c r="L292" s="12" t="inlineStr"/>
      <c r="M292" s="12" t="inlineStr"/>
      <c r="N292" s="12" t="inlineStr"/>
      <c r="O292" s="12" t="inlineStr"/>
      <c r="P292" s="11" t="inlineStr"/>
      <c r="Q292" s="11" t="inlineStr"/>
      <c r="R292" s="12" t="inlineStr"/>
      <c r="S292" s="12" t="inlineStr"/>
      <c r="T292" s="11" t="inlineStr"/>
    </row>
    <row r="293" outlineLevel="1">
      <c r="A293" s="12" t="inlineStr">
        <is>
          <t>L3</t>
        </is>
      </c>
      <c r="B293" s="12" t="inlineStr">
        <is>
          <t>8.1.4</t>
        </is>
      </c>
      <c r="C293" s="12" t="inlineStr">
        <is>
          <t>D8</t>
        </is>
      </c>
      <c r="D293" s="13" t="inlineStr">
        <is>
          <t>Capacity &amp; Resourcing Management</t>
        </is>
      </c>
      <c r="E293" s="12" t="inlineStr">
        <is>
          <t>Match available skilled capacity to the committed portfolio.</t>
        </is>
      </c>
      <c r="F293" s="12" t="inlineStr"/>
      <c r="G293" s="12" t="inlineStr"/>
      <c r="H293" s="12" t="inlineStr"/>
      <c r="I293" s="12" t="inlineStr"/>
      <c r="J293" s="12" t="inlineStr"/>
      <c r="K293" s="12" t="inlineStr"/>
      <c r="L293" s="12" t="inlineStr"/>
      <c r="M293" s="12" t="inlineStr"/>
      <c r="N293" s="12" t="inlineStr"/>
      <c r="O293" s="12" t="inlineStr"/>
      <c r="P293" s="11" t="inlineStr"/>
      <c r="Q293" s="11" t="inlineStr"/>
      <c r="R293" s="12" t="inlineStr"/>
      <c r="S293" s="12" t="inlineStr"/>
      <c r="T293" s="11" t="inlineStr"/>
    </row>
    <row r="294">
      <c r="A294" s="8" t="inlineStr">
        <is>
          <t>L2</t>
        </is>
      </c>
      <c r="B294" s="8" t="inlineStr">
        <is>
          <t>8.2</t>
        </is>
      </c>
      <c r="C294" s="8" t="inlineStr">
        <is>
          <t>D8</t>
        </is>
      </c>
      <c r="D294" s="8" t="inlineStr">
        <is>
          <t>AI Skills &amp; Specialist Capability Building</t>
        </is>
      </c>
      <c r="E294" s="8" t="inlineStr">
        <is>
          <t>Able to grow and retain the specialist skill the portfolio depends on.</t>
        </is>
      </c>
      <c r="F294" s="8" t="inlineStr">
        <is>
          <t>Strategic Resource Management</t>
        </is>
      </c>
      <c r="G294" s="9" t="inlineStr">
        <is>
          <t>BrunoFe@iadb.org</t>
        </is>
      </c>
      <c r="H294" s="15" t="inlineStr">
        <is>
          <t>Partial</t>
        </is>
      </c>
      <c r="I294" s="9" t="inlineStr">
        <is>
          <t>SRM claims People Management and Development; People Management (product) claims Learning. Neither names AI skills or specialist capability building.</t>
        </is>
      </c>
      <c r="J294" s="9" t="inlineStr">
        <is>
          <t>Chief Human Resources Officer</t>
        </is>
      </c>
      <c r="K294" s="9" t="inlineStr">
        <is>
          <t>lens</t>
        </is>
      </c>
      <c r="L294" s="9" t="inlineStr"/>
      <c r="M294" s="9" t="inlineStr">
        <is>
          <t>high</t>
        </is>
      </c>
      <c r="N294" s="9" t="inlineStr">
        <is>
          <t>AWS CAF-AI - People perspective; WEF AI-First Operating System; Google AI Adoption Framework</t>
        </is>
      </c>
      <c r="O294" s="9" t="inlineStr"/>
      <c r="P294" s="11" t="inlineStr"/>
      <c r="Q294" s="11" t="inlineStr"/>
      <c r="R294" s="11" t="inlineStr"/>
      <c r="S294" s="11" t="inlineStr"/>
      <c r="T294" s="11" t="inlineStr"/>
    </row>
    <row r="295" outlineLevel="1">
      <c r="A295" s="12" t="inlineStr">
        <is>
          <t>L3</t>
        </is>
      </c>
      <c r="B295" s="12" t="inlineStr">
        <is>
          <t>8.2.1</t>
        </is>
      </c>
      <c r="C295" s="12" t="inlineStr">
        <is>
          <t>D8</t>
        </is>
      </c>
      <c r="D295" s="13" t="inlineStr">
        <is>
          <t>Skills Taxonomy &amp; Assessment</t>
        </is>
      </c>
      <c r="E295" s="12" t="inlineStr">
        <is>
          <t>Define the AI skills required and assess where the institution stands.</t>
        </is>
      </c>
      <c r="F295" s="12" t="inlineStr"/>
      <c r="G295" s="12" t="inlineStr"/>
      <c r="H295" s="12" t="inlineStr"/>
      <c r="I295" s="12" t="inlineStr"/>
      <c r="J295" s="12" t="inlineStr"/>
      <c r="K295" s="12" t="inlineStr"/>
      <c r="L295" s="12" t="inlineStr"/>
      <c r="M295" s="12" t="inlineStr"/>
      <c r="N295" s="12" t="inlineStr"/>
      <c r="O295" s="12" t="inlineStr"/>
      <c r="P295" s="11" t="inlineStr"/>
      <c r="Q295" s="11" t="inlineStr"/>
      <c r="R295" s="12" t="inlineStr"/>
      <c r="S295" s="12" t="inlineStr"/>
      <c r="T295" s="11" t="inlineStr"/>
    </row>
    <row r="296" outlineLevel="1">
      <c r="A296" s="12" t="inlineStr">
        <is>
          <t>L3</t>
        </is>
      </c>
      <c r="B296" s="12" t="inlineStr">
        <is>
          <t>8.2.2</t>
        </is>
      </c>
      <c r="C296" s="12" t="inlineStr">
        <is>
          <t>D8</t>
        </is>
      </c>
      <c r="D296" s="13" t="inlineStr">
        <is>
          <t>Training &amp; Certification Delivery</t>
        </is>
      </c>
      <c r="E296" s="12" t="inlineStr">
        <is>
          <t>Deliver structured learning against identified gaps.</t>
        </is>
      </c>
      <c r="F296" s="12" t="inlineStr"/>
      <c r="G296" s="12" t="inlineStr"/>
      <c r="H296" s="12" t="inlineStr"/>
      <c r="I296" s="12" t="inlineStr"/>
      <c r="J296" s="12" t="inlineStr"/>
      <c r="K296" s="12" t="inlineStr"/>
      <c r="L296" s="12" t="inlineStr"/>
      <c r="M296" s="12" t="inlineStr"/>
      <c r="N296" s="12" t="inlineStr"/>
      <c r="O296" s="12" t="inlineStr"/>
      <c r="P296" s="11" t="inlineStr"/>
      <c r="Q296" s="11" t="inlineStr"/>
      <c r="R296" s="12" t="inlineStr"/>
      <c r="S296" s="12" t="inlineStr"/>
      <c r="T296" s="11" t="inlineStr"/>
    </row>
    <row r="297" outlineLevel="1">
      <c r="A297" s="12" t="inlineStr">
        <is>
          <t>L3</t>
        </is>
      </c>
      <c r="B297" s="12" t="inlineStr">
        <is>
          <t>8.2.3</t>
        </is>
      </c>
      <c r="C297" s="12" t="inlineStr">
        <is>
          <t>D8</t>
        </is>
      </c>
      <c r="D297" s="13" t="inlineStr">
        <is>
          <t>Recruitment &amp; Talent Acquisition</t>
        </is>
      </c>
      <c r="E297" s="12" t="inlineStr">
        <is>
          <t>Acquire skills the institution cannot build in time.</t>
        </is>
      </c>
      <c r="F297" s="12" t="inlineStr"/>
      <c r="G297" s="12" t="inlineStr"/>
      <c r="H297" s="12" t="inlineStr"/>
      <c r="I297" s="12" t="inlineStr"/>
      <c r="J297" s="12" t="inlineStr"/>
      <c r="K297" s="12" t="inlineStr"/>
      <c r="L297" s="12" t="inlineStr"/>
      <c r="M297" s="12" t="inlineStr"/>
      <c r="N297" s="12" t="inlineStr"/>
      <c r="O297" s="12" t="inlineStr"/>
      <c r="P297" s="11" t="inlineStr"/>
      <c r="Q297" s="11" t="inlineStr"/>
      <c r="R297" s="12" t="inlineStr"/>
      <c r="S297" s="12" t="inlineStr"/>
      <c r="T297" s="11" t="inlineStr"/>
    </row>
    <row r="298" outlineLevel="1">
      <c r="A298" s="12" t="inlineStr">
        <is>
          <t>L3</t>
        </is>
      </c>
      <c r="B298" s="12" t="inlineStr">
        <is>
          <t>8.2.4</t>
        </is>
      </c>
      <c r="C298" s="12" t="inlineStr">
        <is>
          <t>D8</t>
        </is>
      </c>
      <c r="D298" s="13" t="inlineStr">
        <is>
          <t>Career Pathways &amp; Retention</t>
        </is>
      </c>
      <c r="E298" s="12" t="inlineStr">
        <is>
          <t>Give AI practitioners a reason to stay.</t>
        </is>
      </c>
      <c r="F298" s="12" t="inlineStr"/>
      <c r="G298" s="12" t="inlineStr"/>
      <c r="H298" s="12" t="inlineStr"/>
      <c r="I298" s="12" t="inlineStr"/>
      <c r="J298" s="12" t="inlineStr"/>
      <c r="K298" s="12" t="inlineStr"/>
      <c r="L298" s="12" t="inlineStr"/>
      <c r="M298" s="12" t="inlineStr"/>
      <c r="N298" s="12" t="inlineStr"/>
      <c r="O298" s="12" t="inlineStr"/>
      <c r="P298" s="11" t="inlineStr"/>
      <c r="Q298" s="11" t="inlineStr"/>
      <c r="R298" s="12" t="inlineStr"/>
      <c r="S298" s="12" t="inlineStr"/>
      <c r="T298" s="11" t="inlineStr"/>
    </row>
    <row r="299">
      <c r="A299" s="8" t="inlineStr">
        <is>
          <t>L2</t>
        </is>
      </c>
      <c r="B299" s="8" t="inlineStr">
        <is>
          <t>8.3</t>
        </is>
      </c>
      <c r="C299" s="8" t="inlineStr">
        <is>
          <t>D8</t>
        </is>
      </c>
      <c r="D299" s="8" t="inlineStr">
        <is>
          <t>AI Literacy &amp; Awareness</t>
        </is>
      </c>
      <c r="E299" s="8" t="inlineStr">
        <is>
          <t>Able to ensure everyone who uses or is affected by AI understands enough to act safely.</t>
        </is>
      </c>
      <c r="F299" s="8" t="inlineStr">
        <is>
          <t>Emerging Tech</t>
        </is>
      </c>
      <c r="G299" s="9" t="inlineStr">
        <is>
          <t>rcerrato@IADB.ORG</t>
        </is>
      </c>
      <c r="H299" s="15" t="inlineStr">
        <is>
          <t>Partial</t>
        </is>
      </c>
      <c r="I299" s="9" t="inlineStr">
        <is>
          <t>Emerging Tech claims Technological awareness — events, workshops and sessions to disseminate knowledge. Bank-wide AI literacy is broader than that and is not named by anyone.</t>
        </is>
      </c>
      <c r="J299" s="9" t="inlineStr">
        <is>
          <t>Learning &amp; Development Owner</t>
        </is>
      </c>
      <c r="K299" s="9" t="inlineStr">
        <is>
          <t>new</t>
        </is>
      </c>
      <c r="L299" s="9" t="inlineStr"/>
      <c r="M299" s="9" t="inlineStr">
        <is>
          <t>medium</t>
        </is>
      </c>
      <c r="N299" s="9" t="inlineStr">
        <is>
          <t>ISO/IEC 42001; OECD AI Principles</t>
        </is>
      </c>
      <c r="O299" s="9" t="inlineStr"/>
      <c r="P299" s="11" t="inlineStr"/>
      <c r="Q299" s="11" t="inlineStr"/>
      <c r="R299" s="11" t="inlineStr"/>
      <c r="S299" s="11" t="inlineStr"/>
      <c r="T299" s="11" t="inlineStr"/>
    </row>
    <row r="300" outlineLevel="1">
      <c r="A300" s="12" t="inlineStr">
        <is>
          <t>L3</t>
        </is>
      </c>
      <c r="B300" s="12" t="inlineStr">
        <is>
          <t>8.3.1</t>
        </is>
      </c>
      <c r="C300" s="12" t="inlineStr">
        <is>
          <t>D8</t>
        </is>
      </c>
      <c r="D300" s="13" t="inlineStr">
        <is>
          <t>Baseline AI Literacy Delivery</t>
        </is>
      </c>
      <c r="E300" s="12" t="inlineStr">
        <is>
          <t>Deliver a common minimum level of AI understanding across the institution.</t>
        </is>
      </c>
      <c r="F300" s="12" t="inlineStr"/>
      <c r="G300" s="12" t="inlineStr"/>
      <c r="H300" s="12" t="inlineStr"/>
      <c r="I300" s="12" t="inlineStr"/>
      <c r="J300" s="12" t="inlineStr"/>
      <c r="K300" s="12" t="inlineStr"/>
      <c r="L300" s="12" t="inlineStr"/>
      <c r="M300" s="12" t="inlineStr"/>
      <c r="N300" s="12" t="inlineStr"/>
      <c r="O300" s="12" t="inlineStr"/>
      <c r="P300" s="11" t="inlineStr"/>
      <c r="Q300" s="11" t="inlineStr"/>
      <c r="R300" s="12" t="inlineStr"/>
      <c r="S300" s="12" t="inlineStr"/>
      <c r="T300" s="11" t="inlineStr"/>
    </row>
    <row r="301" outlineLevel="1">
      <c r="A301" s="12" t="inlineStr">
        <is>
          <t>L3</t>
        </is>
      </c>
      <c r="B301" s="12" t="inlineStr">
        <is>
          <t>8.3.2</t>
        </is>
      </c>
      <c r="C301" s="12" t="inlineStr">
        <is>
          <t>D8</t>
        </is>
      </c>
      <c r="D301" s="13" t="inlineStr">
        <is>
          <t>Role-Specific Awareness</t>
        </is>
      </c>
      <c r="E301" s="12" t="inlineStr">
        <is>
          <t>Give each role the specific understanding its AI exposure requires.</t>
        </is>
      </c>
      <c r="F301" s="12" t="inlineStr"/>
      <c r="G301" s="12" t="inlineStr"/>
      <c r="H301" s="12" t="inlineStr"/>
      <c r="I301" s="12" t="inlineStr"/>
      <c r="J301" s="12" t="inlineStr"/>
      <c r="K301" s="12" t="inlineStr"/>
      <c r="L301" s="12" t="inlineStr"/>
      <c r="M301" s="12" t="inlineStr"/>
      <c r="N301" s="12" t="inlineStr"/>
      <c r="O301" s="12" t="inlineStr"/>
      <c r="P301" s="11" t="inlineStr"/>
      <c r="Q301" s="11" t="inlineStr"/>
      <c r="R301" s="12" t="inlineStr"/>
      <c r="S301" s="12" t="inlineStr"/>
      <c r="T301" s="11" t="inlineStr"/>
    </row>
    <row r="302" outlineLevel="1">
      <c r="A302" s="12" t="inlineStr">
        <is>
          <t>L3</t>
        </is>
      </c>
      <c r="B302" s="12" t="inlineStr">
        <is>
          <t>8.3.3</t>
        </is>
      </c>
      <c r="C302" s="12" t="inlineStr">
        <is>
          <t>D8</t>
        </is>
      </c>
      <c r="D302" s="13" t="inlineStr">
        <is>
          <t>Acceptable Use Communication</t>
        </is>
      </c>
      <c r="E302" s="12" t="inlineStr">
        <is>
          <t>Make clear, in practical terms, what staff may and may not do with AI.</t>
        </is>
      </c>
      <c r="F302" s="12" t="inlineStr"/>
      <c r="G302" s="12" t="inlineStr"/>
      <c r="H302" s="12" t="inlineStr"/>
      <c r="I302" s="12" t="inlineStr"/>
      <c r="J302" s="12" t="inlineStr"/>
      <c r="K302" s="12" t="inlineStr"/>
      <c r="L302" s="12" t="inlineStr"/>
      <c r="M302" s="12" t="inlineStr"/>
      <c r="N302" s="12" t="inlineStr"/>
      <c r="O302" s="12" t="inlineStr"/>
      <c r="P302" s="11" t="inlineStr"/>
      <c r="Q302" s="11" t="inlineStr"/>
      <c r="R302" s="12" t="inlineStr"/>
      <c r="S302" s="12" t="inlineStr"/>
      <c r="T302" s="11" t="inlineStr"/>
    </row>
    <row r="303" outlineLevel="1">
      <c r="A303" s="12" t="inlineStr">
        <is>
          <t>L3</t>
        </is>
      </c>
      <c r="B303" s="12" t="inlineStr">
        <is>
          <t>8.3.4</t>
        </is>
      </c>
      <c r="C303" s="12" t="inlineStr">
        <is>
          <t>D8</t>
        </is>
      </c>
      <c r="D303" s="13" t="inlineStr">
        <is>
          <t>Literacy Coverage Evidence</t>
        </is>
      </c>
      <c r="E303" s="12" t="inlineStr">
        <is>
          <t>Evidence who has received what AI training, to the standard the institution's own policy sets.</t>
        </is>
      </c>
      <c r="F303" s="12" t="inlineStr"/>
      <c r="G303" s="12" t="inlineStr"/>
      <c r="H303" s="12" t="inlineStr"/>
      <c r="I303" s="12" t="inlineStr"/>
      <c r="J303" s="12" t="inlineStr"/>
      <c r="K303" s="12" t="inlineStr"/>
      <c r="L303" s="12" t="inlineStr"/>
      <c r="M303" s="12" t="inlineStr"/>
      <c r="N303" s="12" t="inlineStr"/>
      <c r="O303" s="12" t="inlineStr"/>
      <c r="P303" s="11" t="inlineStr"/>
      <c r="Q303" s="11" t="inlineStr"/>
      <c r="R303" s="12" t="inlineStr"/>
      <c r="S303" s="12" t="inlineStr"/>
      <c r="T303" s="11" t="inlineStr"/>
    </row>
    <row r="304">
      <c r="A304" s="8" t="inlineStr">
        <is>
          <t>L2</t>
        </is>
      </c>
      <c r="B304" s="8" t="inlineStr">
        <is>
          <t>8.4</t>
        </is>
      </c>
      <c r="C304" s="8" t="inlineStr">
        <is>
          <t>D8</t>
        </is>
      </c>
      <c r="D304" s="8" t="inlineStr">
        <is>
          <t>AI Adoption, Enablement &amp; Support</t>
        </is>
      </c>
      <c r="E304" s="8" t="inlineStr">
        <is>
          <t>Able to convert delivered AI capability into actual, sustained use.</t>
        </is>
      </c>
      <c r="F304" s="8" t="inlineStr">
        <is>
          <t>Artificial Intelligence</t>
        </is>
      </c>
      <c r="G304" s="9" t="inlineStr">
        <is>
          <t>JAIRORI@IADB.ORG</t>
        </is>
      </c>
      <c r="H304" s="10" t="inlineStr">
        <is>
          <t>Direct</t>
        </is>
      </c>
      <c r="I304" s="9" t="inlineStr">
        <is>
          <t>The AI enabler's stated value proposition is to 'enable every product and enabler team' — adoption and enablement is its reason for existing.</t>
        </is>
      </c>
      <c r="J304" s="9" t="inlineStr">
        <is>
          <t>Change Enablement Owner</t>
        </is>
      </c>
      <c r="K304" s="9" t="inlineStr">
        <is>
          <t>lens</t>
        </is>
      </c>
      <c r="L304" s="9" t="inlineStr"/>
      <c r="M304" s="9" t="inlineStr">
        <is>
          <t>high</t>
        </is>
      </c>
      <c r="N304" s="9" t="inlineStr">
        <is>
          <t>Google AI Adoption Framework; AWS CAF-AI; WEF AI-First Operating System</t>
        </is>
      </c>
      <c r="O304" s="9" t="inlineStr"/>
      <c r="P304" s="11" t="inlineStr"/>
      <c r="Q304" s="11" t="inlineStr"/>
      <c r="R304" s="11" t="inlineStr"/>
      <c r="S304" s="11" t="inlineStr"/>
      <c r="T304" s="11" t="inlineStr"/>
    </row>
    <row r="305" outlineLevel="1">
      <c r="A305" s="12" t="inlineStr">
        <is>
          <t>L3</t>
        </is>
      </c>
      <c r="B305" s="12" t="inlineStr">
        <is>
          <t>8.4.1</t>
        </is>
      </c>
      <c r="C305" s="12" t="inlineStr">
        <is>
          <t>D8</t>
        </is>
      </c>
      <c r="D305" s="13" t="inlineStr">
        <is>
          <t>Adoption Planning &amp; Targeting</t>
        </is>
      </c>
      <c r="E305" s="12" t="inlineStr">
        <is>
          <t>Plan adoption deliberately rather than assuming availability creates use.</t>
        </is>
      </c>
      <c r="F305" s="12" t="inlineStr"/>
      <c r="G305" s="12" t="inlineStr"/>
      <c r="H305" s="12" t="inlineStr"/>
      <c r="I305" s="12" t="inlineStr"/>
      <c r="J305" s="12" t="inlineStr"/>
      <c r="K305" s="12" t="inlineStr"/>
      <c r="L305" s="12" t="inlineStr"/>
      <c r="M305" s="12" t="inlineStr"/>
      <c r="N305" s="12" t="inlineStr"/>
      <c r="O305" s="12" t="inlineStr"/>
      <c r="P305" s="11" t="inlineStr"/>
      <c r="Q305" s="11" t="inlineStr"/>
      <c r="R305" s="12" t="inlineStr"/>
      <c r="S305" s="12" t="inlineStr"/>
      <c r="T305" s="11" t="inlineStr"/>
    </row>
    <row r="306" outlineLevel="1">
      <c r="A306" s="12" t="inlineStr">
        <is>
          <t>L3</t>
        </is>
      </c>
      <c r="B306" s="12" t="inlineStr">
        <is>
          <t>8.4.2</t>
        </is>
      </c>
      <c r="C306" s="12" t="inlineStr">
        <is>
          <t>D8</t>
        </is>
      </c>
      <c r="D306" s="13" t="inlineStr">
        <is>
          <t>User Onboarding &amp; Enablement</t>
        </is>
      </c>
      <c r="E306" s="12" t="inlineStr">
        <is>
          <t>Bring new users to competent use quickly.</t>
        </is>
      </c>
      <c r="F306" s="12" t="inlineStr"/>
      <c r="G306" s="12" t="inlineStr"/>
      <c r="H306" s="12" t="inlineStr"/>
      <c r="I306" s="12" t="inlineStr"/>
      <c r="J306" s="12" t="inlineStr"/>
      <c r="K306" s="12" t="inlineStr"/>
      <c r="L306" s="12" t="inlineStr"/>
      <c r="M306" s="12" t="inlineStr"/>
      <c r="N306" s="12" t="inlineStr"/>
      <c r="O306" s="12" t="inlineStr"/>
      <c r="P306" s="11" t="inlineStr"/>
      <c r="Q306" s="11" t="inlineStr"/>
      <c r="R306" s="12" t="inlineStr"/>
      <c r="S306" s="12" t="inlineStr"/>
      <c r="T306" s="11" t="inlineStr"/>
    </row>
    <row r="307" outlineLevel="1">
      <c r="A307" s="12" t="inlineStr">
        <is>
          <t>L3</t>
        </is>
      </c>
      <c r="B307" s="12" t="inlineStr">
        <is>
          <t>8.4.3</t>
        </is>
      </c>
      <c r="C307" s="12" t="inlineStr">
        <is>
          <t>D8</t>
        </is>
      </c>
      <c r="D307" s="13" t="inlineStr">
        <is>
          <t>User Support Provision</t>
        </is>
      </c>
      <c r="E307" s="12" t="inlineStr">
        <is>
          <t>Answer users when AI behaves unexpectedly.</t>
        </is>
      </c>
      <c r="F307" s="12" t="inlineStr"/>
      <c r="G307" s="12" t="inlineStr"/>
      <c r="H307" s="12" t="inlineStr"/>
      <c r="I307" s="12" t="inlineStr"/>
      <c r="J307" s="12" t="inlineStr"/>
      <c r="K307" s="12" t="inlineStr"/>
      <c r="L307" s="12" t="inlineStr"/>
      <c r="M307" s="12" t="inlineStr"/>
      <c r="N307" s="12" t="inlineStr"/>
      <c r="O307" s="12" t="inlineStr"/>
      <c r="P307" s="11" t="inlineStr"/>
      <c r="Q307" s="11" t="inlineStr"/>
      <c r="R307" s="12" t="inlineStr"/>
      <c r="S307" s="12" t="inlineStr"/>
      <c r="T307" s="11" t="inlineStr"/>
    </row>
    <row r="308" outlineLevel="1">
      <c r="A308" s="12" t="inlineStr">
        <is>
          <t>L3</t>
        </is>
      </c>
      <c r="B308" s="12" t="inlineStr">
        <is>
          <t>8.4.4</t>
        </is>
      </c>
      <c r="C308" s="12" t="inlineStr">
        <is>
          <t>D8</t>
        </is>
      </c>
      <c r="D308" s="13" t="inlineStr">
        <is>
          <t>Adoption Measurement</t>
        </is>
      </c>
      <c r="E308" s="12" t="inlineStr">
        <is>
          <t>Measure real usage and depth of use, not licenses issued.</t>
        </is>
      </c>
      <c r="F308" s="12" t="inlineStr"/>
      <c r="G308" s="12" t="inlineStr"/>
      <c r="H308" s="12" t="inlineStr"/>
      <c r="I308" s="12" t="inlineStr"/>
      <c r="J308" s="12" t="inlineStr"/>
      <c r="K308" s="12" t="inlineStr"/>
      <c r="L308" s="12" t="inlineStr"/>
      <c r="M308" s="12" t="inlineStr"/>
      <c r="N308" s="12" t="inlineStr"/>
      <c r="O308" s="12" t="inlineStr"/>
      <c r="P308" s="11" t="inlineStr"/>
      <c r="Q308" s="11" t="inlineStr"/>
      <c r="R308" s="12" t="inlineStr"/>
      <c r="S308" s="12" t="inlineStr"/>
      <c r="T308" s="11" t="inlineStr"/>
    </row>
    <row r="309" outlineLevel="1">
      <c r="A309" s="12" t="inlineStr">
        <is>
          <t>L3</t>
        </is>
      </c>
      <c r="B309" s="12" t="inlineStr">
        <is>
          <t>8.4.5</t>
        </is>
      </c>
      <c r="C309" s="12" t="inlineStr">
        <is>
          <t>D8</t>
        </is>
      </c>
      <c r="D309" s="13" t="inlineStr">
        <is>
          <t>Champion Network Operation</t>
        </is>
      </c>
      <c r="E309" s="12" t="inlineStr">
        <is>
          <t>Sustain distributed advocates who carry adoption locally.</t>
        </is>
      </c>
      <c r="F309" s="12" t="inlineStr"/>
      <c r="G309" s="12" t="inlineStr"/>
      <c r="H309" s="12" t="inlineStr"/>
      <c r="I309" s="12" t="inlineStr"/>
      <c r="J309" s="12" t="inlineStr"/>
      <c r="K309" s="12" t="inlineStr"/>
      <c r="L309" s="12" t="inlineStr"/>
      <c r="M309" s="12" t="inlineStr"/>
      <c r="N309" s="12" t="inlineStr"/>
      <c r="O309" s="12" t="inlineStr"/>
      <c r="P309" s="11" t="inlineStr"/>
      <c r="Q309" s="11" t="inlineStr"/>
      <c r="R309" s="12" t="inlineStr"/>
      <c r="S309" s="12" t="inlineStr"/>
      <c r="T309" s="11" t="inlineStr"/>
    </row>
    <row r="310">
      <c r="A310" s="8" t="inlineStr">
        <is>
          <t>L2</t>
        </is>
      </c>
      <c r="B310" s="8" t="inlineStr">
        <is>
          <t>8.5</t>
        </is>
      </c>
      <c r="C310" s="8" t="inlineStr">
        <is>
          <t>D8</t>
        </is>
      </c>
      <c r="D310" s="8" t="inlineStr">
        <is>
          <t>AI Change Management &amp; Workforce Transition</t>
        </is>
      </c>
      <c r="E310" s="8" t="inlineStr">
        <is>
          <t>Able to carry the workforce through the change AI causes.</t>
        </is>
      </c>
      <c r="F310" s="8" t="inlineStr">
        <is>
          <t>Digital Transformation</t>
        </is>
      </c>
      <c r="G310" s="9" t="inlineStr">
        <is>
          <t>gperla@IADB.ORG</t>
        </is>
      </c>
      <c r="H310" s="10" t="inlineStr">
        <is>
          <t>Direct</t>
        </is>
      </c>
      <c r="I310" s="9" t="inlineStr">
        <is>
          <t>Digital Transformation claims Change management.</t>
        </is>
      </c>
      <c r="J310" s="9" t="inlineStr">
        <is>
          <t>Chief Human Resources Officer</t>
        </is>
      </c>
      <c r="K310" s="9" t="inlineStr">
        <is>
          <t>lens</t>
        </is>
      </c>
      <c r="L310" s="9" t="inlineStr"/>
      <c r="M310" s="9" t="inlineStr">
        <is>
          <t>high</t>
        </is>
      </c>
      <c r="N310" s="9" t="inlineStr">
        <is>
          <t>WEF AI-First Operating System; Consultancy transformation patterns (non-public); OECD AI Principles</t>
        </is>
      </c>
      <c r="O310" s="9" t="inlineStr"/>
      <c r="P310" s="11" t="inlineStr"/>
      <c r="Q310" s="11" t="inlineStr"/>
      <c r="R310" s="11" t="inlineStr"/>
      <c r="S310" s="11" t="inlineStr"/>
      <c r="T310" s="11" t="inlineStr"/>
    </row>
    <row r="311" outlineLevel="1">
      <c r="A311" s="12" t="inlineStr">
        <is>
          <t>L3</t>
        </is>
      </c>
      <c r="B311" s="12" t="inlineStr">
        <is>
          <t>8.5.1</t>
        </is>
      </c>
      <c r="C311" s="12" t="inlineStr">
        <is>
          <t>D8</t>
        </is>
      </c>
      <c r="D311" s="13" t="inlineStr">
        <is>
          <t>Change Impact Assessment</t>
        </is>
      </c>
      <c r="E311" s="12" t="inlineStr">
        <is>
          <t>Assess what AI changes for specific roles and teams before it lands.</t>
        </is>
      </c>
      <c r="F311" s="12" t="inlineStr"/>
      <c r="G311" s="12" t="inlineStr"/>
      <c r="H311" s="12" t="inlineStr"/>
      <c r="I311" s="12" t="inlineStr"/>
      <c r="J311" s="12" t="inlineStr"/>
      <c r="K311" s="12" t="inlineStr"/>
      <c r="L311" s="12" t="inlineStr"/>
      <c r="M311" s="12" t="inlineStr"/>
      <c r="N311" s="12" t="inlineStr"/>
      <c r="O311" s="12" t="inlineStr"/>
      <c r="P311" s="11" t="inlineStr"/>
      <c r="Q311" s="11" t="inlineStr"/>
      <c r="R311" s="12" t="inlineStr"/>
      <c r="S311" s="12" t="inlineStr"/>
      <c r="T311" s="11" t="inlineStr"/>
    </row>
    <row r="312" outlineLevel="1">
      <c r="A312" s="12" t="inlineStr">
        <is>
          <t>L3</t>
        </is>
      </c>
      <c r="B312" s="12" t="inlineStr">
        <is>
          <t>8.5.2</t>
        </is>
      </c>
      <c r="C312" s="12" t="inlineStr">
        <is>
          <t>D8</t>
        </is>
      </c>
      <c r="D312" s="13" t="inlineStr">
        <is>
          <t>Stakeholder Engagement &amp; Communication</t>
        </is>
      </c>
      <c r="E312" s="12" t="inlineStr">
        <is>
          <t>Engage those affected early enough to influence the design.</t>
        </is>
      </c>
      <c r="F312" s="12" t="inlineStr"/>
      <c r="G312" s="12" t="inlineStr"/>
      <c r="H312" s="12" t="inlineStr"/>
      <c r="I312" s="12" t="inlineStr"/>
      <c r="J312" s="12" t="inlineStr"/>
      <c r="K312" s="12" t="inlineStr"/>
      <c r="L312" s="12" t="inlineStr"/>
      <c r="M312" s="12" t="inlineStr"/>
      <c r="N312" s="12" t="inlineStr"/>
      <c r="O312" s="12" t="inlineStr"/>
      <c r="P312" s="11" t="inlineStr"/>
      <c r="Q312" s="11" t="inlineStr"/>
      <c r="R312" s="12" t="inlineStr"/>
      <c r="S312" s="12" t="inlineStr"/>
      <c r="T312" s="11" t="inlineStr"/>
    </row>
    <row r="313" outlineLevel="1">
      <c r="A313" s="12" t="inlineStr">
        <is>
          <t>L3</t>
        </is>
      </c>
      <c r="B313" s="12" t="inlineStr">
        <is>
          <t>8.5.3</t>
        </is>
      </c>
      <c r="C313" s="12" t="inlineStr">
        <is>
          <t>D8</t>
        </is>
      </c>
      <c r="D313" s="13" t="inlineStr">
        <is>
          <t>Workforce Transition &amp; Redeployment</t>
        </is>
      </c>
      <c r="E313" s="12" t="inlineStr">
        <is>
          <t>Move people whose work changes into work that is needed.</t>
        </is>
      </c>
      <c r="F313" s="12" t="inlineStr"/>
      <c r="G313" s="12" t="inlineStr"/>
      <c r="H313" s="12" t="inlineStr"/>
      <c r="I313" s="12" t="inlineStr"/>
      <c r="J313" s="12" t="inlineStr"/>
      <c r="K313" s="12" t="inlineStr"/>
      <c r="L313" s="12" t="inlineStr"/>
      <c r="M313" s="12" t="inlineStr"/>
      <c r="N313" s="12" t="inlineStr"/>
      <c r="O313" s="12" t="inlineStr"/>
      <c r="P313" s="11" t="inlineStr"/>
      <c r="Q313" s="11" t="inlineStr"/>
      <c r="R313" s="12" t="inlineStr"/>
      <c r="S313" s="12" t="inlineStr"/>
      <c r="T313" s="11" t="inlineStr"/>
    </row>
    <row r="314" outlineLevel="1">
      <c r="A314" s="12" t="inlineStr">
        <is>
          <t>L3</t>
        </is>
      </c>
      <c r="B314" s="12" t="inlineStr">
        <is>
          <t>8.5.4</t>
        </is>
      </c>
      <c r="C314" s="12" t="inlineStr">
        <is>
          <t>D8</t>
        </is>
      </c>
      <c r="D314" s="13" t="inlineStr">
        <is>
          <t>Staff Consultation &amp; Representation</t>
        </is>
      </c>
      <c r="E314" s="12" t="inlineStr">
        <is>
          <t>Consult staff representation where AI changes conditions of work.</t>
        </is>
      </c>
      <c r="F314" s="12" t="inlineStr"/>
      <c r="G314" s="12" t="inlineStr"/>
      <c r="H314" s="12" t="inlineStr"/>
      <c r="I314" s="12" t="inlineStr"/>
      <c r="J314" s="12" t="inlineStr"/>
      <c r="K314" s="12" t="inlineStr"/>
      <c r="L314" s="12" t="inlineStr"/>
      <c r="M314" s="12" t="inlineStr"/>
      <c r="N314" s="12" t="inlineStr"/>
      <c r="O314" s="12" t="inlineStr"/>
      <c r="P314" s="11" t="inlineStr"/>
      <c r="Q314" s="11" t="inlineStr"/>
      <c r="R314" s="12" t="inlineStr"/>
      <c r="S314" s="12" t="inlineStr"/>
      <c r="T314" s="11" t="inlineStr"/>
    </row>
    <row r="315" outlineLevel="1">
      <c r="A315" s="12" t="inlineStr">
        <is>
          <t>L3</t>
        </is>
      </c>
      <c r="B315" s="12" t="inlineStr">
        <is>
          <t>8.5.5</t>
        </is>
      </c>
      <c r="C315" s="12" t="inlineStr">
        <is>
          <t>D8</t>
        </is>
      </c>
      <c r="D315" s="13" t="inlineStr">
        <is>
          <t>Trust &amp; Resistance Management</t>
        </is>
      </c>
      <c r="E315" s="12" t="inlineStr">
        <is>
          <t>Address well-founded concern rather than treating it as an obstacle.</t>
        </is>
      </c>
      <c r="F315" s="12" t="inlineStr"/>
      <c r="G315" s="12" t="inlineStr"/>
      <c r="H315" s="12" t="inlineStr"/>
      <c r="I315" s="12" t="inlineStr"/>
      <c r="J315" s="12" t="inlineStr"/>
      <c r="K315" s="12" t="inlineStr"/>
      <c r="L315" s="12" t="inlineStr"/>
      <c r="M315" s="12" t="inlineStr"/>
      <c r="N315" s="12" t="inlineStr"/>
      <c r="O315" s="12" t="inlineStr"/>
      <c r="P315" s="11" t="inlineStr"/>
      <c r="Q315" s="11" t="inlineStr"/>
      <c r="R315" s="12" t="inlineStr"/>
      <c r="S315" s="12" t="inlineStr"/>
      <c r="T315" s="11" t="inlineStr"/>
    </row>
    <row r="316">
      <c r="A316" s="8" t="inlineStr">
        <is>
          <t>L2</t>
        </is>
      </c>
      <c r="B316" s="8" t="inlineStr">
        <is>
          <t>8.6</t>
        </is>
      </c>
      <c r="C316" s="8" t="inlineStr">
        <is>
          <t>D8</t>
        </is>
      </c>
      <c r="D316" s="8" t="inlineStr">
        <is>
          <t>AI Community &amp; Reuse Culture</t>
        </is>
      </c>
      <c r="E316" s="8" t="inlineStr">
        <is>
          <t>Able to make institutional learning about AI compound rather than repeat.</t>
        </is>
      </c>
      <c r="F316" s="8" t="inlineStr">
        <is>
          <t>Emerging Tech</t>
        </is>
      </c>
      <c r="G316" s="9" t="inlineStr">
        <is>
          <t>rcerrato@IADB.ORG</t>
        </is>
      </c>
      <c r="H316" s="15" t="inlineStr">
        <is>
          <t>Partial</t>
        </is>
      </c>
      <c r="I316" s="9" t="inlineStr">
        <is>
          <t>Emerging Tech claims awareness and dissemination; People Experience - IBT claims Open innovation. Neither claims a practitioner community or reuse culture for AI.</t>
        </is>
      </c>
      <c r="J316" s="9" t="inlineStr">
        <is>
          <t>AI CoE Owner</t>
        </is>
      </c>
      <c r="K316" s="9" t="inlineStr">
        <is>
          <t>lens</t>
        </is>
      </c>
      <c r="L316" s="9" t="inlineStr"/>
      <c r="M316" s="9" t="inlineStr">
        <is>
          <t>high</t>
        </is>
      </c>
      <c r="N316" s="9" t="inlineStr">
        <is>
          <t>The Open Group Open Agile Architecture; AWS CAF-AI; Institutional practice</t>
        </is>
      </c>
      <c r="O316" s="18" t="inlineStr">
        <is>
          <t>CHANGED</t>
        </is>
      </c>
      <c r="P316" s="11" t="inlineStr"/>
      <c r="Q316" s="11" t="inlineStr"/>
      <c r="R316" s="11" t="inlineStr"/>
      <c r="S316" s="11" t="inlineStr"/>
      <c r="T316" s="11" t="inlineStr">
        <is>
          <t>CHANGED this round: 8.6.4 Experimentation &amp; Learning Culture removed and promoted into 2.6. 8.6 now has 3 L3.</t>
        </is>
      </c>
    </row>
    <row r="317" outlineLevel="1">
      <c r="A317" s="12" t="inlineStr">
        <is>
          <t>L3</t>
        </is>
      </c>
      <c r="B317" s="12" t="inlineStr">
        <is>
          <t>8.6.1</t>
        </is>
      </c>
      <c r="C317" s="12" t="inlineStr">
        <is>
          <t>D8</t>
        </is>
      </c>
      <c r="D317" s="13" t="inlineStr">
        <is>
          <t>Practitioner Community Operation</t>
        </is>
      </c>
      <c r="E317" s="12" t="inlineStr">
        <is>
          <t>Sustain a working community across organizational boundaries.</t>
        </is>
      </c>
      <c r="F317" s="12" t="inlineStr"/>
      <c r="G317" s="12" t="inlineStr"/>
      <c r="H317" s="12" t="inlineStr"/>
      <c r="I317" s="12" t="inlineStr"/>
      <c r="J317" s="12" t="inlineStr"/>
      <c r="K317" s="12" t="inlineStr"/>
      <c r="L317" s="12" t="inlineStr"/>
      <c r="M317" s="12" t="inlineStr"/>
      <c r="N317" s="12" t="inlineStr"/>
      <c r="O317" s="12" t="inlineStr"/>
      <c r="P317" s="11" t="inlineStr"/>
      <c r="Q317" s="11" t="inlineStr"/>
      <c r="R317" s="12" t="inlineStr"/>
      <c r="S317" s="12" t="inlineStr"/>
      <c r="T317" s="11" t="inlineStr"/>
    </row>
    <row r="318" outlineLevel="1">
      <c r="A318" s="12" t="inlineStr">
        <is>
          <t>L3</t>
        </is>
      </c>
      <c r="B318" s="12" t="inlineStr">
        <is>
          <t>8.6.2</t>
        </is>
      </c>
      <c r="C318" s="12" t="inlineStr">
        <is>
          <t>D8</t>
        </is>
      </c>
      <c r="D318" s="13" t="inlineStr">
        <is>
          <t>Knowledge Sharing &amp; Documentation</t>
        </is>
      </c>
      <c r="E318" s="12" t="inlineStr">
        <is>
          <t>Capture what was learned in a form others can find and use.</t>
        </is>
      </c>
      <c r="F318" s="12" t="inlineStr"/>
      <c r="G318" s="12" t="inlineStr"/>
      <c r="H318" s="12" t="inlineStr"/>
      <c r="I318" s="12" t="inlineStr"/>
      <c r="J318" s="12" t="inlineStr"/>
      <c r="K318" s="12" t="inlineStr"/>
      <c r="L318" s="12" t="inlineStr"/>
      <c r="M318" s="12" t="inlineStr"/>
      <c r="N318" s="12" t="inlineStr"/>
      <c r="O318" s="12" t="inlineStr"/>
      <c r="P318" s="11" t="inlineStr"/>
      <c r="Q318" s="11" t="inlineStr"/>
      <c r="R318" s="12" t="inlineStr"/>
      <c r="S318" s="12" t="inlineStr"/>
      <c r="T318" s="11" t="inlineStr"/>
    </row>
    <row r="319" outlineLevel="1">
      <c r="A319" s="12" t="inlineStr">
        <is>
          <t>L3</t>
        </is>
      </c>
      <c r="B319" s="12" t="inlineStr">
        <is>
          <t>8.6.3</t>
        </is>
      </c>
      <c r="C319" s="12" t="inlineStr">
        <is>
          <t>D8</t>
        </is>
      </c>
      <c r="D319" s="13" t="inlineStr">
        <is>
          <t>Reuse Incentives &amp; Recognition</t>
        </is>
      </c>
      <c r="E319" s="12" t="inlineStr">
        <is>
          <t>Make reuse and contribution visibly worth doing.</t>
        </is>
      </c>
      <c r="F319" s="12" t="inlineStr"/>
      <c r="G319" s="12" t="inlineStr"/>
      <c r="H319" s="12" t="inlineStr"/>
      <c r="I319" s="12" t="inlineStr"/>
      <c r="J319" s="12" t="inlineStr"/>
      <c r="K319" s="12" t="inlineStr"/>
      <c r="L319" s="12" t="inlineStr"/>
      <c r="M319" s="12" t="inlineStr"/>
      <c r="N319" s="12" t="inlineStr"/>
      <c r="O319" s="12" t="inlineStr"/>
      <c r="P319" s="11" t="inlineStr"/>
      <c r="Q319" s="11" t="inlineStr"/>
      <c r="R319" s="12" t="inlineStr"/>
      <c r="S319" s="12" t="inlineStr"/>
      <c r="T319" s="11" t="inlineStr"/>
    </row>
  </sheetData>
  <autoFilter ref="A1:T319"/>
  <dataValidations count="2">
    <dataValidation sqref="P2:P319" showDropDown="0" showInputMessage="0" showErrorMessage="0" allowBlank="1" type="list">
      <formula1>"Keep,Rename,Reword definition,Move to another domain,Merge with another,Split,Remove,Wrong owner,Not sure - discuss"</formula1>
    </dataValidation>
    <dataValidation sqref="R2:R319" showDropDown="0" showInputMessage="0" showErrorMessage="0" allowBlank="1" type="list">
      <formula1>"Confirmed,Change owner,Split between two,Needs an owner that does not exist,Not sure - discuss"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34" customWidth="1" min="3" max="3"/>
    <col width="30" customWidth="1" min="4" max="4"/>
    <col width="26" customWidth="1" min="5" max="5"/>
    <col width="96" customWidth="1" min="6" max="6"/>
    <col width="34" customWidth="1" min="7" max="7"/>
  </cols>
  <sheetData>
    <row r="1" ht="30" customHeight="1">
      <c r="A1" s="6" t="inlineStr">
        <is>
          <t>Product / enabler</t>
        </is>
      </c>
      <c r="B1" s="6" t="inlineStr">
        <is>
          <t>Function</t>
        </is>
      </c>
      <c r="C1" s="6" t="inlineStr">
        <is>
          <t>Family</t>
        </is>
      </c>
      <c r="D1" s="6" t="inlineStr">
        <is>
          <t>Lead</t>
        </is>
      </c>
      <c r="E1" s="6" t="inlineStr">
        <is>
          <t>Technical lead</t>
        </is>
      </c>
      <c r="F1" s="6" t="inlineStr">
        <is>
          <t>What they claim (from the fact sheet)</t>
        </is>
      </c>
      <c r="G1" s="6" t="inlineStr">
        <is>
          <t>Capabilities mapped to them</t>
        </is>
      </c>
    </row>
    <row r="2">
      <c r="A2" s="19" t="inlineStr">
        <is>
          <t>Artificial Intelligence</t>
        </is>
      </c>
      <c r="B2" s="12" t="inlineStr">
        <is>
          <t>Enabler</t>
        </is>
      </c>
      <c r="C2" s="12" t="inlineStr">
        <is>
          <t>Technology and Data Solutions</t>
        </is>
      </c>
      <c r="D2" s="12" t="inlineStr">
        <is>
          <t>JAIRORI@IADB.ORG</t>
        </is>
      </c>
      <c r="E2" s="12" t="inlineStr"/>
      <c r="F2" s="12" t="inlineStr">
        <is>
          <t>Strategy &amp; Roadmap · Platform Development (Unstructured Data Application, MCP Denodo, MCP Convergencia, MCP sgDelta) · Ops &amp; Lifecycle Management · Agent Skill Admin · AI Gateway</t>
        </is>
      </c>
      <c r="G2" s="12" t="inlineStr">
        <is>
          <t>1.1, 2.1, 3.6, 3.7, 4.2, 4.3, 4.4, 5.1, 5.2, 5.5, 6.1, 7.1, 7.7, 8.4   (14)</t>
        </is>
      </c>
    </row>
    <row r="3">
      <c r="A3" s="19" t="inlineStr">
        <is>
          <t>Enterprise Architecture</t>
        </is>
      </c>
      <c r="B3" s="12" t="inlineStr">
        <is>
          <t>Enabler</t>
        </is>
      </c>
      <c r="C3" s="12" t="inlineStr">
        <is>
          <t>Technology and Data Assurance</t>
        </is>
      </c>
      <c r="D3" s="12" t="inlineStr">
        <is>
          <t>KARLAVI@IADB.ORG</t>
        </is>
      </c>
      <c r="E3" s="12" t="inlineStr">
        <is>
          <t>RauldaSilva</t>
        </is>
      </c>
      <c r="F3" s="12" t="inlineStr">
        <is>
          <t>Technology Strategy (buy vs build, target architecture) · Software Architecture (co-design, institutional-reach projects)</t>
        </is>
      </c>
      <c r="G3" s="12" t="inlineStr">
        <is>
          <t>2.2, 4.1   (2)</t>
        </is>
      </c>
    </row>
    <row r="4">
      <c r="A4" s="19" t="inlineStr">
        <is>
          <t>Cybersecurity</t>
        </is>
      </c>
      <c r="B4" s="12" t="inlineStr">
        <is>
          <t>Enabler</t>
        </is>
      </c>
      <c r="C4" s="12" t="inlineStr">
        <is>
          <t>Technology and Data Assurance</t>
        </is>
      </c>
      <c r="D4" s="12" t="inlineStr">
        <is>
          <t>harleyj@IADB.ORG</t>
        </is>
      </c>
      <c r="E4" s="12" t="inlineStr"/>
      <c r="F4" s="12" t="inlineStr">
        <is>
          <t>Security Assurance (governance, awareness, ISMS, risk register, internal controls) · Security engineering and architecture</t>
        </is>
      </c>
      <c r="G4" s="12" t="inlineStr">
        <is>
          <t>7.4   (1)</t>
        </is>
      </c>
    </row>
    <row r="5">
      <c r="A5" s="19" t="inlineStr">
        <is>
          <t>Data Management</t>
        </is>
      </c>
      <c r="B5" s="12" t="inlineStr">
        <is>
          <t>Enabler</t>
        </is>
      </c>
      <c r="C5" s="12" t="inlineStr">
        <is>
          <t>Technology and Data Solutions</t>
        </is>
      </c>
      <c r="D5" s="12" t="inlineStr">
        <is>
          <t>carlosd@iadb.org</t>
        </is>
      </c>
      <c r="E5" s="12" t="inlineStr"/>
      <c r="F5" s="12" t="inlineStr">
        <is>
          <t>Data Management · Database administration · Data Analytics Products · Data Marketplace · Data Architecture · Data services · Consultancy · Data Governance &amp; Quality</t>
        </is>
      </c>
      <c r="G5" s="12" t="inlineStr">
        <is>
          <t>3.1, 3.2, 3.3, 3.4   (4)</t>
        </is>
      </c>
    </row>
    <row r="6">
      <c r="A6" s="19" t="inlineStr">
        <is>
          <t>Cloud and Infrastructure</t>
        </is>
      </c>
      <c r="B6" s="12" t="inlineStr">
        <is>
          <t>Enabler</t>
        </is>
      </c>
      <c r="C6" s="12" t="inlineStr">
        <is>
          <t>Technology and Data Solutions</t>
        </is>
      </c>
      <c r="D6" s="12" t="inlineStr">
        <is>
          <t>EGDARESF@IADB.ORG</t>
        </is>
      </c>
      <c r="E6" s="12" t="inlineStr"/>
      <c r="F6" s="12" t="inlineStr">
        <is>
          <t>Cloud Strategy and Cost Management · Cloud Operations, Engineering and Security · Identity and Access Management · Enterprise communications and networking (incl. observability)</t>
        </is>
      </c>
      <c r="G6" s="12" t="inlineStr">
        <is>
          <t>5.3, 5.4, 6.2, 6.5   (4)</t>
        </is>
      </c>
    </row>
    <row r="7">
      <c r="A7" s="19" t="inlineStr">
        <is>
          <t>Core Platforms</t>
        </is>
      </c>
      <c r="B7" s="12" t="inlineStr">
        <is>
          <t>Enabler</t>
        </is>
      </c>
      <c r="C7" s="12" t="inlineStr">
        <is>
          <t>Technology and Data Solutions</t>
        </is>
      </c>
      <c r="D7" s="12" t="inlineStr">
        <is>
          <t>JUANAA@iadb.org</t>
        </is>
      </c>
      <c r="E7" s="12" t="inlineStr"/>
      <c r="F7" s="12" t="inlineStr">
        <is>
          <t>Business process management · Integrations (Biztalk, API management, Service Bus) · Development platform (Terraform, CICD) · Content management (ezShare, OneDrive, SharePoint, search, e-disposition of records) · Collaboration and productivity</t>
        </is>
      </c>
      <c r="G7" s="12" t="inlineStr">
        <is>
          <t>3.5, 4.5, 4.7, 5.6   (4)</t>
        </is>
      </c>
    </row>
    <row r="8">
      <c r="A8" s="19" t="inlineStr">
        <is>
          <t>Service Delivery</t>
        </is>
      </c>
      <c r="B8" s="12" t="inlineStr">
        <is>
          <t>Enabler</t>
        </is>
      </c>
      <c r="C8" s="12" t="inlineStr">
        <is>
          <t>Technology and Data Solutions</t>
        </is>
      </c>
      <c r="D8" s="12" t="inlineStr">
        <is>
          <t>PAULOV@iadb.org</t>
        </is>
      </c>
      <c r="E8" s="12" t="inlineStr"/>
      <c r="F8" s="12" t="inlineStr">
        <is>
          <t>Service Desk · Desktop Support · Country Office Support · Contracts Management · Assets Management</t>
        </is>
      </c>
      <c r="G8" s="12" t="inlineStr">
        <is>
          <t>6.4, 6.6   (2)</t>
        </is>
      </c>
    </row>
    <row r="9">
      <c r="A9" s="19" t="inlineStr">
        <is>
          <t>Strategic Portfolio Management</t>
        </is>
      </c>
      <c r="B9" s="12" t="inlineStr">
        <is>
          <t>Enabler</t>
        </is>
      </c>
      <c r="C9" s="12" t="inlineStr">
        <is>
          <t>Technology and Data Assurance</t>
        </is>
      </c>
      <c r="D9" s="12" t="inlineStr">
        <is>
          <t>SUSANAP@IADB.ORG</t>
        </is>
      </c>
      <c r="E9" s="12" t="inlineStr">
        <is>
          <t>Cesar Garces</t>
        </is>
      </c>
      <c r="F9" s="12" t="inlineStr">
        <is>
          <t>Governance Framework · Strategic Portfolio Management · Rationalization · Prioritization (WSJF) · Capacity &amp; Budget Dashboard · Portfolio Health Monitoring · Ways of working · Dependency Mapping</t>
        </is>
      </c>
      <c r="G9" s="12" t="inlineStr">
        <is>
          <t>1.2, 1.3, 8.1   (3)</t>
        </is>
      </c>
    </row>
    <row r="10">
      <c r="A10" s="19" t="inlineStr">
        <is>
          <t>Strategic Resource Management</t>
        </is>
      </c>
      <c r="B10" s="12" t="inlineStr">
        <is>
          <t>Enabler</t>
        </is>
      </c>
      <c r="C10" s="12" t="inlineStr">
        <is>
          <t>CIO</t>
        </is>
      </c>
      <c r="D10" s="12" t="inlineStr">
        <is>
          <t>BrunoFe@iadb.org</t>
        </is>
      </c>
      <c r="E10" s="12" t="inlineStr"/>
      <c r="F10" s="12" t="inlineStr">
        <is>
          <t>Resource Management · Budget Management · Vendor Management · People Management, Development, Engagement · Strategic Alignment / Prioritization of Resources</t>
        </is>
      </c>
      <c r="G10" s="12" t="inlineStr">
        <is>
          <t>1.4, 8.2   (2)</t>
        </is>
      </c>
    </row>
    <row r="11">
      <c r="A11" s="19" t="inlineStr">
        <is>
          <t>IT Risk (Compliance)</t>
        </is>
      </c>
      <c r="B11" s="12" t="inlineStr">
        <is>
          <t>Enabler</t>
        </is>
      </c>
      <c r="C11" s="12" t="inlineStr">
        <is>
          <t>Technology and Data Assurance</t>
        </is>
      </c>
      <c r="D11" s="12" t="inlineStr"/>
      <c r="E11" s="12" t="inlineStr">
        <is>
          <t>julissac@iadb.org</t>
        </is>
      </c>
      <c r="F11" s="12" t="inlineStr">
        <is>
          <t>Self-Assessment of Internal Controls for TTD · Oversight and follow-up of internal and external audits · PRAC reviews (design &amp; implementation of controls) · Advisory services</t>
        </is>
      </c>
      <c r="G11" s="12" t="inlineStr">
        <is>
          <t>7.8   (1)</t>
        </is>
      </c>
    </row>
    <row r="12">
      <c r="A12" s="19" t="inlineStr">
        <is>
          <t>Digital Transformation</t>
        </is>
      </c>
      <c r="B12" s="12" t="inlineStr">
        <is>
          <t>Enabler</t>
        </is>
      </c>
      <c r="C12" s="12" t="inlineStr">
        <is>
          <t>Innovation and Business Transformation</t>
        </is>
      </c>
      <c r="D12" s="12" t="inlineStr">
        <is>
          <t>gperla@IADB.ORG</t>
        </is>
      </c>
      <c r="E12" s="12" t="inlineStr"/>
      <c r="F12" s="12" t="inlineStr">
        <is>
          <t>Process transformation · Change management · Digitalization</t>
        </is>
      </c>
      <c r="G12" s="12" t="inlineStr">
        <is>
          <t>2.4, 8.5   (2)</t>
        </is>
      </c>
    </row>
    <row r="13">
      <c r="A13" s="19" t="inlineStr">
        <is>
          <t>People Experience - IBT</t>
        </is>
      </c>
      <c r="B13" s="12" t="inlineStr">
        <is>
          <t>Enabler</t>
        </is>
      </c>
      <c r="C13" s="12" t="inlineStr">
        <is>
          <t>Innovation and Business Transformation</t>
        </is>
      </c>
      <c r="D13" s="12" t="inlineStr">
        <is>
          <t>ANASP@IADB.ORG</t>
        </is>
      </c>
      <c r="E13" s="12" t="inlineStr"/>
      <c r="F13" s="12" t="inlineStr">
        <is>
          <t>Innovation · Open innovation · Communication · UX/UI (to be added) · Process redesign (to be added) · Digital transformation expertise</t>
        </is>
      </c>
      <c r="G13" s="12" t="inlineStr">
        <is>
          <t>2.5   (1)</t>
        </is>
      </c>
    </row>
    <row r="14">
      <c r="A14" s="19" t="inlineStr">
        <is>
          <t>Emerging Tech</t>
        </is>
      </c>
      <c r="B14" s="12" t="inlineStr">
        <is>
          <t>Product</t>
        </is>
      </c>
      <c r="C14" s="12" t="inlineStr">
        <is>
          <t>Technology and Transformation in the Region</t>
        </is>
      </c>
      <c r="D14" s="12" t="inlineStr">
        <is>
          <t>rcerrato@IADB.ORG</t>
        </is>
      </c>
      <c r="E14" s="12" t="inlineStr"/>
      <c r="F14" s="12" t="inlineStr">
        <is>
          <t>Technological vigilance · Experimentation · Sandbox · Technological awareness (events, workshops) · Research</t>
        </is>
      </c>
      <c r="G14" s="12" t="inlineStr">
        <is>
          <t>2.6, 8.3, 8.6   (3)</t>
        </is>
      </c>
    </row>
    <row r="15">
      <c r="A15" s="19" t="inlineStr">
        <is>
          <t>Knowledge Management</t>
        </is>
      </c>
      <c r="B15" s="12" t="inlineStr">
        <is>
          <t>Product</t>
        </is>
      </c>
      <c r="C15" s="12" t="inlineStr">
        <is>
          <t>Operations</t>
        </is>
      </c>
      <c r="D15" s="12" t="inlineStr">
        <is>
          <t>RBENITEZ@IADB.ORG</t>
        </is>
      </c>
      <c r="E15" s="12" t="inlineStr">
        <is>
          <t>JAVIERFE@IADB.ORG</t>
        </is>
      </c>
      <c r="F15" s="12" t="inlineStr">
        <is>
          <t>Systematization · Analysis · Capture and dissemination of operational and analytical knowledge</t>
        </is>
      </c>
      <c r="G15" s="9" t="inlineStr">
        <is>
          <t>— none —</t>
        </is>
      </c>
    </row>
    <row r="16">
      <c r="A16" s="19" t="inlineStr">
        <is>
          <t>Risk, Audit &amp; Compliance</t>
        </is>
      </c>
      <c r="B16" s="12" t="inlineStr">
        <is>
          <t>Product</t>
        </is>
      </c>
      <c r="C16" s="12" t="inlineStr">
        <is>
          <t>Enterprise and Finance</t>
        </is>
      </c>
      <c r="D16" s="12" t="inlineStr">
        <is>
          <t>CARLOSEN@iadb.org</t>
        </is>
      </c>
      <c r="E16" s="12" t="inlineStr"/>
      <c r="F16" s="12" t="inlineStr">
        <is>
          <t>Operational Risk management (Metric Stream) · Control management · Audit and Assurance (CARP, TeamMate) · AML &amp; CTM Operations · Grievances</t>
        </is>
      </c>
      <c r="G16" s="12" t="inlineStr">
        <is>
          <t>7.3   (1)</t>
        </is>
      </c>
    </row>
    <row r="17">
      <c r="A17" s="19" t="inlineStr">
        <is>
          <t>People Management</t>
        </is>
      </c>
      <c r="B17" s="12" t="inlineStr">
        <is>
          <t>Product</t>
        </is>
      </c>
      <c r="C17" s="12" t="inlineStr">
        <is>
          <t>Enterprise and Finance</t>
        </is>
      </c>
      <c r="D17" s="12" t="inlineStr">
        <is>
          <t>ERICKMA@IADB.ORG</t>
        </is>
      </c>
      <c r="E17" s="12" t="inlineStr"/>
      <c r="F17" s="12" t="inlineStr">
        <is>
          <t>HR CORE · Performance Management · Learning · Recruitment &amp; Onboarding · Compensation</t>
        </is>
      </c>
      <c r="G17" s="9" t="inlineStr">
        <is>
          <t>— none —</t>
        </is>
      </c>
    </row>
    <row r="19">
      <c r="A19" s="20" t="inlineStr">
        <is>
          <t>Source: sources/Product and Applications_ENTERPRISE.xlsx, sheet "Reviewed Product Fact Sheet", read 4 September 2026. Only the products and enablers that could plausibly own an AI capability are listed; the catalogue also holds business products (Treasury, Impact Management, Project Design and so on) that own none.</t>
        </is>
      </c>
    </row>
    <row r="20"/>
    <row r="21"/>
  </sheetData>
  <mergeCells count="1">
    <mergeCell ref="A19:G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42" customWidth="1" min="3" max="3"/>
    <col width="8" customWidth="1" min="4" max="4"/>
    <col width="30" customWidth="1" min="5" max="5"/>
    <col width="96" customWidth="1" min="6" max="6"/>
    <col width="22" customWidth="1" min="7" max="7"/>
    <col width="30" customWidth="1" min="8" max="8"/>
  </cols>
  <sheetData>
    <row r="1" ht="30" customHeight="1">
      <c r="A1" s="6" t="inlineStr">
        <is>
          <t>Match</t>
        </is>
      </c>
      <c r="B1" s="6" t="inlineStr">
        <is>
          <t>ID</t>
        </is>
      </c>
      <c r="C1" s="6" t="inlineStr">
        <is>
          <t>Capability</t>
        </is>
      </c>
      <c r="D1" s="6" t="inlineStr">
        <is>
          <t>Domain</t>
        </is>
      </c>
      <c r="E1" s="6" t="inlineStr">
        <is>
          <t>Nearest owner in the catalogue</t>
        </is>
      </c>
      <c r="F1" s="6" t="inlineStr">
        <is>
          <t>What is missing</t>
        </is>
      </c>
      <c r="G1" s="6" t="inlineStr">
        <is>
          <t>Your decision</t>
        </is>
      </c>
      <c r="H1" s="6" t="inlineStr">
        <is>
          <t>Who should own it</t>
        </is>
      </c>
    </row>
    <row r="2">
      <c r="A2" s="16" t="inlineStr">
        <is>
          <t>NO MATCH</t>
        </is>
      </c>
      <c r="B2" s="12" t="inlineStr">
        <is>
          <t>1.5</t>
        </is>
      </c>
      <c r="C2" s="19" t="inlineStr">
        <is>
          <t>AI Ecosystem &amp; Alliance Management</t>
        </is>
      </c>
      <c r="D2" s="12" t="inlineStr">
        <is>
          <t>D1</t>
        </is>
      </c>
      <c r="E2" s="12" t="inlineStr">
        <is>
          <t>— none —</t>
        </is>
      </c>
      <c r="F2" s="12" t="inlineStr">
        <is>
          <t>No product or enabler covers external AI partnerships, academic collaboration or multilateral cooperation. Nearest is Emerging Tech (research, publications, work with central banks), but its remit is technology watch, not alliance management.</t>
        </is>
      </c>
      <c r="G2" s="11" t="inlineStr"/>
      <c r="H2" s="11" t="inlineStr"/>
    </row>
    <row r="3">
      <c r="A3" s="16" t="inlineStr">
        <is>
          <t>NO MATCH</t>
        </is>
      </c>
      <c r="B3" s="12" t="inlineStr">
        <is>
          <t>2.3</t>
        </is>
      </c>
      <c r="C3" s="19" t="inlineStr">
        <is>
          <t>AI Product Management</t>
        </is>
      </c>
      <c r="D3" s="12" t="inlineStr">
        <is>
          <t>D2</t>
        </is>
      </c>
      <c r="E3" s="12" t="inlineStr">
        <is>
          <t>— none —</t>
        </is>
      </c>
      <c r="F3" s="12" t="inlineStr">
        <is>
          <t>Product management is exercised per product family, not centrally for AI. No enabler claims AI product management. Decide whether this is an AI-enabler responsibility or is delegated to consuming products.</t>
        </is>
      </c>
      <c r="G3" s="11" t="inlineStr"/>
      <c r="H3" s="11" t="inlineStr"/>
    </row>
    <row r="4">
      <c r="A4" s="16" t="inlineStr">
        <is>
          <t>NO MATCH</t>
        </is>
      </c>
      <c r="B4" s="12" t="inlineStr">
        <is>
          <t>4.6</t>
        </is>
      </c>
      <c r="C4" s="19" t="inlineStr">
        <is>
          <t>AI Evaluation &amp; Testing</t>
        </is>
      </c>
      <c r="D4" s="12" t="inlineStr">
        <is>
          <t>D4</t>
        </is>
      </c>
      <c r="E4" s="12" t="inlineStr">
        <is>
          <t>— none —</t>
        </is>
      </c>
      <c r="F4" s="12" t="inlineStr">
        <is>
          <t>No product or enabler claims evaluation or testing of AI systems. This is the capability that decides whether anything the Bank ships actually works.</t>
        </is>
      </c>
      <c r="G4" s="11" t="inlineStr"/>
      <c r="H4" s="11" t="inlineStr"/>
    </row>
    <row r="5">
      <c r="A5" s="16" t="inlineStr">
        <is>
          <t>NO MATCH</t>
        </is>
      </c>
      <c r="B5" s="12" t="inlineStr">
        <is>
          <t>6.3</t>
        </is>
      </c>
      <c r="C5" s="19" t="inlineStr">
        <is>
          <t>Continuous Evaluation, Drift &amp; Quality Management</t>
        </is>
      </c>
      <c r="D5" s="12" t="inlineStr">
        <is>
          <t>D6</t>
        </is>
      </c>
      <c r="E5" s="12" t="inlineStr">
        <is>
          <t>— none —</t>
        </is>
      </c>
      <c r="F5" s="12" t="inlineStr">
        <is>
          <t>Nobody claims drift detection or continuous quality management. Related to 4.6: the Bank has no named owner for whether an AI system still works after release.</t>
        </is>
      </c>
      <c r="G5" s="11" t="inlineStr"/>
      <c r="H5" s="11" t="inlineStr"/>
    </row>
    <row r="6">
      <c r="A6" s="16" t="inlineStr">
        <is>
          <t>NO MATCH</t>
        </is>
      </c>
      <c r="B6" s="12" t="inlineStr">
        <is>
          <t>7.2</t>
        </is>
      </c>
      <c r="C6" s="19" t="inlineStr">
        <is>
          <t>Responsible &amp; Trustworthy AI Practice</t>
        </is>
      </c>
      <c r="D6" s="12" t="inlineStr">
        <is>
          <t>D7</t>
        </is>
      </c>
      <c r="E6" s="12" t="inlineStr">
        <is>
          <t>— none —</t>
        </is>
      </c>
      <c r="F6" s="12" t="inlineStr">
        <is>
          <t>No product or enabler names responsible, ethical or trustworthy AI. This is the single most visible absence in the catalogue for an institution of this kind.</t>
        </is>
      </c>
      <c r="G6" s="11" t="inlineStr"/>
      <c r="H6" s="11" t="inlineStr"/>
    </row>
    <row r="7">
      <c r="A7" s="16" t="inlineStr">
        <is>
          <t>NO MATCH</t>
        </is>
      </c>
      <c r="B7" s="12" t="inlineStr">
        <is>
          <t>7.5</t>
        </is>
      </c>
      <c r="C7" s="19" t="inlineStr">
        <is>
          <t>Privacy &amp; Data Protection for AI</t>
        </is>
      </c>
      <c r="D7" s="12" t="inlineStr">
        <is>
          <t>D7</t>
        </is>
      </c>
      <c r="E7" s="12" t="inlineStr">
        <is>
          <t>— none —</t>
        </is>
      </c>
      <c r="F7" s="12" t="inlineStr">
        <is>
          <t>No privacy or data protection function appears anywhere in the catalogue. Confirm whether privacy sits outside TTD entirely.</t>
        </is>
      </c>
      <c r="G7" s="11" t="inlineStr"/>
      <c r="H7" s="11" t="inlineStr"/>
    </row>
    <row r="8">
      <c r="A8" s="16" t="inlineStr">
        <is>
          <t>NO MATCH</t>
        </is>
      </c>
      <c r="B8" s="12" t="inlineStr">
        <is>
          <t>7.6</t>
        </is>
      </c>
      <c r="C8" s="19" t="inlineStr">
        <is>
          <t>Legal, Regulatory &amp; Contractual Compliance for AI</t>
        </is>
      </c>
      <c r="D8" s="12" t="inlineStr">
        <is>
          <t>D7</t>
        </is>
      </c>
      <c r="E8" s="12" t="inlineStr">
        <is>
          <t>— none —</t>
        </is>
      </c>
      <c r="F8" s="12" t="inlineStr">
        <is>
          <t>Legal does not appear as a product or enabler. The obligations register (18 candidate statutory references) has no owner in this catalogue.</t>
        </is>
      </c>
      <c r="G8" s="11" t="inlineStr"/>
      <c r="H8" s="11" t="inlineStr"/>
    </row>
    <row r="9">
      <c r="A9" s="16" t="inlineStr">
        <is>
          <t>NO MATCH</t>
        </is>
      </c>
      <c r="B9" s="12" t="inlineStr">
        <is>
          <t>7.9</t>
        </is>
      </c>
      <c r="C9" s="19" t="inlineStr">
        <is>
          <t>AI Impact Assessment &amp; Risk Classification</t>
        </is>
      </c>
      <c r="D9" s="12" t="inlineStr">
        <is>
          <t>D7</t>
        </is>
      </c>
      <c r="E9" s="12" t="inlineStr">
        <is>
          <t>— none —</t>
        </is>
      </c>
      <c r="F9" s="12" t="inlineStr">
        <is>
          <t>Nobody claims impact assessment or risk classification of AI systems. This is the prerequisite for almost every obligation in the register.</t>
        </is>
      </c>
      <c r="G9" s="11" t="inlineStr"/>
      <c r="H9" s="11" t="inlineStr"/>
    </row>
    <row r="10">
      <c r="A10" s="21" t="inlineStr">
        <is>
          <t>Partial</t>
        </is>
      </c>
      <c r="B10" s="12" t="inlineStr">
        <is>
          <t>1.4</t>
        </is>
      </c>
      <c r="C10" s="19" t="inlineStr">
        <is>
          <t>AI Sourcing &amp; Partner Strategy</t>
        </is>
      </c>
      <c r="D10" s="12" t="inlineStr">
        <is>
          <t>D1</t>
        </is>
      </c>
      <c r="E10" s="12" t="inlineStr">
        <is>
          <t>Strategic Resource Management</t>
        </is>
      </c>
      <c r="F10" s="12" t="inlineStr">
        <is>
          <t>SRM claims Vendor Management. Nothing claims AI-specific contractual safeguards, model-provider evaluation, or concentration and exit risk. Second owner likely needed (Legal / Procurement).</t>
        </is>
      </c>
      <c r="G10" s="11" t="inlineStr"/>
      <c r="H10" s="11" t="inlineStr"/>
    </row>
    <row r="11">
      <c r="A11" s="21" t="inlineStr">
        <is>
          <t>Partial</t>
        </is>
      </c>
      <c r="B11" s="12" t="inlineStr">
        <is>
          <t>2.5</t>
        </is>
      </c>
      <c r="C11" s="19" t="inlineStr">
        <is>
          <t>Human-AI Interaction &amp; Oversight Design</t>
        </is>
      </c>
      <c r="D11" s="12" t="inlineStr">
        <is>
          <t>D2</t>
        </is>
      </c>
      <c r="E11" s="12" t="inlineStr">
        <is>
          <t>People Experience - IBT</t>
        </is>
      </c>
      <c r="F11" s="12" t="inlineStr">
        <is>
          <t>IBT lists UX/UI as 'a formal capability to be added next year based on the bank's business plan'. Human-AI oversight design has no owner today.</t>
        </is>
      </c>
      <c r="G11" s="11" t="inlineStr"/>
      <c r="H11" s="11" t="inlineStr"/>
    </row>
    <row r="12">
      <c r="A12" s="21" t="inlineStr">
        <is>
          <t>Partial</t>
        </is>
      </c>
      <c r="B12" s="12" t="inlineStr">
        <is>
          <t>3.2</t>
        </is>
      </c>
      <c r="C12" s="19" t="inlineStr">
        <is>
          <t>Data Sourcing, Licensing &amp; Provenance</t>
        </is>
      </c>
      <c r="D12" s="12" t="inlineStr">
        <is>
          <t>D3</t>
        </is>
      </c>
      <c r="E12" s="12" t="inlineStr">
        <is>
          <t>Data Management</t>
        </is>
      </c>
      <c r="F12" s="12" t="inlineStr">
        <is>
          <t>Data Management claims data integration, certification and publication. Licensing and provenance of data used for AI training or grounding is not covered by anyone.</t>
        </is>
      </c>
      <c r="G12" s="11" t="inlineStr"/>
      <c r="H12" s="11" t="inlineStr"/>
    </row>
    <row r="13">
      <c r="A13" s="21" t="inlineStr">
        <is>
          <t>Partial</t>
        </is>
      </c>
      <c r="B13" s="12" t="inlineStr">
        <is>
          <t>3.5</t>
        </is>
      </c>
      <c r="C13" s="19" t="inlineStr">
        <is>
          <t>Knowledge Corpus &amp; Content Management</t>
        </is>
      </c>
      <c r="D13" s="12" t="inlineStr">
        <is>
          <t>D3</t>
        </is>
      </c>
      <c r="E13" s="12" t="inlineStr">
        <is>
          <t>Core Platforms</t>
        </is>
      </c>
      <c r="F13" s="12" t="inlineStr">
        <is>
          <t>Core Platforms claims Content management (ezShare, OneDrive, SharePoint, search). Knowledge Management claims capture and dissemination of operational knowledge. Two candidates and neither claims curation of a corpus for AI grounding.</t>
        </is>
      </c>
      <c r="G13" s="11" t="inlineStr"/>
      <c r="H13" s="11" t="inlineStr"/>
    </row>
    <row r="14">
      <c r="A14" s="21" t="inlineStr">
        <is>
          <t>Partial</t>
        </is>
      </c>
      <c r="B14" s="12" t="inlineStr">
        <is>
          <t>4.4</t>
        </is>
      </c>
      <c r="C14" s="19" t="inlineStr">
        <is>
          <t>Agent &amp; Workflow Orchestration Design</t>
        </is>
      </c>
      <c r="D14" s="12" t="inlineStr">
        <is>
          <t>D4</t>
        </is>
      </c>
      <c r="E14" s="12" t="inlineStr">
        <is>
          <t>Artificial Intelligence</t>
        </is>
      </c>
      <c r="F14" s="12" t="inlineStr">
        <is>
          <t>AI enabler claims 'Agent Skill Admin'. Administering agent skills is not the same as designing agent goals, guardrails and termination. The design half has no owner.</t>
        </is>
      </c>
      <c r="G14" s="11" t="inlineStr"/>
      <c r="H14" s="11" t="inlineStr"/>
    </row>
    <row r="15">
      <c r="A15" s="21" t="inlineStr">
        <is>
          <t>Partial</t>
        </is>
      </c>
      <c r="B15" s="12" t="inlineStr">
        <is>
          <t>4.5</t>
        </is>
      </c>
      <c r="C15" s="19" t="inlineStr">
        <is>
          <t>Integration &amp; Tool Enablement</t>
        </is>
      </c>
      <c r="D15" s="12" t="inlineStr">
        <is>
          <t>D4</t>
        </is>
      </c>
      <c r="E15" s="12" t="inlineStr">
        <is>
          <t>Core Platforms</t>
        </is>
      </c>
      <c r="F15" s="12" t="inlineStr">
        <is>
          <t>Core Platforms claims Integrations (Biztalk, API management, Service Bus). The AI enabler separately owns the MCP servers. Split ownership — settle who owns tool exposure to AI clients.</t>
        </is>
      </c>
      <c r="G15" s="11" t="inlineStr"/>
      <c r="H15" s="11" t="inlineStr"/>
    </row>
    <row r="16">
      <c r="A16" s="21" t="inlineStr">
        <is>
          <t>Partial</t>
        </is>
      </c>
      <c r="B16" s="12" t="inlineStr">
        <is>
          <t>5.5</t>
        </is>
      </c>
      <c r="C16" s="19" t="inlineStr">
        <is>
          <t>Tool &amp; Connector Catalog Management</t>
        </is>
      </c>
      <c r="D16" s="12" t="inlineStr">
        <is>
          <t>D5</t>
        </is>
      </c>
      <c r="E16" s="12" t="inlineStr">
        <is>
          <t>Artificial Intelligence</t>
        </is>
      </c>
      <c r="F16" s="12" t="inlineStr">
        <is>
          <t>AI enabler maintains the enterprise AI capability catalogue and owns the MCP servers. A catalogue of capabilities is not a governed inventory of callable tools with scopes and vetting.</t>
        </is>
      </c>
      <c r="G16" s="11" t="inlineStr"/>
      <c r="H16" s="11" t="inlineStr"/>
    </row>
    <row r="17">
      <c r="A17" s="21" t="inlineStr">
        <is>
          <t>Partial</t>
        </is>
      </c>
      <c r="B17" s="12" t="inlineStr">
        <is>
          <t>5.6</t>
        </is>
      </c>
      <c r="C17" s="19" t="inlineStr">
        <is>
          <t>AI Developer Experience &amp; Reuse Assets</t>
        </is>
      </c>
      <c r="D17" s="12" t="inlineStr">
        <is>
          <t>D5</t>
        </is>
      </c>
      <c r="E17" s="12" t="inlineStr">
        <is>
          <t>Core Platforms</t>
        </is>
      </c>
      <c r="F17" s="12" t="inlineStr">
        <is>
          <t>Core Platforms claims the Development platform (Terraform, CICD). Curation of AI reference implementations and templates is not named — today the AI enabler and EA produce them.</t>
        </is>
      </c>
      <c r="G17" s="11" t="inlineStr"/>
      <c r="H17" s="11" t="inlineStr"/>
    </row>
    <row r="18">
      <c r="A18" s="21" t="inlineStr">
        <is>
          <t>Partial</t>
        </is>
      </c>
      <c r="B18" s="12" t="inlineStr">
        <is>
          <t>6.2</t>
        </is>
      </c>
      <c r="C18" s="19" t="inlineStr">
        <is>
          <t>AI Monitoring &amp; Observability</t>
        </is>
      </c>
      <c r="D18" s="12" t="inlineStr">
        <is>
          <t>D6</t>
        </is>
      </c>
      <c r="E18" s="12" t="inlineStr">
        <is>
          <t>Cloud and Infrastructure</t>
        </is>
      </c>
      <c r="F18" s="12" t="inlineStr">
        <is>
          <t>Cloud and Infrastructure claims observability within networking and cloud service delivery. AI-specific telemetry — traces, tool calls, agent actions — is not named.</t>
        </is>
      </c>
      <c r="G18" s="11" t="inlineStr"/>
      <c r="H18" s="11" t="inlineStr"/>
    </row>
    <row r="19">
      <c r="A19" s="21" t="inlineStr">
        <is>
          <t>Partial</t>
        </is>
      </c>
      <c r="B19" s="12" t="inlineStr">
        <is>
          <t>6.4</t>
        </is>
      </c>
      <c r="C19" s="19" t="inlineStr">
        <is>
          <t>AI Incident &amp; Problem Management</t>
        </is>
      </c>
      <c r="D19" s="12" t="inlineStr">
        <is>
          <t>D6</t>
        </is>
      </c>
      <c r="E19" s="12" t="inlineStr">
        <is>
          <t>Service Delivery</t>
        </is>
      </c>
      <c r="F19" s="12" t="inlineStr">
        <is>
          <t>Service Delivery claims the Service Desk as first point of contact. AI-specific incident handling, and the question of who triages a model or agent failure, is not covered.</t>
        </is>
      </c>
      <c r="G19" s="11" t="inlineStr"/>
      <c r="H19" s="11" t="inlineStr"/>
    </row>
    <row r="20">
      <c r="A20" s="21" t="inlineStr">
        <is>
          <t>Partial</t>
        </is>
      </c>
      <c r="B20" s="12" t="inlineStr">
        <is>
          <t>6.6</t>
        </is>
      </c>
      <c r="C20" s="19" t="inlineStr">
        <is>
          <t>AI Asset Retirement &amp; Evidence Preservation</t>
        </is>
      </c>
      <c r="D20" s="12" t="inlineStr">
        <is>
          <t>D6</t>
        </is>
      </c>
      <c r="E20" s="12" t="inlineStr">
        <is>
          <t>Service Delivery</t>
        </is>
      </c>
      <c r="F20" s="12" t="inlineStr">
        <is>
          <t>Service Delivery claims Assets Management; Core Platforms claims e-disposition of records. Retirement of an AI system with its evidence preserved is not named by either.</t>
        </is>
      </c>
      <c r="G20" s="11" t="inlineStr"/>
      <c r="H20" s="11" t="inlineStr"/>
    </row>
    <row r="21">
      <c r="A21" s="21" t="inlineStr">
        <is>
          <t>Partial</t>
        </is>
      </c>
      <c r="B21" s="12" t="inlineStr">
        <is>
          <t>7.1</t>
        </is>
      </c>
      <c r="C21" s="19" t="inlineStr">
        <is>
          <t>AI Policy, Standards &amp; Management System</t>
        </is>
      </c>
      <c r="D21" s="12" t="inlineStr">
        <is>
          <t>D7</t>
        </is>
      </c>
      <c r="E21" s="12" t="inlineStr">
        <is>
          <t>Artificial Intelligence</t>
        </is>
      </c>
      <c r="F21" s="12" t="inlineStr">
        <is>
          <t>AI enabler owns the AI strategy; Cybersecurity owns Security Governance (policies, standards, baselines); EA owns technology guidelines. No one owns an AI management system as such.</t>
        </is>
      </c>
      <c r="G21" s="11" t="inlineStr"/>
      <c r="H21" s="11" t="inlineStr"/>
    </row>
    <row r="22">
      <c r="A22" s="21" t="inlineStr">
        <is>
          <t>Partial</t>
        </is>
      </c>
      <c r="B22" s="12" t="inlineStr">
        <is>
          <t>7.3</t>
        </is>
      </c>
      <c r="C22" s="19" t="inlineStr">
        <is>
          <t>AI Risk Management</t>
        </is>
      </c>
      <c r="D22" s="12" t="inlineStr">
        <is>
          <t>D7</t>
        </is>
      </c>
      <c r="E22" s="12" t="inlineStr">
        <is>
          <t>Risk, Audit &amp; Compliance</t>
        </is>
      </c>
      <c r="F22" s="12" t="inlineStr">
        <is>
          <t>Risk, Audit &amp; Compliance claims Operational Risk management (Metric Stream) and Control management. AI risk is not named, and it is unclear whether AI risk enters the operational risk register at all.</t>
        </is>
      </c>
      <c r="G22" s="11" t="inlineStr"/>
      <c r="H22" s="11" t="inlineStr"/>
    </row>
    <row r="23">
      <c r="A23" s="21" t="inlineStr">
        <is>
          <t>Partial</t>
        </is>
      </c>
      <c r="B23" s="12" t="inlineStr">
        <is>
          <t>7.7</t>
        </is>
      </c>
      <c r="C23" s="19" t="inlineStr">
        <is>
          <t>AI System &amp; Agent Inventory Management</t>
        </is>
      </c>
      <c r="D23" s="12" t="inlineStr">
        <is>
          <t>D7</t>
        </is>
      </c>
      <c r="E23" s="12" t="inlineStr">
        <is>
          <t>Artificial Intelligence</t>
        </is>
      </c>
      <c r="F23" s="12" t="inlineStr">
        <is>
          <t>AI enabler maintains the enterprise AI capability catalogue. That is a catalogue of what the platform offers, not an inventory of every AI system and agent in operation with a named accountable owner.</t>
        </is>
      </c>
      <c r="G23" s="11" t="inlineStr"/>
      <c r="H23" s="11" t="inlineStr"/>
    </row>
    <row r="24">
      <c r="A24" s="21" t="inlineStr">
        <is>
          <t>Partial</t>
        </is>
      </c>
      <c r="B24" s="12" t="inlineStr">
        <is>
          <t>7.8</t>
        </is>
      </c>
      <c r="C24" s="19" t="inlineStr">
        <is>
          <t>AI Assurance &amp; Evidence Management</t>
        </is>
      </c>
      <c r="D24" s="12" t="inlineStr">
        <is>
          <t>D7</t>
        </is>
      </c>
      <c r="E24" s="12" t="inlineStr">
        <is>
          <t>IT Risk (Compliance)</t>
        </is>
      </c>
      <c r="F24" s="12" t="inlineStr">
        <is>
          <t>IT Risk claims oversight of internal and external audits and PRAC reviews of control design and implementation. Producing and preserving AI assurance evidence is not named.</t>
        </is>
      </c>
      <c r="G24" s="11" t="inlineStr"/>
      <c r="H24" s="11" t="inlineStr"/>
    </row>
    <row r="25">
      <c r="A25" s="21" t="inlineStr">
        <is>
          <t>Partial</t>
        </is>
      </c>
      <c r="B25" s="12" t="inlineStr">
        <is>
          <t>8.2</t>
        </is>
      </c>
      <c r="C25" s="19" t="inlineStr">
        <is>
          <t>AI Skills &amp; Specialist Capability Building</t>
        </is>
      </c>
      <c r="D25" s="12" t="inlineStr">
        <is>
          <t>D8</t>
        </is>
      </c>
      <c r="E25" s="12" t="inlineStr">
        <is>
          <t>Strategic Resource Management</t>
        </is>
      </c>
      <c r="F25" s="12" t="inlineStr">
        <is>
          <t>SRM claims People Management and Development; People Management (product) claims Learning. Neither names AI skills or specialist capability building.</t>
        </is>
      </c>
      <c r="G25" s="11" t="inlineStr"/>
      <c r="H25" s="11" t="inlineStr"/>
    </row>
    <row r="26">
      <c r="A26" s="21" t="inlineStr">
        <is>
          <t>Partial</t>
        </is>
      </c>
      <c r="B26" s="12" t="inlineStr">
        <is>
          <t>8.3</t>
        </is>
      </c>
      <c r="C26" s="19" t="inlineStr">
        <is>
          <t>AI Literacy &amp; Awareness</t>
        </is>
      </c>
      <c r="D26" s="12" t="inlineStr">
        <is>
          <t>D8</t>
        </is>
      </c>
      <c r="E26" s="12" t="inlineStr">
        <is>
          <t>Emerging Tech</t>
        </is>
      </c>
      <c r="F26" s="12" t="inlineStr">
        <is>
          <t>Emerging Tech claims Technological awareness — events, workshops and sessions to disseminate knowledge. Bank-wide AI literacy is broader than that and is not named by anyone.</t>
        </is>
      </c>
      <c r="G26" s="11" t="inlineStr"/>
      <c r="H26" s="11" t="inlineStr"/>
    </row>
    <row r="27">
      <c r="A27" s="21" t="inlineStr">
        <is>
          <t>Partial</t>
        </is>
      </c>
      <c r="B27" s="12" t="inlineStr">
        <is>
          <t>8.6</t>
        </is>
      </c>
      <c r="C27" s="19" t="inlineStr">
        <is>
          <t>AI Community &amp; Reuse Culture</t>
        </is>
      </c>
      <c r="D27" s="12" t="inlineStr">
        <is>
          <t>D8</t>
        </is>
      </c>
      <c r="E27" s="12" t="inlineStr">
        <is>
          <t>Emerging Tech</t>
        </is>
      </c>
      <c r="F27" s="12" t="inlineStr">
        <is>
          <t>Emerging Tech claims awareness and dissemination; People Experience - IBT claims Open innovation. Neither claims a practitioner community or reuse culture for AI.</t>
        </is>
      </c>
      <c r="G27" s="11" t="inlineStr"/>
      <c r="H27" s="11" t="inlineStr"/>
    </row>
  </sheetData>
  <autoFilter ref="A1:H27"/>
  <dataValidations count="1">
    <dataValidation sqref="G2:G27" showDropDown="0" showInputMessage="0" showErrorMessage="0" allowBlank="1" type="list">
      <formula1>"Assign to the nearest owner,Assign to someone else,Needs a new role,Out of scope - drop the capability,Not sure - discuss"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26" customWidth="1" min="3" max="3"/>
    <col width="76" customWidth="1" min="4" max="4"/>
    <col width="26" customWidth="1" min="5" max="5"/>
    <col width="70" customWidth="1" min="6" max="6"/>
  </cols>
  <sheetData>
    <row r="1" ht="30" customHeight="1">
      <c r="A1" s="6" t="inlineStr">
        <is>
          <t>Proposed name</t>
        </is>
      </c>
      <c r="B1" s="6" t="inlineStr">
        <is>
          <t>Level (L2 or L3)</t>
        </is>
      </c>
      <c r="C1" s="6" t="inlineStr">
        <is>
          <t>Which domain / parent</t>
        </is>
      </c>
      <c r="D1" s="6" t="inlineStr">
        <is>
          <t>What it means ("Able to ...")</t>
        </is>
      </c>
      <c r="E1" s="6" t="inlineStr">
        <is>
          <t>Proposed owner</t>
        </is>
      </c>
      <c r="F1" s="6" t="inlineStr">
        <is>
          <t>Why it is missing / where you have seen it needed</t>
        </is>
      </c>
    </row>
    <row r="2">
      <c r="A2" s="22" t="inlineStr">
        <is>
          <t>AI Model Hosting Cost Attribution</t>
        </is>
      </c>
      <c r="B2" s="22" t="inlineStr">
        <is>
          <t>L3</t>
        </is>
      </c>
      <c r="C2" s="22" t="inlineStr">
        <is>
          <t>6.5 AI Cost Management</t>
        </is>
      </c>
      <c r="D2" s="22" t="inlineStr">
        <is>
          <t>Able to attribute inference and hosting spend back to the consuming business unit.</t>
        </is>
      </c>
      <c r="E2" s="22" t="inlineStr">
        <is>
          <t>FinOps Owner</t>
        </is>
      </c>
      <c r="F2" s="22" t="inlineStr">
        <is>
          <t>EXAMPLE ROW - overwrite or delete. Raised by Finance during budget review.</t>
        </is>
      </c>
    </row>
    <row r="3">
      <c r="A3" s="23" t="n"/>
      <c r="B3" s="23" t="n"/>
      <c r="C3" s="23" t="n"/>
      <c r="D3" s="23" t="n"/>
      <c r="E3" s="23" t="n"/>
      <c r="F3" s="23" t="n"/>
    </row>
    <row r="4">
      <c r="A4" s="23" t="n"/>
      <c r="B4" s="23" t="n"/>
      <c r="C4" s="23" t="n"/>
      <c r="D4" s="23" t="n"/>
      <c r="E4" s="23" t="n"/>
      <c r="F4" s="23" t="n"/>
    </row>
    <row r="5">
      <c r="A5" s="23" t="n"/>
      <c r="B5" s="23" t="n"/>
      <c r="C5" s="23" t="n"/>
      <c r="D5" s="23" t="n"/>
      <c r="E5" s="23" t="n"/>
      <c r="F5" s="23" t="n"/>
    </row>
    <row r="6">
      <c r="A6" s="23" t="n"/>
      <c r="B6" s="23" t="n"/>
      <c r="C6" s="23" t="n"/>
      <c r="D6" s="23" t="n"/>
      <c r="E6" s="23" t="n"/>
      <c r="F6" s="23" t="n"/>
    </row>
    <row r="7">
      <c r="A7" s="23" t="n"/>
      <c r="B7" s="23" t="n"/>
      <c r="C7" s="23" t="n"/>
      <c r="D7" s="23" t="n"/>
      <c r="E7" s="23" t="n"/>
      <c r="F7" s="23" t="n"/>
    </row>
    <row r="8">
      <c r="A8" s="23" t="n"/>
      <c r="B8" s="23" t="n"/>
      <c r="C8" s="23" t="n"/>
      <c r="D8" s="23" t="n"/>
      <c r="E8" s="23" t="n"/>
      <c r="F8" s="23" t="n"/>
    </row>
    <row r="9">
      <c r="A9" s="23" t="n"/>
      <c r="B9" s="23" t="n"/>
      <c r="C9" s="23" t="n"/>
      <c r="D9" s="23" t="n"/>
      <c r="E9" s="23" t="n"/>
      <c r="F9" s="23" t="n"/>
    </row>
    <row r="10">
      <c r="A10" s="23" t="n"/>
      <c r="B10" s="23" t="n"/>
      <c r="C10" s="23" t="n"/>
      <c r="D10" s="23" t="n"/>
      <c r="E10" s="23" t="n"/>
      <c r="F10" s="23" t="n"/>
    </row>
    <row r="11">
      <c r="A11" s="23" t="n"/>
      <c r="B11" s="23" t="n"/>
      <c r="C11" s="23" t="n"/>
      <c r="D11" s="23" t="n"/>
      <c r="E11" s="23" t="n"/>
      <c r="F11" s="23" t="n"/>
    </row>
    <row r="12">
      <c r="A12" s="23" t="n"/>
      <c r="B12" s="23" t="n"/>
      <c r="C12" s="23" t="n"/>
      <c r="D12" s="23" t="n"/>
      <c r="E12" s="23" t="n"/>
      <c r="F12" s="23" t="n"/>
    </row>
    <row r="13">
      <c r="A13" s="23" t="n"/>
      <c r="B13" s="23" t="n"/>
      <c r="C13" s="23" t="n"/>
      <c r="D13" s="23" t="n"/>
      <c r="E13" s="23" t="n"/>
      <c r="F13" s="23" t="n"/>
    </row>
    <row r="14">
      <c r="A14" s="23" t="n"/>
      <c r="B14" s="23" t="n"/>
      <c r="C14" s="23" t="n"/>
      <c r="D14" s="23" t="n"/>
      <c r="E14" s="23" t="n"/>
      <c r="F14" s="23" t="n"/>
    </row>
    <row r="15">
      <c r="A15" s="23" t="n"/>
      <c r="B15" s="23" t="n"/>
      <c r="C15" s="23" t="n"/>
      <c r="D15" s="23" t="n"/>
      <c r="E15" s="23" t="n"/>
      <c r="F15" s="23" t="n"/>
    </row>
    <row r="16">
      <c r="A16" s="23" t="n"/>
      <c r="B16" s="23" t="n"/>
      <c r="C16" s="23" t="n"/>
      <c r="D16" s="23" t="n"/>
      <c r="E16" s="23" t="n"/>
      <c r="F16" s="23" t="n"/>
    </row>
    <row r="17">
      <c r="A17" s="23" t="n"/>
      <c r="B17" s="23" t="n"/>
      <c r="C17" s="23" t="n"/>
      <c r="D17" s="23" t="n"/>
      <c r="E17" s="23" t="n"/>
      <c r="F17" s="23" t="n"/>
    </row>
    <row r="18">
      <c r="A18" s="23" t="n"/>
      <c r="B18" s="23" t="n"/>
      <c r="C18" s="23" t="n"/>
      <c r="D18" s="23" t="n"/>
      <c r="E18" s="23" t="n"/>
      <c r="F18" s="23" t="n"/>
    </row>
    <row r="19">
      <c r="A19" s="23" t="n"/>
      <c r="B19" s="23" t="n"/>
      <c r="C19" s="23" t="n"/>
      <c r="D19" s="23" t="n"/>
      <c r="E19" s="23" t="n"/>
      <c r="F19" s="23" t="n"/>
    </row>
    <row r="20">
      <c r="A20" s="23" t="n"/>
      <c r="B20" s="23" t="n"/>
      <c r="C20" s="23" t="n"/>
      <c r="D20" s="23" t="n"/>
      <c r="E20" s="23" t="n"/>
      <c r="F20" s="23" t="n"/>
    </row>
    <row r="21">
      <c r="A21" s="23" t="n"/>
      <c r="B21" s="23" t="n"/>
      <c r="C21" s="23" t="n"/>
      <c r="D21" s="23" t="n"/>
      <c r="E21" s="23" t="n"/>
      <c r="F21" s="23" t="n"/>
    </row>
    <row r="22">
      <c r="A22" s="23" t="n"/>
      <c r="B22" s="23" t="n"/>
      <c r="C22" s="23" t="n"/>
      <c r="D22" s="23" t="n"/>
      <c r="E22" s="23" t="n"/>
      <c r="F22" s="23" t="n"/>
    </row>
    <row r="23">
      <c r="A23" s="23" t="n"/>
      <c r="B23" s="23" t="n"/>
      <c r="C23" s="23" t="n"/>
      <c r="D23" s="23" t="n"/>
      <c r="E23" s="23" t="n"/>
      <c r="F23" s="23" t="n"/>
    </row>
    <row r="24">
      <c r="A24" s="23" t="n"/>
      <c r="B24" s="23" t="n"/>
      <c r="C24" s="23" t="n"/>
      <c r="D24" s="23" t="n"/>
      <c r="E24" s="23" t="n"/>
      <c r="F24" s="23" t="n"/>
    </row>
    <row r="25">
      <c r="A25" s="23" t="n"/>
      <c r="B25" s="23" t="n"/>
      <c r="C25" s="23" t="n"/>
      <c r="D25" s="23" t="n"/>
      <c r="E25" s="23" t="n"/>
      <c r="F25" s="23" t="n"/>
    </row>
    <row r="26">
      <c r="A26" s="23" t="n"/>
      <c r="B26" s="23" t="n"/>
      <c r="C26" s="23" t="n"/>
      <c r="D26" s="23" t="n"/>
      <c r="E26" s="23" t="n"/>
      <c r="F26" s="23" t="n"/>
    </row>
    <row r="27">
      <c r="A27" s="23" t="n"/>
      <c r="B27" s="23" t="n"/>
      <c r="C27" s="23" t="n"/>
      <c r="D27" s="23" t="n"/>
      <c r="E27" s="23" t="n"/>
      <c r="F27" s="23" t="n"/>
    </row>
    <row r="28">
      <c r="A28" s="23" t="n"/>
      <c r="B28" s="23" t="n"/>
      <c r="C28" s="23" t="n"/>
      <c r="D28" s="23" t="n"/>
      <c r="E28" s="23" t="n"/>
      <c r="F28" s="23" t="n"/>
    </row>
    <row r="29">
      <c r="A29" s="23" t="n"/>
      <c r="B29" s="23" t="n"/>
      <c r="C29" s="23" t="n"/>
      <c r="D29" s="23" t="n"/>
      <c r="E29" s="23" t="n"/>
      <c r="F29" s="23" t="n"/>
    </row>
    <row r="30">
      <c r="A30" s="23" t="n"/>
      <c r="B30" s="23" t="n"/>
      <c r="C30" s="23" t="n"/>
      <c r="D30" s="23" t="n"/>
      <c r="E30" s="23" t="n"/>
      <c r="F30" s="23" t="n"/>
    </row>
    <row r="31">
      <c r="A31" s="23" t="n"/>
      <c r="B31" s="23" t="n"/>
      <c r="C31" s="23" t="n"/>
      <c r="D31" s="23" t="n"/>
      <c r="E31" s="23" t="n"/>
      <c r="F31" s="23" t="n"/>
    </row>
    <row r="32">
      <c r="A32" s="23" t="n"/>
      <c r="B32" s="23" t="n"/>
      <c r="C32" s="23" t="n"/>
      <c r="D32" s="23" t="n"/>
      <c r="E32" s="23" t="n"/>
      <c r="F32" s="23" t="n"/>
    </row>
    <row r="33">
      <c r="A33" s="23" t="n"/>
      <c r="B33" s="23" t="n"/>
      <c r="C33" s="23" t="n"/>
      <c r="D33" s="23" t="n"/>
      <c r="E33" s="23" t="n"/>
      <c r="F33" s="23" t="n"/>
    </row>
    <row r="34">
      <c r="A34" s="23" t="n"/>
      <c r="B34" s="23" t="n"/>
      <c r="C34" s="23" t="n"/>
      <c r="D34" s="23" t="n"/>
      <c r="E34" s="23" t="n"/>
      <c r="F34" s="23" t="n"/>
    </row>
    <row r="35">
      <c r="A35" s="23" t="n"/>
      <c r="B35" s="23" t="n"/>
      <c r="C35" s="23" t="n"/>
      <c r="D35" s="23" t="n"/>
      <c r="E35" s="23" t="n"/>
      <c r="F35" s="23" t="n"/>
    </row>
    <row r="36">
      <c r="A36" s="23" t="n"/>
      <c r="B36" s="23" t="n"/>
      <c r="C36" s="23" t="n"/>
      <c r="D36" s="23" t="n"/>
      <c r="E36" s="23" t="n"/>
      <c r="F36" s="23" t="n"/>
    </row>
    <row r="37">
      <c r="A37" s="23" t="n"/>
      <c r="B37" s="23" t="n"/>
      <c r="C37" s="23" t="n"/>
      <c r="D37" s="23" t="n"/>
      <c r="E37" s="23" t="n"/>
      <c r="F37" s="23" t="n"/>
    </row>
    <row r="38">
      <c r="A38" s="23" t="n"/>
      <c r="B38" s="23" t="n"/>
      <c r="C38" s="23" t="n"/>
      <c r="D38" s="23" t="n"/>
      <c r="E38" s="23" t="n"/>
      <c r="F38" s="23" t="n"/>
    </row>
    <row r="39">
      <c r="A39" s="23" t="n"/>
      <c r="B39" s="23" t="n"/>
      <c r="C39" s="23" t="n"/>
      <c r="D39" s="23" t="n"/>
      <c r="E39" s="23" t="n"/>
      <c r="F39" s="23" t="n"/>
    </row>
    <row r="40">
      <c r="A40" s="23" t="n"/>
      <c r="B40" s="23" t="n"/>
      <c r="C40" s="23" t="n"/>
      <c r="D40" s="23" t="n"/>
      <c r="E40" s="23" t="n"/>
      <c r="F40" s="23" t="n"/>
    </row>
  </sheetData>
  <dataValidations count="1">
    <dataValidation sqref="B2:B40" showDropDown="0" showInputMessage="0" showErrorMessage="0" allowBlank="1" type="list">
      <formula1>"L2,L3"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2026-09-04T21:04:31Z</dcterms:created>
  <dcterms:modified xsi:type="dcterms:W3CDTF">2026-09-04T21:04:31Z</dcterms:modified>
</cp:coreProperties>
</file>