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Source register" sheetId="2" state="visible" r:id="rId2"/>
    <sheet name="2. Capability to source" sheetId="3" state="visible" r:id="rId3"/>
    <sheet name="3. Findings" sheetId="4" state="visible" r:id="rId4"/>
    <sheet name="4. Scales" sheetId="5" state="visible" r:id="rId5"/>
    <sheet name="5. Coverage" sheetId="6" state="visible" r:id="rId6"/>
  </sheets>
  <definedNames>
    <definedName name="_xlnm._FilterDatabase" localSheetId="1" hidden="1">'1. Source register'!$A$1:$P$41</definedName>
    <definedName name="_xlnm._FilterDatabase" localSheetId="2" hidden="1">'2. Capability to source'!$A$1:$O$148</definedName>
    <definedName name="_xlnm._FilterDatabase" localSheetId="3" hidden="1">'3. Findings'!$A$1:$I$19</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FF1F3864"/>
      <sz val="16"/>
    </font>
    <font>
      <name val="Arial"/>
      <b val="1"/>
      <sz val="10"/>
    </font>
    <font>
      <name val="Arial"/>
      <sz val="10"/>
    </font>
    <font>
      <name val="Arial"/>
      <b val="1"/>
      <color rgb="FF1F3864"/>
      <sz val="12"/>
    </font>
    <font>
      <name val="Arial"/>
      <b val="1"/>
      <color rgb="FFFFFFFF"/>
      <sz val="10"/>
    </font>
    <font>
      <name val="Arial"/>
      <b val="1"/>
      <sz val="11"/>
    </font>
    <font>
      <name val="Arial"/>
      <color rgb="FF0563C1"/>
      <sz val="9"/>
      <u val="single"/>
    </font>
    <font>
      <name val="Arial"/>
      <b val="1"/>
      <color rgb="FF1F3864"/>
      <sz val="13"/>
    </font>
    <font>
      <name val="Arial"/>
      <b val="1"/>
      <sz val="12"/>
    </font>
    <font>
      <name val="Arial"/>
      <i val="1"/>
      <sz val="10"/>
    </font>
  </fonts>
  <fills count="9">
    <fill>
      <patternFill/>
    </fill>
    <fill>
      <patternFill patternType="gray125"/>
    </fill>
    <fill>
      <patternFill patternType="solid">
        <fgColor rgb="FF1F3864"/>
      </patternFill>
    </fill>
    <fill>
      <patternFill patternType="solid">
        <fgColor rgb="FFFFE699"/>
      </patternFill>
    </fill>
    <fill>
      <patternFill patternType="solid">
        <fgColor rgb="FFFFF2CC"/>
      </patternFill>
    </fill>
    <fill>
      <patternFill patternType="solid">
        <fgColor rgb="FFE2EFDA"/>
      </patternFill>
    </fill>
    <fill>
      <patternFill patternType="solid">
        <fgColor rgb="FFEDF3E8"/>
      </patternFill>
    </fill>
    <fill>
      <patternFill patternType="solid">
        <fgColor rgb="FFF8CBAD"/>
      </patternFill>
    </fill>
    <fill>
      <patternFill patternType="solid">
        <fgColor rgb="FFF2F2F2"/>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0" borderId="0" pivotButton="0" quotePrefix="0" xfId="0"/>
    <xf numFmtId="0" fontId="3" fillId="0" borderId="0" pivotButton="0" quotePrefix="0" xfId="0"/>
    <xf numFmtId="0" fontId="5" fillId="2" borderId="0"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horizontal="center" vertical="top"/>
    </xf>
    <xf numFmtId="0" fontId="3" fillId="4" borderId="1" applyAlignment="1" pivotButton="0" quotePrefix="0" xfId="0">
      <alignment vertical="top" wrapText="1"/>
    </xf>
    <xf numFmtId="0" fontId="6" fillId="5" borderId="1" applyAlignment="1" pivotButton="0" quotePrefix="0" xfId="0">
      <alignment horizontal="center" vertical="top"/>
    </xf>
    <xf numFmtId="0" fontId="6" fillId="6" borderId="1" applyAlignment="1" pivotButton="0" quotePrefix="0" xfId="0">
      <alignment horizontal="center" vertical="top"/>
    </xf>
    <xf numFmtId="0" fontId="3" fillId="7" borderId="1" applyAlignment="1" pivotButton="0" quotePrefix="0" xfId="0">
      <alignment vertical="top" wrapText="1"/>
    </xf>
    <xf numFmtId="0" fontId="2" fillId="7" borderId="1" applyAlignment="1" pivotButton="0" quotePrefix="0" xfId="0">
      <alignment vertical="top" wrapText="1"/>
    </xf>
    <xf numFmtId="0" fontId="6" fillId="7" borderId="1" applyAlignment="1" pivotButton="0" quotePrefix="0" xfId="0">
      <alignment horizontal="center" vertical="top"/>
    </xf>
    <xf numFmtId="0" fontId="3" fillId="3"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8" borderId="1" applyAlignment="1" pivotButton="0" quotePrefix="0" xfId="0">
      <alignment vertical="top" wrapText="1"/>
    </xf>
    <xf numFmtId="0" fontId="8" fillId="0" borderId="0" pivotButton="0" quotePrefix="0" xfId="0"/>
    <xf numFmtId="0" fontId="9" fillId="5" borderId="0" applyAlignment="1" pivotButton="0" quotePrefix="0" xfId="0">
      <alignment horizontal="center"/>
    </xf>
    <xf numFmtId="0" fontId="9" fillId="6" borderId="0" applyAlignment="1" pivotButton="0" quotePrefix="0" xfId="0">
      <alignment horizontal="center"/>
    </xf>
    <xf numFmtId="0" fontId="9" fillId="3" borderId="0" applyAlignment="1" pivotButton="0" quotePrefix="0" xfId="0">
      <alignment horizontal="center"/>
    </xf>
    <xf numFmtId="0" fontId="9" fillId="7" borderId="0" applyAlignment="1" pivotButton="0" quotePrefix="0" xfId="0">
      <alignment horizontal="center"/>
    </xf>
    <xf numFmtId="0" fontId="3" fillId="0" borderId="1" applyAlignment="1" pivotButton="0" quotePrefix="0" xfId="0">
      <alignment horizontal="center"/>
    </xf>
    <xf numFmtId="0" fontId="0" fillId="0" borderId="1" pivotButton="0" quotePrefix="0" xfId="0"/>
    <xf numFmtId="0" fontId="2" fillId="0" borderId="1" pivotButton="0" quotePrefix="0" xfId="0"/>
    <xf numFmtId="0" fontId="2" fillId="0" borderId="1" applyAlignment="1" pivotButton="0" quotePrefix="0" xfId="0">
      <alignment horizontal="center"/>
    </xf>
    <xf numFmtId="0" fontId="1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so.org/standard/42001" TargetMode="External" Id="rId1" /><Relationship Type="http://schemas.openxmlformats.org/officeDocument/2006/relationships/hyperlink" Target="https://www.iso.org/standard/81118.html" TargetMode="External" Id="rId2" /><Relationship Type="http://schemas.openxmlformats.org/officeDocument/2006/relationships/hyperlink" Target="https://www.iso.org/standard/56641.html" TargetMode="External" Id="rId3" /><Relationship Type="http://schemas.openxmlformats.org/officeDocument/2006/relationships/hyperlink" Target="https://www.iso.org/standard/77304.html" TargetMode="External" Id="rId4" /><Relationship Type="http://schemas.openxmlformats.org/officeDocument/2006/relationships/hyperlink" Target="https://www.iso.org/standard/42005" TargetMode="External" Id="rId5" /><Relationship Type="http://schemas.openxmlformats.org/officeDocument/2006/relationships/hyperlink" Target="https://www.iso.org/standard/27001" TargetMode="External" Id="rId6" /><Relationship Type="http://schemas.openxmlformats.org/officeDocument/2006/relationships/hyperlink" Target="https://www.iso.org/standard/27701" TargetMode="External" Id="rId7" /><Relationship Type="http://schemas.openxmlformats.org/officeDocument/2006/relationships/hyperlink" Target="https://nvlpubs.nist.gov/nistpubs/ai/NIST.AI.100-1.pdf" TargetMode="External" Id="rId8" /><Relationship Type="http://schemas.openxmlformats.org/officeDocument/2006/relationships/hyperlink" Target="https://nvlpubs.nist.gov/nistpubs/ai/NIST.AI.600-1.pdf" TargetMode="External" Id="rId9" /><Relationship Type="http://schemas.openxmlformats.org/officeDocument/2006/relationships/hyperlink" Target="https://legalinstruments.oecd.org/en/instruments/OECD-LEGAL-0449" TargetMode="External" Id="rId10" /><Relationship Type="http://schemas.openxmlformats.org/officeDocument/2006/relationships/hyperlink" Target="https://www.gao.gov/assets/gao-21-519sp.pdf" TargetMode="External" Id="rId11" /><Relationship Type="http://schemas.openxmlformats.org/officeDocument/2006/relationships/hyperlink" Target="https://docs.aws.amazon.com/whitepapers/latest/aws-caf-for-ai/aws-caf-for-ai.html" TargetMode="External" Id="rId12" /><Relationship Type="http://schemas.openxmlformats.org/officeDocument/2006/relationships/hyperlink" Target="https://learn.microsoft.com/en-us/azure/cloud-adoption-framework/ai/" TargetMode="External" Id="rId13" /><Relationship Type="http://schemas.openxmlformats.org/officeDocument/2006/relationships/hyperlink" Target="https://services.google.com/fh/files/misc/ai_adoption_framework_whitepaper.pdf" TargetMode="External" Id="rId14" /><Relationship Type="http://schemas.openxmlformats.org/officeDocument/2006/relationships/hyperlink" Target="https://www.ibm.com/architectures/patterns/genai-capability-model" TargetMode="External" Id="rId15" /><Relationship Type="http://schemas.openxmlformats.org/officeDocument/2006/relationships/hyperlink" Target="https://docs.nvidia.com/ai-enterprise/planning-resource/ai-factory-white-paper/latest/" TargetMode="External" Id="rId16" /><Relationship Type="http://schemas.openxmlformats.org/officeDocument/2006/relationships/hyperlink" Target="https://architecture.learning.sap.com/docs/ai-native-north-star-architecture" TargetMode="External" Id="rId17" /><Relationship Type="http://schemas.openxmlformats.org/officeDocument/2006/relationships/hyperlink" Target="https://architect.salesforce.com/docs/architect/fundamentals/guide/agent-development-lifecycle.html" TargetMode="External" Id="rId18" /><Relationship Type="http://schemas.openxmlformats.org/officeDocument/2006/relationships/hyperlink" Target="https://www.weforum.org/publications/the-ai-first-operating-system-a-blueprint-for-operating-and-business-model-innovation/" TargetMode="External" Id="rId19" /><Relationship Type="http://schemas.openxmlformats.org/officeDocument/2006/relationships/hyperlink" Target="https://pubs.opengroup.org/togaf-standard/" TargetMode="External" Id="rId20" /><Relationship Type="http://schemas.openxmlformats.org/officeDocument/2006/relationships/hyperlink" Target="https://publications.opengroup.org/g193" TargetMode="External" Id="rId21" /><Relationship Type="http://schemas.openxmlformats.org/officeDocument/2006/relationships/hyperlink" Target="https://www.opengroup.org/AgileArchitecture" TargetMode="External" Id="rId22" /><Relationship Type="http://schemas.openxmlformats.org/officeDocument/2006/relationships/hyperlink" Target="https://pubs.opengroup.org/it4it/3.0.1/standard/" TargetMode="External" Id="rId23" /><Relationship Type="http://schemas.openxmlformats.org/officeDocument/2006/relationships/hyperlink" Target="https://www.peoplecert.org/" TargetMode="External" Id="rId24" /><Relationship Type="http://schemas.openxmlformats.org/officeDocument/2006/relationships/hyperlink" Target="https://edmcouncil.org/frameworks/dcam/" TargetMode="External" Id="rId25" /><Relationship Type="http://schemas.openxmlformats.org/officeDocument/2006/relationships/hyperlink" Target="https://edmcouncil.org/forums-workgroups/adac-workgroup/" TargetMode="External" Id="rId26" /><Relationship Type="http://schemas.openxmlformats.org/officeDocument/2006/relationships/hyperlink" Target="https://www.finops.org/framework/" TargetMode="External" Id="rId27" /><Relationship Type="http://schemas.openxmlformats.org/officeDocument/2006/relationships/hyperlink" Target="https://www.theiia.org/globalassets/site/resources/statements-of-position/tlm_assurance_advice_support_effective_gov_en.pdf" TargetMode="External" Id="rId28" /><Relationship Type="http://schemas.openxmlformats.org/officeDocument/2006/relationships/hyperlink" Target="https://aimaturitymodel.mitre.org/" TargetMode="External" Id="rId29" /><Relationship Type="http://schemas.openxmlformats.org/officeDocument/2006/relationships/hyperlink" Target="https://cisr.mit.edu/publication/2025_0801_EnterpriseAIMaturityUpdate_WoernerSebastianWeillKaganer" TargetMode="External" Id="rId30" /><Relationship Type="http://schemas.openxmlformats.org/officeDocument/2006/relationships/hyperlink" Target="https://aiverifyfoundation.sg/wp-content/uploads/2024/05/Model-AI-Governance-Framework-for-Generative-AI-May-2024-1-1.pdf" TargetMode="External" Id="rId31" /><Relationship Type="http://schemas.openxmlformats.org/officeDocument/2006/relationships/hyperlink" Target="https://www.imda.gov.sg/-/media/imda/files/about/emerging-tech-and-research/artificial-intelligence/mgf-for-agentic-ai.pdf" TargetMode="External" Id="rId32" /><Relationship Type="http://schemas.openxmlformats.org/officeDocument/2006/relationships/hyperlink" Target="https://genai.owasp.org/resource/owasp-genai-llm-top-10-2026/" TargetMode="External" Id="rId33" /><Relationship Type="http://schemas.openxmlformats.org/officeDocument/2006/relationships/hyperlink" Target="https://modelcontextprotocol.io/specification/2026-07-28" TargetMode="External" Id="rId34" /><Relationship Type="http://schemas.openxmlformats.org/officeDocument/2006/relationships/hyperlink" Target="https://www.gartner.com/" TargetMode="External" Id="rId35" /></Relationships>
</file>

<file path=xl/worksheets/sheet1.xml><?xml version="1.0" encoding="utf-8"?>
<worksheet xmlns="http://schemas.openxmlformats.org/spreadsheetml/2006/main">
  <sheetPr>
    <outlinePr summaryBelow="1" summaryRight="1"/>
    <pageSetUpPr/>
  </sheetPr>
  <dimension ref="B1:C27"/>
  <sheetViews>
    <sheetView showGridLines="0" workbookViewId="0">
      <selection activeCell="A1" sqref="A1"/>
    </sheetView>
  </sheetViews>
  <sheetFormatPr baseColWidth="8" defaultRowHeight="15"/>
  <cols>
    <col width="3" customWidth="1" min="1" max="1"/>
    <col width="34" customWidth="1" min="2" max="2"/>
    <col width="104" customWidth="1" min="3" max="3"/>
  </cols>
  <sheetData>
    <row r="1">
      <c r="B1" s="1" t="inlineStr">
        <is>
          <t>AI Capability Model - provenance for review</t>
        </is>
      </c>
    </row>
    <row r="2" ht="28" customHeight="1">
      <c r="B2" s="2" t="inlineStr"/>
      <c r="C2" s="3" t="inlineStr">
        <is>
          <t>Where each capability definition came from, how strongly, and whether a reviewer can open the source and check it.</t>
        </is>
      </c>
    </row>
    <row r="3" ht="28" customHeight="1">
      <c r="B3" s="2" t="inlineStr"/>
      <c r="C3" s="3" t="inlineStr">
        <is>
          <t>Companion to AI-Capability-Taxonomy-for-review.xlsx. That workbook asks whether the capability is right. This one asks whether we can prove where it came from.</t>
        </is>
      </c>
    </row>
    <row r="5">
      <c r="B5" s="4" t="inlineStr">
        <is>
          <t>What changed before you got this</t>
        </is>
      </c>
    </row>
    <row r="6" ht="28" customHeight="1">
      <c r="B6" s="2" t="inlineStr">
        <is>
          <t>Every source was re-verified</t>
        </is>
      </c>
      <c r="C6" s="3" t="inlineStr">
        <is>
          <t>Publisher, edition, date, URL and access were checked on 3 September 2026. That check found eighteen problems, all on sheet 3. Four are serious enough to block publication.</t>
        </is>
      </c>
    </row>
    <row r="7" ht="56" customHeight="1">
      <c r="B7" s="2" t="inlineStr">
        <is>
          <t>The worst of them</t>
        </is>
      </c>
      <c r="C7" s="3" t="inlineStr">
        <is>
          <t>We cited EDM Council ADAC four times. It is a workgroup, not a publication - there is nothing to open. We cited TOGAF capability-based planning, which The Open Group deliberately removed from the 10th Edition. And four capabilities rest on Gartner or unattributed consultancy patterns, neither of which can appear in anything that leaves the Bank.</t>
        </is>
      </c>
    </row>
    <row r="8" ht="28" customHeight="1">
      <c r="B8" s="2" t="inlineStr">
        <is>
          <t>50 citation strings, 40 sources</t>
        </is>
      </c>
      <c r="C8" s="3" t="inlineStr">
        <is>
          <t>The model carried inconsistent variants - IBM GenAI vs IBM Generative AI, NIST AI RMF vs NIST AI RMF - Map. They are now one canonical source each, with the part of the source recorded separately.</t>
        </is>
      </c>
    </row>
    <row r="10">
      <c r="B10" s="4" t="inlineStr">
        <is>
          <t>How to use it</t>
        </is>
      </c>
    </row>
    <row r="11" ht="28" customHeight="1">
      <c r="B11" s="2" t="inlineStr">
        <is>
          <t>Sheet 1 - Source register</t>
        </is>
      </c>
      <c r="C11" s="3" t="inlineStr">
        <is>
          <t>One row per source. Read the Grade and Caution columns first. Grade D means it cannot be used as evidence outside the Bank.</t>
        </is>
      </c>
    </row>
    <row r="12" ht="28" customHeight="1">
      <c r="B12" s="2" t="inlineStr">
        <is>
          <t>Sheet 2 - Capability to source</t>
        </is>
      </c>
      <c r="C12" s="3" t="inlineStr">
        <is>
          <t>One row per capability-source pair. Column G is the specific part of the source the capability rests on; column H says how much to trust that.</t>
        </is>
      </c>
    </row>
    <row r="13" ht="14" customHeight="1">
      <c r="B13" s="2" t="inlineStr">
        <is>
          <t>Sheet 3 - Findings</t>
        </is>
      </c>
      <c r="C13" s="3" t="inlineStr">
        <is>
          <t>The eighteen problems, with what to do about each. Column I is yours.</t>
        </is>
      </c>
    </row>
    <row r="14" ht="14" customHeight="1">
      <c r="B14" s="2" t="inlineStr">
        <is>
          <t>Sheet 4 - Scales</t>
        </is>
      </c>
      <c r="C14" s="3" t="inlineStr">
        <is>
          <t>What the derivation types and evidence grades mean. Read once.</t>
        </is>
      </c>
    </row>
    <row r="15" ht="14" customHeight="1">
      <c r="B15" s="2" t="inlineStr">
        <is>
          <t>Sheet 5 - Coverage</t>
        </is>
      </c>
      <c r="C15" s="3" t="inlineStr">
        <is>
          <t>How the evidence base looks by domain. Where the thin spots are.</t>
        </is>
      </c>
    </row>
    <row r="17">
      <c r="B17" s="4" t="inlineStr">
        <is>
          <t>The one thing to be careful about</t>
        </is>
      </c>
    </row>
    <row r="18" ht="42" customHeight="1">
      <c r="B18" s="2" t="inlineStr">
        <is>
          <t>Candidate loci are unverified</t>
        </is>
      </c>
      <c r="C18" s="3" t="inlineStr">
        <is>
          <t>Column G on sheet 2 is my best reading of which part of each source a capability rests on. None of it is checked against the source text, and eleven sources are paywalled or members-only, so I could not check them. Treat column G as a work instruction, not a finding.</t>
        </is>
      </c>
    </row>
    <row r="19" ht="42" customHeight="1">
      <c r="B19" s="2" t="inlineStr">
        <is>
          <t>What honest looks like here</t>
        </is>
      </c>
      <c r="C19" s="3" t="inlineStr">
        <is>
          <t>A capability that never gets its locus pinned should be reclassified Synthesized - assembled by us - rather than left claiming a source it cannot point into. That is a stronger position with Internal Audit than a citation that does not resolve.</t>
        </is>
      </c>
    </row>
    <row r="21">
      <c r="B21" s="4" t="inlineStr">
        <is>
          <t>Counts</t>
        </is>
      </c>
    </row>
    <row r="22">
      <c r="B22" s="2" t="inlineStr">
        <is>
          <t>Sources cited</t>
        </is>
      </c>
      <c r="C22" s="5">
        <f>COUNTA('1. Source register'!$A$2:$A$100)</f>
        <v/>
      </c>
    </row>
    <row r="23">
      <c r="B23" s="2" t="inlineStr">
        <is>
          <t>Capability-source pairs</t>
        </is>
      </c>
      <c r="C23" s="5">
        <f>COUNTA('2. Capability to source'!$A$2:$A$400)</f>
        <v/>
      </c>
    </row>
    <row r="24">
      <c r="B24" s="2" t="inlineStr">
        <is>
          <t>Pairs on grade A evidence</t>
        </is>
      </c>
      <c r="C24" s="5">
        <f>COUNTIF('2. Capability to source'!$J$2:$J$400,"A")</f>
        <v/>
      </c>
    </row>
    <row r="25">
      <c r="B25" s="2" t="inlineStr">
        <is>
          <t>Pairs on grade D - unusable externally</t>
        </is>
      </c>
      <c r="C25" s="5">
        <f>COUNTIF('2. Capability to source'!$J$2:$J$400,"D")</f>
        <v/>
      </c>
    </row>
    <row r="26">
      <c r="B26" s="2" t="inlineStr">
        <is>
          <t>Pairs with no locus at all</t>
        </is>
      </c>
      <c r="C26" s="5">
        <f>COUNTIF('2. Capability to source'!$H$2:$H$400,"NOT PINNED")</f>
        <v/>
      </c>
    </row>
    <row r="27">
      <c r="B27" s="2" t="inlineStr">
        <is>
          <t>Findings to clear</t>
        </is>
      </c>
      <c r="C27" s="5">
        <f>COUNTA('3. Findings'!$A$2:$A$60)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52" customWidth="1" min="3" max="3"/>
    <col width="30" customWidth="1" min="4" max="4"/>
    <col width="22" customWidth="1" min="5" max="5"/>
    <col width="16" customWidth="1" min="6" max="6"/>
    <col width="52" customWidth="1" min="7" max="7"/>
    <col width="26" customWidth="1" min="8" max="8"/>
    <col width="26" customWidth="1" min="9" max="9"/>
    <col width="42" customWidth="1" min="10" max="10"/>
    <col width="7" customWidth="1" min="11" max="11"/>
    <col width="26" customWidth="1" min="12" max="12"/>
    <col width="74" customWidth="1" min="13" max="13"/>
    <col width="10" customWidth="1" min="14" max="14"/>
    <col width="20" customWidth="1" min="15" max="15"/>
    <col width="44" customWidth="1" min="16" max="16"/>
  </cols>
  <sheetData>
    <row r="1" ht="30" customHeight="1">
      <c r="A1" s="6" t="inlineStr">
        <is>
          <t>ID</t>
        </is>
      </c>
      <c r="B1" s="6" t="inlineStr">
        <is>
          <t>Short name</t>
        </is>
      </c>
      <c r="C1" s="6" t="inlineStr">
        <is>
          <t>Canonical title</t>
        </is>
      </c>
      <c r="D1" s="6" t="inlineStr">
        <is>
          <t>Publisher</t>
        </is>
      </c>
      <c r="E1" s="6" t="inlineStr">
        <is>
          <t>Edition / version</t>
        </is>
      </c>
      <c r="F1" s="6" t="inlineStr">
        <is>
          <t>Date</t>
        </is>
      </c>
      <c r="G1" s="6" t="inlineStr">
        <is>
          <t>URL</t>
        </is>
      </c>
      <c r="H1" s="6" t="inlineStr">
        <is>
          <t>Access</t>
        </is>
      </c>
      <c r="I1" s="6" t="inlineStr">
        <is>
          <t>Type</t>
        </is>
      </c>
      <c r="J1" s="6" t="inlineStr">
        <is>
          <t>What a valid citation looks like</t>
        </is>
      </c>
      <c r="K1" s="6" t="inlineStr">
        <is>
          <t>Grade</t>
        </is>
      </c>
      <c r="L1" s="6" t="inlineStr">
        <is>
          <t>Status</t>
        </is>
      </c>
      <c r="M1" s="6" t="inlineStr">
        <is>
          <t>Caution</t>
        </is>
      </c>
      <c r="N1" s="6" t="inlineStr">
        <is>
          <t>Times cited</t>
        </is>
      </c>
      <c r="O1" s="6" t="inlineStr">
        <is>
          <t>Your decision</t>
        </is>
      </c>
      <c r="P1" s="6" t="inlineStr">
        <is>
          <t>Your notes</t>
        </is>
      </c>
    </row>
    <row r="2">
      <c r="A2" s="7" t="inlineStr">
        <is>
          <t>S01</t>
        </is>
      </c>
      <c r="B2" s="8" t="inlineStr">
        <is>
          <t>ISO/IEC 42001</t>
        </is>
      </c>
      <c r="C2" s="7" t="inlineStr">
        <is>
          <t>Information technology — Artificial intelligence — Management system</t>
        </is>
      </c>
      <c r="D2" s="7" t="inlineStr">
        <is>
          <t>ISO / IEC (JTC 1/SC 42)</t>
        </is>
      </c>
      <c r="E2" s="7" t="inlineStr">
        <is>
          <t>First edition</t>
        </is>
      </c>
      <c r="F2" s="7" t="inlineStr">
        <is>
          <t>2023-12</t>
        </is>
      </c>
      <c r="G2" s="9" t="inlineStr">
        <is>
          <t>https://www.iso.org/standard/42001</t>
        </is>
      </c>
      <c r="H2" s="7" t="inlineStr">
        <is>
          <t>Paid — CHF 225; free contents preview</t>
        </is>
      </c>
      <c r="I2" s="7" t="inlineStr">
        <is>
          <t>Management system standard</t>
        </is>
      </c>
      <c r="J2" s="7" t="inlineStr">
        <is>
          <t>Clause number (e.g. 8.2) or Annex A control (e.g. A.5)</t>
        </is>
      </c>
      <c r="K2" s="10" t="inlineStr">
        <is>
          <t>C</t>
        </is>
      </c>
      <c r="L2" s="7" t="inlineStr">
        <is>
          <t>Current</t>
        </is>
      </c>
      <c r="M2" s="7" t="inlineStr">
        <is>
          <t>Paywalled: a reviewer without a licence cannot open it. EN ISO/IEC 42001:2026 is an identical European adoption, not a new edition.</t>
        </is>
      </c>
      <c r="N2" s="7" t="n">
        <v>14</v>
      </c>
      <c r="O2" s="11" t="inlineStr"/>
      <c r="P2" s="11" t="inlineStr"/>
    </row>
    <row r="3">
      <c r="A3" s="7" t="inlineStr">
        <is>
          <t>S02</t>
        </is>
      </c>
      <c r="B3" s="8" t="inlineStr">
        <is>
          <t>ISO/IEC 5338</t>
        </is>
      </c>
      <c r="C3" s="7" t="inlineStr">
        <is>
          <t>Information technology — Artificial intelligence — AI system life cycle processes</t>
        </is>
      </c>
      <c r="D3" s="7" t="inlineStr">
        <is>
          <t>ISO / IEC (JTC 1/SC 42)</t>
        </is>
      </c>
      <c r="E3" s="7" t="inlineStr">
        <is>
          <t>First edition</t>
        </is>
      </c>
      <c r="F3" s="7" t="inlineStr">
        <is>
          <t>2023-12</t>
        </is>
      </c>
      <c r="G3" s="9" t="inlineStr">
        <is>
          <t>https://www.iso.org/standard/81118.html</t>
        </is>
      </c>
      <c r="H3" s="7" t="inlineStr">
        <is>
          <t>Paid</t>
        </is>
      </c>
      <c r="I3" s="7" t="inlineStr">
        <is>
          <t>Process standard</t>
        </is>
      </c>
      <c r="J3" s="7" t="inlineStr">
        <is>
          <t>Clause 6 process id (e.g. 6.4.8 AI data engineering)</t>
        </is>
      </c>
      <c r="K3" s="10" t="inlineStr">
        <is>
          <t>C</t>
        </is>
      </c>
      <c r="L3" s="7" t="inlineStr">
        <is>
          <t>Current</t>
        </is>
      </c>
      <c r="M3" s="7" t="inlineStr">
        <is>
          <t>Paywalled. 6.4.7 Knowledge acquisition, 6.4.8 AI data engineering and 6.4.14 Continuous validation are the AI-specific additions over ISO/IEC/IEEE 15288.</t>
        </is>
      </c>
      <c r="N3" s="7" t="n">
        <v>9</v>
      </c>
      <c r="O3" s="11" t="inlineStr"/>
      <c r="P3" s="11" t="inlineStr"/>
    </row>
    <row r="4">
      <c r="A4" s="7" t="inlineStr">
        <is>
          <t>S03</t>
        </is>
      </c>
      <c r="B4" s="8" t="inlineStr">
        <is>
          <t>ISO/IEC 38507</t>
        </is>
      </c>
      <c r="C4" s="7" t="inlineStr">
        <is>
          <t>Information technology — Governance of IT — Governance implications of the use of artificial intelligence by organizations</t>
        </is>
      </c>
      <c r="D4" s="7" t="inlineStr">
        <is>
          <t>ISO / IEC (JTC 1/SC 40)</t>
        </is>
      </c>
      <c r="E4" s="7" t="inlineStr">
        <is>
          <t>First edition</t>
        </is>
      </c>
      <c r="F4" s="7" t="inlineStr">
        <is>
          <t>2022-04</t>
        </is>
      </c>
      <c r="G4" s="9" t="inlineStr">
        <is>
          <t>https://www.iso.org/standard/56641.html</t>
        </is>
      </c>
      <c r="H4" s="7" t="inlineStr">
        <is>
          <t>Paid</t>
        </is>
      </c>
      <c r="I4" s="7" t="inlineStr">
        <is>
          <t>Governance standard</t>
        </is>
      </c>
      <c r="J4" s="7" t="inlineStr">
        <is>
          <t>Clause number (e.g. 6.3 Governance of decision-making)</t>
        </is>
      </c>
      <c r="K4" s="10" t="inlineStr">
        <is>
          <t>C</t>
        </is>
      </c>
      <c r="L4" s="7" t="inlineStr">
        <is>
          <t>Current</t>
        </is>
      </c>
      <c r="M4" s="7" t="inlineStr">
        <is>
          <t>Paywalled. Our earlier short title paraphrased it — the canonical wording is 'by organizations', not 'for organizations'.</t>
        </is>
      </c>
      <c r="N4" s="7" t="n">
        <v>3</v>
      </c>
      <c r="O4" s="11" t="inlineStr"/>
      <c r="P4" s="11" t="inlineStr"/>
    </row>
    <row r="5">
      <c r="A5" s="7" t="inlineStr">
        <is>
          <t>S04</t>
        </is>
      </c>
      <c r="B5" s="8" t="inlineStr">
        <is>
          <t>ISO/IEC 23894</t>
        </is>
      </c>
      <c r="C5" s="7" t="inlineStr">
        <is>
          <t>Information technology — Artificial intelligence — Guidance on risk management</t>
        </is>
      </c>
      <c r="D5" s="7" t="inlineStr">
        <is>
          <t>ISO / IEC (JTC 1/SC 42)</t>
        </is>
      </c>
      <c r="E5" s="7" t="inlineStr">
        <is>
          <t>First edition</t>
        </is>
      </c>
      <c r="F5" s="7" t="inlineStr">
        <is>
          <t>2023-02</t>
        </is>
      </c>
      <c r="G5" s="9" t="inlineStr">
        <is>
          <t>https://www.iso.org/standard/77304.html</t>
        </is>
      </c>
      <c r="H5" s="7" t="inlineStr">
        <is>
          <t>Paid — CHF 155</t>
        </is>
      </c>
      <c r="I5" s="7" t="inlineStr">
        <is>
          <t>Guidance standard</t>
        </is>
      </c>
      <c r="J5" s="7" t="inlineStr">
        <is>
          <t>Clause number (e.g. 6.4 Risk assessment)</t>
        </is>
      </c>
      <c r="K5" s="10" t="inlineStr">
        <is>
          <t>C</t>
        </is>
      </c>
      <c r="L5" s="7" t="inlineStr">
        <is>
          <t>Current</t>
        </is>
      </c>
      <c r="M5" s="7" t="inlineStr">
        <is>
          <t>Paywalled. Structure mirrors ISO 31000.</t>
        </is>
      </c>
      <c r="N5" s="7" t="n">
        <v>2</v>
      </c>
      <c r="O5" s="11" t="inlineStr"/>
      <c r="P5" s="11" t="inlineStr"/>
    </row>
    <row r="6">
      <c r="A6" s="7" t="inlineStr">
        <is>
          <t>S05</t>
        </is>
      </c>
      <c r="B6" s="8" t="inlineStr">
        <is>
          <t>ISO/IEC 42005</t>
        </is>
      </c>
      <c r="C6" s="7" t="inlineStr">
        <is>
          <t>Information technology — Artificial intelligence (AI) — AI system impact assessment</t>
        </is>
      </c>
      <c r="D6" s="7" t="inlineStr">
        <is>
          <t>ISO / IEC (JTC 1/SC 42)</t>
        </is>
      </c>
      <c r="E6" s="7" t="inlineStr">
        <is>
          <t>First edition</t>
        </is>
      </c>
      <c r="F6" s="7" t="inlineStr">
        <is>
          <t>2025-05</t>
        </is>
      </c>
      <c r="G6" s="9" t="inlineStr">
        <is>
          <t>https://www.iso.org/standard/42005</t>
        </is>
      </c>
      <c r="H6" s="7" t="inlineStr">
        <is>
          <t>Paid — CHF 181</t>
        </is>
      </c>
      <c r="I6" s="7" t="inlineStr">
        <is>
          <t>Guidance standard</t>
        </is>
      </c>
      <c r="J6" s="7" t="inlineStr">
        <is>
          <t>Clause number (e.g. 5.7 Establishing thresholds for sensitive uses)</t>
        </is>
      </c>
      <c r="K6" s="10" t="inlineStr">
        <is>
          <t>C</t>
        </is>
      </c>
      <c r="L6" s="7" t="inlineStr">
        <is>
          <t>Current</t>
        </is>
      </c>
      <c r="M6" s="7" t="inlineStr">
        <is>
          <t>Paywalled. Annex A gives the bridge to ISO/IEC 42001.</t>
        </is>
      </c>
      <c r="N6" s="7" t="n">
        <v>2</v>
      </c>
      <c r="O6" s="11" t="inlineStr"/>
      <c r="P6" s="11" t="inlineStr"/>
    </row>
    <row r="7">
      <c r="A7" s="7" t="inlineStr">
        <is>
          <t>S06</t>
        </is>
      </c>
      <c r="B7" s="8" t="inlineStr">
        <is>
          <t>ISO/IEC 27001</t>
        </is>
      </c>
      <c r="C7" s="7" t="inlineStr">
        <is>
          <t>Information security, cybersecurity and privacy protection — Information security management systems — Requirements</t>
        </is>
      </c>
      <c r="D7" s="7" t="inlineStr">
        <is>
          <t>ISO / IEC (JTC 1/SC 27)</t>
        </is>
      </c>
      <c r="E7" s="7" t="inlineStr">
        <is>
          <t>Third edition + Amd 1:2024</t>
        </is>
      </c>
      <c r="F7" s="7" t="inlineStr">
        <is>
          <t>2022-10 / 2024</t>
        </is>
      </c>
      <c r="G7" s="9" t="inlineStr">
        <is>
          <t>https://www.iso.org/standard/27001</t>
        </is>
      </c>
      <c r="H7" s="7" t="inlineStr">
        <is>
          <t>Paid — CHF 155; the 2024 climate amendment is free</t>
        </is>
      </c>
      <c r="I7" s="7" t="inlineStr">
        <is>
          <t>Management system standard</t>
        </is>
      </c>
      <c r="J7" s="7" t="inlineStr">
        <is>
          <t>Clause number or Annex A control (A.5 / A.6 / A.7 / A.8)</t>
        </is>
      </c>
      <c r="K7" s="10" t="inlineStr">
        <is>
          <t>C</t>
        </is>
      </c>
      <c r="L7" s="7" t="inlineStr">
        <is>
          <t>Current</t>
        </is>
      </c>
      <c r="M7" s="7" t="inlineStr">
        <is>
          <t>Paywalled. The 2022 edition renamed Annex A to 'Information security controls reference' — the 2013 wording no longer applies.</t>
        </is>
      </c>
      <c r="N7" s="7" t="n">
        <v>2</v>
      </c>
      <c r="O7" s="11" t="inlineStr"/>
      <c r="P7" s="11" t="inlineStr"/>
    </row>
    <row r="8">
      <c r="A8" s="7" t="inlineStr">
        <is>
          <t>S07</t>
        </is>
      </c>
      <c r="B8" s="8" t="inlineStr">
        <is>
          <t>ISO/IEC 27701</t>
        </is>
      </c>
      <c r="C8" s="7" t="inlineStr">
        <is>
          <t>Information security, cybersecurity and privacy protection — Privacy information management systems — Requirements and guidance</t>
        </is>
      </c>
      <c r="D8" s="7" t="inlineStr">
        <is>
          <t>ISO / IEC (JTC 1/SC 27)</t>
        </is>
      </c>
      <c r="E8" s="7" t="inlineStr">
        <is>
          <t>Second edition</t>
        </is>
      </c>
      <c r="F8" s="7" t="inlineStr">
        <is>
          <t>2025-10</t>
        </is>
      </c>
      <c r="G8" s="9" t="inlineStr">
        <is>
          <t>https://www.iso.org/standard/27701</t>
        </is>
      </c>
      <c r="H8" s="7" t="inlineStr">
        <is>
          <t>Paid — CHF 225</t>
        </is>
      </c>
      <c r="I8" s="7" t="inlineStr">
        <is>
          <t>Management system standard</t>
        </is>
      </c>
      <c r="J8" s="7" t="inlineStr">
        <is>
          <t>Clause number (e.g. 8.2 Privacy risk assessment) or Annex A control</t>
        </is>
      </c>
      <c r="K8" s="10" t="inlineStr">
        <is>
          <t>C</t>
        </is>
      </c>
      <c r="L8" s="7" t="inlineStr">
        <is>
          <t>Restructured — old loci invalid</t>
        </is>
      </c>
      <c r="M8" s="7" t="inlineStr">
        <is>
          <t>The 2025 second edition is a standalone management system standard; ISO/IEC 27701:2019 is withdrawn and its clause references no longer resolve. Annex F carries the correspondence.</t>
        </is>
      </c>
      <c r="N8" s="7" t="n">
        <v>1</v>
      </c>
      <c r="O8" s="11" t="inlineStr"/>
      <c r="P8" s="11" t="inlineStr"/>
    </row>
    <row r="9">
      <c r="A9" s="7" t="inlineStr">
        <is>
          <t>S08</t>
        </is>
      </c>
      <c r="B9" s="8" t="inlineStr">
        <is>
          <t>NIST AI RMF</t>
        </is>
      </c>
      <c r="C9" s="7" t="inlineStr">
        <is>
          <t>Artificial Intelligence Risk Management Framework (AI RMF 1.0)</t>
        </is>
      </c>
      <c r="D9" s="7" t="inlineStr">
        <is>
          <t>NIST, U.S. Department of Commerce</t>
        </is>
      </c>
      <c r="E9" s="7" t="inlineStr">
        <is>
          <t>NIST AI 100-1, Version 1.0</t>
        </is>
      </c>
      <c r="F9" s="7" t="inlineStr">
        <is>
          <t>2023-01-26</t>
        </is>
      </c>
      <c r="G9" s="9" t="inlineStr">
        <is>
          <t>https://nvlpubs.nist.gov/nistpubs/ai/NIST.AI.100-1.pdf</t>
        </is>
      </c>
      <c r="H9" s="7" t="inlineStr">
        <is>
          <t>Free — no registration</t>
        </is>
      </c>
      <c r="I9" s="7" t="inlineStr">
        <is>
          <t>Risk management framework</t>
        </is>
      </c>
      <c r="J9" s="7" t="inlineStr">
        <is>
          <t>Function, space, category.subcategory — e.g. GOVERN 1.1. NOT hyphenated</t>
        </is>
      </c>
      <c r="K9" s="12" t="inlineStr">
        <is>
          <t>A</t>
        </is>
      </c>
      <c r="L9" s="7" t="inlineStr">
        <is>
          <t>Current</t>
        </is>
      </c>
      <c r="M9" s="7" t="inlineStr">
        <is>
          <t>The hyphenated form GOVERN-1.1 is wrong; that convention belongs to AI 600-1 action ids (GV-1.1-001). Do not mix the two.</t>
        </is>
      </c>
      <c r="N9" s="7" t="n">
        <v>8</v>
      </c>
      <c r="O9" s="11" t="inlineStr"/>
      <c r="P9" s="11" t="inlineStr"/>
    </row>
    <row r="10">
      <c r="A10" s="7" t="inlineStr">
        <is>
          <t>S09</t>
        </is>
      </c>
      <c r="B10" s="8" t="inlineStr">
        <is>
          <t>NIST AI 600-1</t>
        </is>
      </c>
      <c r="C10" s="7" t="inlineStr">
        <is>
          <t>Artificial Intelligence Risk Management Framework: Generative Artificial Intelligence Profile</t>
        </is>
      </c>
      <c r="D10" s="7" t="inlineStr">
        <is>
          <t>NIST, U.S. Department of Commerce</t>
        </is>
      </c>
      <c r="E10" s="7" t="inlineStr">
        <is>
          <t>NIST AI 600-1</t>
        </is>
      </c>
      <c r="F10" s="7" t="inlineStr">
        <is>
          <t>2024-07-26</t>
        </is>
      </c>
      <c r="G10" s="9" t="inlineStr">
        <is>
          <t>https://nvlpubs.nist.gov/nistpubs/ai/NIST.AI.600-1.pdf</t>
        </is>
      </c>
      <c r="H10" s="7" t="inlineStr">
        <is>
          <t>Free — no registration</t>
        </is>
      </c>
      <c r="I10" s="7" t="inlineStr">
        <is>
          <t>Profile of S08</t>
        </is>
      </c>
      <c r="J10" s="7" t="inlineStr">
        <is>
          <t>Named risk from clause 2 (e.g. Confabulation) or action id (e.g. GV-1.1-001)</t>
        </is>
      </c>
      <c r="K10" s="12" t="inlineStr">
        <is>
          <t>A</t>
        </is>
      </c>
      <c r="L10" s="7" t="inlineStr">
        <is>
          <t>Current</t>
        </is>
      </c>
      <c r="M10" s="7" t="inlineStr">
        <is>
          <t>A cross-sectoral profile of the AI RMF, not a standalone framework — always cite alongside S08.</t>
        </is>
      </c>
      <c r="N10" s="7" t="n">
        <v>4</v>
      </c>
      <c r="O10" s="11" t="inlineStr"/>
      <c r="P10" s="11" t="inlineStr"/>
    </row>
    <row r="11">
      <c r="A11" s="7" t="inlineStr">
        <is>
          <t>S10</t>
        </is>
      </c>
      <c r="B11" s="8" t="inlineStr">
        <is>
          <t>OECD AI Principles</t>
        </is>
      </c>
      <c r="C11" s="7" t="inlineStr">
        <is>
          <t>Recommendation of the Council on Artificial Intelligence (OECD/LEGAL/0449)</t>
        </is>
      </c>
      <c r="D11" s="7" t="inlineStr">
        <is>
          <t>OECD</t>
        </is>
      </c>
      <c r="E11" s="7" t="inlineStr">
        <is>
          <t>Adopted 2019; amended 2023-11 and 2024-05</t>
        </is>
      </c>
      <c r="F11" s="7" t="inlineStr">
        <is>
          <t>2024-05-03</t>
        </is>
      </c>
      <c r="G11" s="9" t="inlineStr">
        <is>
          <t>https://legalinstruments.oecd.org/en/instruments/OECD-LEGAL-0449</t>
        </is>
      </c>
      <c r="H11" s="7" t="inlineStr">
        <is>
          <t>Free</t>
        </is>
      </c>
      <c r="I11" s="7" t="inlineStr">
        <is>
          <t>Intergovernmental recommendation</t>
        </is>
      </c>
      <c r="J11" s="7" t="inlineStr">
        <is>
          <t>Section.Principle with trailing period — e.g. 1.3.</t>
        </is>
      </c>
      <c r="K11" s="12" t="inlineStr">
        <is>
          <t>A</t>
        </is>
      </c>
      <c r="L11" s="7" t="inlineStr">
        <is>
          <t>Current</t>
        </is>
      </c>
      <c r="M11" s="7" t="inlineStr">
        <is>
          <t>Cite the amended text. Principle 1.2 was retitled in 2024 — the 2019 name 'Human-centred values and fairness' is stale. Section 2 items are recommendations to adherents, not principles.</t>
        </is>
      </c>
      <c r="N11" s="7" t="n">
        <v>3</v>
      </c>
      <c r="O11" s="11" t="inlineStr"/>
      <c r="P11" s="11" t="inlineStr"/>
    </row>
    <row r="12">
      <c r="A12" s="7" t="inlineStr">
        <is>
          <t>S11</t>
        </is>
      </c>
      <c r="B12" s="8" t="inlineStr">
        <is>
          <t>GAO AI Accountability Framework</t>
        </is>
      </c>
      <c r="C12" s="7" t="inlineStr">
        <is>
          <t>Artificial Intelligence: An Accountability Framework for Federal Agencies and Other Entities</t>
        </is>
      </c>
      <c r="D12" s="7" t="inlineStr">
        <is>
          <t>U.S. Government Accountability Office</t>
        </is>
      </c>
      <c r="E12" s="7" t="inlineStr">
        <is>
          <t>GAO-21-519SP</t>
        </is>
      </c>
      <c r="F12" s="7" t="inlineStr">
        <is>
          <t>2021-06-30</t>
        </is>
      </c>
      <c r="G12" s="9" t="inlineStr">
        <is>
          <t>https://www.gao.gov/assets/gao-21-519sp.pdf</t>
        </is>
      </c>
      <c r="H12" s="7" t="inlineStr">
        <is>
          <t>Free</t>
        </is>
      </c>
      <c r="I12" s="7" t="inlineStr">
        <is>
          <t>Accountability framework</t>
        </is>
      </c>
      <c r="J12" s="7" t="inlineStr">
        <is>
          <t>Principle name (Governance / Data / Performance / Monitoring) plus the key practice wording</t>
        </is>
      </c>
      <c r="K12" s="12" t="inlineStr">
        <is>
          <t>A</t>
        </is>
      </c>
      <c r="L12" s="7" t="inlineStr">
        <is>
          <t>Current</t>
        </is>
      </c>
      <c r="M12" s="7" t="inlineStr">
        <is>
          <t>GAO uses no numbered clause identifiers, so a locus is a principle name plus practice text. GAO-23-106811 is testimony summarising this, not a replacement.</t>
        </is>
      </c>
      <c r="N12" s="7" t="n">
        <v>5</v>
      </c>
      <c r="O12" s="11" t="inlineStr"/>
      <c r="P12" s="11" t="inlineStr"/>
    </row>
    <row r="13">
      <c r="A13" s="7" t="inlineStr">
        <is>
          <t>S12</t>
        </is>
      </c>
      <c r="B13" s="8" t="inlineStr">
        <is>
          <t>AWS CAF-AI</t>
        </is>
      </c>
      <c r="C13" s="7" t="inlineStr">
        <is>
          <t>AWS Cloud Adoption Framework for Artificial Intelligence, Machine Learning, and Generative AI</t>
        </is>
      </c>
      <c r="D13" s="7" t="inlineStr">
        <is>
          <t>Amazon Web Services</t>
        </is>
      </c>
      <c r="E13" s="7" t="inlineStr">
        <is>
          <t>Whitepaper</t>
        </is>
      </c>
      <c r="F13" s="7" t="inlineStr">
        <is>
          <t>2024-02-13</t>
        </is>
      </c>
      <c r="G13" s="9" t="inlineStr">
        <is>
          <t>https://docs.aws.amazon.com/whitepapers/latest/aws-caf-for-ai/aws-caf-for-ai.html</t>
        </is>
      </c>
      <c r="H13" s="7" t="inlineStr">
        <is>
          <t>Free</t>
        </is>
      </c>
      <c r="I13" s="7" t="inlineStr">
        <is>
          <t>Capability model + adoption playbook</t>
        </is>
      </c>
      <c r="J13" s="7" t="inlineStr">
        <is>
          <t>Perspective name (Business / People / Governance / Platform / Security / Operations) plus capability name</t>
        </is>
      </c>
      <c r="K13" s="10" t="inlineStr">
        <is>
          <t>C</t>
        </is>
      </c>
      <c r="L13" s="7" t="inlineStr">
        <is>
          <t>Flagged historical by AWS</t>
        </is>
      </c>
      <c r="M13" s="7" t="inlineStr">
        <is>
          <t>AWS now displays 'This whitepaper is for historical reference only.' Cite it as a February 2024 artifact and say so. It is our most-used vendor capability source.</t>
        </is>
      </c>
      <c r="N13" s="7" t="n">
        <v>11</v>
      </c>
      <c r="O13" s="11" t="inlineStr"/>
      <c r="P13" s="11" t="inlineStr"/>
    </row>
    <row r="14">
      <c r="A14" s="7" t="inlineStr">
        <is>
          <t>S13</t>
        </is>
      </c>
      <c r="B14" s="8" t="inlineStr">
        <is>
          <t>Microsoft CAF for AI</t>
        </is>
      </c>
      <c r="C14" s="7" t="inlineStr">
        <is>
          <t>Cloud Adoption Framework for Azure — AI adoption</t>
        </is>
      </c>
      <c r="D14" s="7" t="inlineStr">
        <is>
          <t>Microsoft</t>
        </is>
      </c>
      <c r="E14" s="7" t="inlineStr">
        <is>
          <t>Living document — no version number</t>
        </is>
      </c>
      <c r="F14" s="7" t="inlineStr">
        <is>
          <t>Accessed 3 September 2026</t>
        </is>
      </c>
      <c r="G14" s="9" t="inlineStr">
        <is>
          <t>https://learn.microsoft.com/en-us/azure/cloud-adoption-framework/ai/</t>
        </is>
      </c>
      <c r="H14" s="7" t="inlineStr">
        <is>
          <t>Free</t>
        </is>
      </c>
      <c r="I14" s="7" t="inlineStr">
        <is>
          <t>Adoption playbook — phases and checklists</t>
        </is>
      </c>
      <c r="J14" s="7" t="inlineStr">
        <is>
          <t>Phase name (Strategy / Plan / Ready / Govern / Secure / Manage)</t>
        </is>
      </c>
      <c r="K14" s="13" t="inlineStr">
        <is>
          <t>B</t>
        </is>
      </c>
      <c r="L14" s="7" t="inlineStr">
        <is>
          <t>Current</t>
        </is>
      </c>
      <c r="M14" s="7" t="inlineStr">
        <is>
          <t>Not a capability model and not a maturity model — there are no maturity levels and no capability taxonomy. Product-steering by design. Cite as a phase model only.</t>
        </is>
      </c>
      <c r="N14" s="7" t="n">
        <v>5</v>
      </c>
      <c r="O14" s="11" t="inlineStr"/>
      <c r="P14" s="11" t="inlineStr"/>
    </row>
    <row r="15">
      <c r="A15" s="7" t="inlineStr">
        <is>
          <t>S14</t>
        </is>
      </c>
      <c r="B15" s="8" t="inlineStr">
        <is>
          <t>Google AI Adoption Framework</t>
        </is>
      </c>
      <c r="C15" s="7" t="inlineStr">
        <is>
          <t>Google Cloud's AI Adoption Framework</t>
        </is>
      </c>
      <c r="D15" s="7" t="inlineStr">
        <is>
          <t>Google Cloud</t>
        </is>
      </c>
      <c r="E15" s="7" t="inlineStr">
        <is>
          <t>Undated whitepaper</t>
        </is>
      </c>
      <c r="F15" s="7" t="inlineStr">
        <is>
          <t>UNDATED</t>
        </is>
      </c>
      <c r="G15" s="9" t="inlineStr">
        <is>
          <t>https://services.google.com/fh/files/misc/ai_adoption_framework_whitepaper.pdf</t>
        </is>
      </c>
      <c r="H15" s="7" t="inlineStr">
        <is>
          <t>Free</t>
        </is>
      </c>
      <c r="I15" s="7" t="inlineStr">
        <is>
          <t>Maturity model (6 themes x 3 epochs)</t>
        </is>
      </c>
      <c r="J15" s="7" t="inlineStr">
        <is>
          <t>Theme name (Learn / Lead / Access / Scale / Secure / Automate) and epoch (Tactical / Strategic / Transformational)</t>
        </is>
      </c>
      <c r="K15" s="10" t="inlineStr">
        <is>
          <t>C</t>
        </is>
      </c>
      <c r="L15" s="7" t="inlineStr">
        <is>
          <t>Undated, pre-GenAI</t>
        </is>
      </c>
      <c r="M15" s="7" t="inlineStr">
        <is>
          <t>Carries no date or version and says nothing about generative AI or agents. Genuinely a maturity grid, but do not present it as current.</t>
        </is>
      </c>
      <c r="N15" s="7" t="n">
        <v>4</v>
      </c>
      <c r="O15" s="11" t="inlineStr"/>
      <c r="P15" s="11" t="inlineStr"/>
    </row>
    <row r="16">
      <c r="A16" s="7" t="inlineStr">
        <is>
          <t>S15</t>
        </is>
      </c>
      <c r="B16" s="8" t="inlineStr">
        <is>
          <t>IBM GenAI Capability Model</t>
        </is>
      </c>
      <c r="C16" s="7" t="inlineStr">
        <is>
          <t>Generative AI Capability Model</t>
        </is>
      </c>
      <c r="D16" s="7" t="inlineStr">
        <is>
          <t>IBM (Think — Architecture patterns)</t>
        </is>
      </c>
      <c r="E16" s="7" t="inlineStr">
        <is>
          <t>Living page</t>
        </is>
      </c>
      <c r="F16" s="7" t="inlineStr">
        <is>
          <t>Last updated 2025-04-30</t>
        </is>
      </c>
      <c r="G16" s="9" t="inlineStr">
        <is>
          <t>https://www.ibm.com/architectures/patterns/genai-capability-model</t>
        </is>
      </c>
      <c r="H16" s="7" t="inlineStr">
        <is>
          <t>Free</t>
        </is>
      </c>
      <c r="I16" s="7" t="inlineStr">
        <is>
          <t>Technical capability model</t>
        </is>
      </c>
      <c r="J16" s="7" t="inlineStr">
        <is>
          <t>Capability category name (e.g. GenAI Governance)</t>
        </is>
      </c>
      <c r="K16" s="13" t="inlineStr">
        <is>
          <t>B</t>
        </is>
      </c>
      <c r="L16" s="7" t="inlineStr">
        <is>
          <t>Current</t>
        </is>
      </c>
      <c r="M16" s="7" t="inlineStr">
        <is>
          <t>A solution/platform capability model, not an organizational one — not interchangeable with AWS CAF-AI. Category count renders as 6 or 7 across IBM's own paths; confirm on the citation date.</t>
        </is>
      </c>
      <c r="N16" s="7" t="n">
        <v>11</v>
      </c>
      <c r="O16" s="11" t="inlineStr"/>
      <c r="P16" s="11" t="inlineStr"/>
    </row>
    <row r="17">
      <c r="A17" s="7" t="inlineStr">
        <is>
          <t>S16</t>
        </is>
      </c>
      <c r="B17" s="8" t="inlineStr">
        <is>
          <t>NVIDIA Enterprise AI Factory</t>
        </is>
      </c>
      <c r="C17" s="7" t="inlineStr">
        <is>
          <t>NVIDIA Enterprise AI Factory Design Guide</t>
        </is>
      </c>
      <c r="D17" s="7" t="inlineStr">
        <is>
          <t>NVIDIA Corporation</t>
        </is>
      </c>
      <c r="E17" s="7" t="inlineStr">
        <is>
          <t>White paper</t>
        </is>
      </c>
      <c r="F17" s="7" t="inlineStr">
        <is>
          <t>Last updated 2026-05-27</t>
        </is>
      </c>
      <c r="G17" s="9" t="inlineStr">
        <is>
          <t>https://docs.nvidia.com/ai-enterprise/planning-resource/ai-factory-white-paper/latest/</t>
        </is>
      </c>
      <c r="H17" s="7" t="inlineStr">
        <is>
          <t>Free</t>
        </is>
      </c>
      <c r="I17" s="7" t="inlineStr">
        <is>
          <t>Reference architecture / validated design</t>
        </is>
      </c>
      <c r="J17" s="7" t="inlineStr">
        <is>
          <t>Named section (e.g. Agentic AI in the Factory)</t>
        </is>
      </c>
      <c r="K17" s="13" t="inlineStr">
        <is>
          <t>B</t>
        </is>
      </c>
      <c r="L17" s="7" t="inlineStr">
        <is>
          <t>Current</t>
        </is>
      </c>
      <c r="M17" s="7" t="inlineStr">
        <is>
          <t>Cite the design guide on docs.nvidia.com, never the nvidia.com validated-design landing page, which is marketing collateral. Infrastructure layer only; hardware-prescriptive.</t>
        </is>
      </c>
      <c r="N17" s="7" t="n">
        <v>4</v>
      </c>
      <c r="O17" s="11" t="inlineStr"/>
      <c r="P17" s="11" t="inlineStr"/>
    </row>
    <row r="18">
      <c r="A18" s="7" t="inlineStr">
        <is>
          <t>S17</t>
        </is>
      </c>
      <c r="B18" s="8" t="inlineStr">
        <is>
          <t>SAP AI-native North Star</t>
        </is>
      </c>
      <c r="C18" s="7" t="inlineStr">
        <is>
          <t>SAP AI-native North Star architecture</t>
        </is>
      </c>
      <c r="D18" s="7" t="inlineStr">
        <is>
          <t>SAP (SAP Architecture Center)</t>
        </is>
      </c>
      <c r="E18" s="7" t="inlineStr">
        <is>
          <t>Living document</t>
        </is>
      </c>
      <c r="F18" s="7" t="inlineStr">
        <is>
          <t>Last updated 2026-05-13</t>
        </is>
      </c>
      <c r="G18" s="9" t="inlineStr">
        <is>
          <t>https://architecture.learning.sap.com/docs/ai-native-north-star-architecture</t>
        </is>
      </c>
      <c r="H18" s="7" t="inlineStr">
        <is>
          <t>Free</t>
        </is>
      </c>
      <c r="I18" s="7" t="inlineStr">
        <is>
          <t>Aspirational reference architecture</t>
        </is>
      </c>
      <c r="J18" s="7" t="inlineStr">
        <is>
          <t>Layer name (User Experience / Process / Foundation / Platform)</t>
        </is>
      </c>
      <c r="K18" s="13" t="inlineStr">
        <is>
          <t>B</t>
        </is>
      </c>
      <c r="L18" s="7" t="inlineStr">
        <is>
          <t>Current</t>
        </is>
      </c>
      <c r="M18" s="7" t="inlineStr">
        <is>
          <t>SAP's own disclaimer: 'This is not a specification, roadmap, or promise of delivery. It is a direction of travel.' Quote that if cited. SAP-product-scoped.</t>
        </is>
      </c>
      <c r="N18" s="7" t="n">
        <v>4</v>
      </c>
      <c r="O18" s="11" t="inlineStr"/>
      <c r="P18" s="11" t="inlineStr"/>
    </row>
    <row r="19">
      <c r="A19" s="7" t="inlineStr">
        <is>
          <t>S18</t>
        </is>
      </c>
      <c r="B19" s="8" t="inlineStr">
        <is>
          <t>Salesforce ADLC</t>
        </is>
      </c>
      <c r="C19" s="7" t="inlineStr">
        <is>
          <t>The Agent Development Lifecycle: From Conception to Production</t>
        </is>
      </c>
      <c r="D19" s="7" t="inlineStr">
        <is>
          <t>Salesforce (Salesforce Architects)</t>
        </is>
      </c>
      <c r="E19" s="7" t="inlineStr">
        <is>
          <t>Living document — undated</t>
        </is>
      </c>
      <c r="F19" s="7" t="inlineStr">
        <is>
          <t>UNDATED, accessed 3 September 2026</t>
        </is>
      </c>
      <c r="G19" s="9" t="inlineStr">
        <is>
          <t>https://architect.salesforce.com/docs/architect/fundamentals/guide/agent-development-lifecycle.html</t>
        </is>
      </c>
      <c r="H19" s="7" t="inlineStr">
        <is>
          <t>Free</t>
        </is>
      </c>
      <c r="I19" s="7" t="inlineStr">
        <is>
          <t>Lifecycle / process model</t>
        </is>
      </c>
      <c r="J19" s="7" t="inlineStr">
        <is>
          <t>Phase name (Ideation and Design / Development / Testing and Validation / Deployment / Monitoring and Tuning)</t>
        </is>
      </c>
      <c r="K19" s="10" t="inlineStr">
        <is>
          <t>C</t>
        </is>
      </c>
      <c r="L19" s="7" t="inlineStr">
        <is>
          <t>Undated</t>
        </is>
      </c>
      <c r="M19" s="7" t="inlineStr">
        <is>
          <t>No publication date exists — cite as undated, accessed on a stated day. Agentforce-scoped, so vendor-specific rather than an industry lifecycle.</t>
        </is>
      </c>
      <c r="N19" s="7" t="n">
        <v>1</v>
      </c>
      <c r="O19" s="11" t="inlineStr"/>
      <c r="P19" s="11" t="inlineStr"/>
    </row>
    <row r="20">
      <c r="A20" s="7" t="inlineStr">
        <is>
          <t>S19</t>
        </is>
      </c>
      <c r="B20" s="8" t="inlineStr">
        <is>
          <t>WEF AI-First Operating System</t>
        </is>
      </c>
      <c r="C20" s="7" t="inlineStr">
        <is>
          <t>The AI-First Operating System: A Blueprint for Operating and Business Model Innovation</t>
        </is>
      </c>
      <c r="D20" s="7" t="inlineStr">
        <is>
          <t>World Economic Forum, in collaboration with Kearney</t>
        </is>
      </c>
      <c r="E20" s="7" t="inlineStr">
        <is>
          <t>Report</t>
        </is>
      </c>
      <c r="F20" s="7" t="inlineStr">
        <is>
          <t>2026-06</t>
        </is>
      </c>
      <c r="G20" s="9" t="inlineStr">
        <is>
          <t>https://www.weforum.org/publications/the-ai-first-operating-system-a-blueprint-for-operating-and-business-model-innovation/</t>
        </is>
      </c>
      <c r="H20" s="7" t="inlineStr">
        <is>
          <t>Free</t>
        </is>
      </c>
      <c r="I20" s="7" t="inlineStr">
        <is>
          <t>Thought-leadership blueprint</t>
        </is>
      </c>
      <c r="J20" s="7" t="inlineStr">
        <is>
          <t>Building block name (Intelligence engines / Adaptive technology stacks / Operations redesign / Human-AI teaming / New value creation)</t>
        </is>
      </c>
      <c r="K20" s="13" t="inlineStr">
        <is>
          <t>B</t>
        </is>
      </c>
      <c r="L20" s="7" t="inlineStr">
        <is>
          <t>Current</t>
        </is>
      </c>
      <c r="M20" s="7" t="inlineStr">
        <is>
          <t>The only vendor-neutral source in the vendor group, which makes it useful for framing. Its five building blocks are conceptual groupings, not assessable capabilities — do not rest a gap assessment on it.</t>
        </is>
      </c>
      <c r="N20" s="7" t="n">
        <v>7</v>
      </c>
      <c r="O20" s="11" t="inlineStr"/>
      <c r="P20" s="11" t="inlineStr"/>
    </row>
    <row r="21">
      <c r="A21" s="7" t="inlineStr">
        <is>
          <t>S20</t>
        </is>
      </c>
      <c r="B21" s="8" t="inlineStr">
        <is>
          <t>TOGAF Standard</t>
        </is>
      </c>
      <c r="C21" s="7" t="inlineStr">
        <is>
          <t>The TOGAF Standard, 10th Edition</t>
        </is>
      </c>
      <c r="D21" s="7" t="inlineStr">
        <is>
          <t>The Open Group</t>
        </is>
      </c>
      <c r="E21" s="7" t="inlineStr">
        <is>
          <t>10th Edition</t>
        </is>
      </c>
      <c r="F21" s="7" t="inlineStr">
        <is>
          <t>2022-04-25</t>
        </is>
      </c>
      <c r="G21" s="9" t="inlineStr">
        <is>
          <t>https://pubs.opengroup.org/togaf-standard/</t>
        </is>
      </c>
      <c r="H21" s="7" t="inlineStr">
        <is>
          <t>Free for non-commercial after registration; paid for commercial</t>
        </is>
      </c>
      <c r="I21" s="7" t="inlineStr">
        <is>
          <t>Architecture framework</t>
        </is>
      </c>
      <c r="J21" s="7" t="inlineStr">
        <is>
          <t>Named Fundamental Content document plus section (e.g. Architecture Content, §33.2.4)</t>
        </is>
      </c>
      <c r="K21" s="13" t="inlineStr">
        <is>
          <t>B</t>
        </is>
      </c>
      <c r="L21" s="7" t="inlineStr">
        <is>
          <t>Current</t>
        </is>
      </c>
      <c r="M21" s="7" t="inlineStr">
        <is>
          <t>The 10th Edition is six Fundamental Content documents plus a Library of Series Guides, not one book with Parts I-VI. Open Group publication URLs increasingly sit behind SSO — check the link resolves on the day you publish.</t>
        </is>
      </c>
      <c r="N21" s="7" t="n">
        <v>2</v>
      </c>
      <c r="O21" s="11" t="inlineStr"/>
      <c r="P21" s="11" t="inlineStr"/>
    </row>
    <row r="22">
      <c r="A22" s="7" t="inlineStr">
        <is>
          <t>S21</t>
        </is>
      </c>
      <c r="B22" s="8" t="inlineStr">
        <is>
          <t>TOGAF G193 Capability-Based Planning</t>
        </is>
      </c>
      <c r="C22" s="7" t="inlineStr">
        <is>
          <t>Capability-Based Planning: Supporting Project/Portfolio and Digital Capabilities Mapping Using the TOGAF and ArchiMate Standards</t>
        </is>
      </c>
      <c r="D22" s="7" t="inlineStr">
        <is>
          <t>The Open Group</t>
        </is>
      </c>
      <c r="E22" s="7" t="inlineStr">
        <is>
          <t>Series Guide G193</t>
        </is>
      </c>
      <c r="F22" s="7" t="inlineStr">
        <is>
          <t>Current</t>
        </is>
      </c>
      <c r="G22" s="9" t="inlineStr">
        <is>
          <t>https://publications.opengroup.org/g193</t>
        </is>
      </c>
      <c r="H22" s="7" t="inlineStr">
        <is>
          <t>Free for non-commercial after registration</t>
        </is>
      </c>
      <c r="I22" s="7" t="inlineStr">
        <is>
          <t>Series Guide</t>
        </is>
      </c>
      <c r="J22" s="7" t="inlineStr">
        <is>
          <t>Series Guide reference - G193 for capability-based planning, G211 for business capabilities</t>
        </is>
      </c>
      <c r="K22" s="13" t="inlineStr">
        <is>
          <t>B</t>
        </is>
      </c>
      <c r="L22" s="7" t="inlineStr">
        <is>
          <t>Current</t>
        </is>
      </c>
      <c r="M22" s="7" t="inlineStr">
        <is>
          <t>REPLACES our earlier citation of 'TOGAF (capability-based planning)'. Chapter 28 of TOGAF 9.2 was deliberately REMOVED in the 10th Edition; capability-based planning is not a section of the current Standard. For business capabilities themselves cite G211 (Business Capabilities, Version 2, April 2022), which supersedes G189 - NOT G190, which is Information Mapping.</t>
        </is>
      </c>
      <c r="N22" s="7" t="n">
        <v>1</v>
      </c>
      <c r="O22" s="11" t="inlineStr"/>
      <c r="P22" s="11" t="inlineStr"/>
    </row>
    <row r="23">
      <c r="A23" s="7" t="inlineStr">
        <is>
          <t>S22</t>
        </is>
      </c>
      <c r="B23" s="8" t="inlineStr">
        <is>
          <t>Open Agile Architecture</t>
        </is>
      </c>
      <c r="C23" s="7" t="inlineStr">
        <is>
          <t>The Open Group Open Agile Architecture Standard, Version 2.0</t>
        </is>
      </c>
      <c r="D23" s="7" t="inlineStr">
        <is>
          <t>The Open Group</t>
        </is>
      </c>
      <c r="E23" s="7" t="inlineStr">
        <is>
          <t>Version 2.0</t>
        </is>
      </c>
      <c r="F23" s="7" t="inlineStr">
        <is>
          <t>2026-04 (confirm from cover)</t>
        </is>
      </c>
      <c r="G23" s="9" t="inlineStr">
        <is>
          <t>https://www.opengroup.org/AgileArchitecture</t>
        </is>
      </c>
      <c r="H23" s="7" t="inlineStr">
        <is>
          <t>Free perpetual non-commercial licence; paid commercial</t>
        </is>
      </c>
      <c r="I23" s="7" t="inlineStr">
        <is>
          <t>Architecture standard</t>
        </is>
      </c>
      <c r="J23" s="7" t="inlineStr">
        <is>
          <t>Part name (The Agile Way of Thinking / The Agile Enterprise / The Agile Architecture Capability / The Ways of Supporting)</t>
        </is>
      </c>
      <c r="K23" s="13" t="inlineStr">
        <is>
          <t>B</t>
        </is>
      </c>
      <c r="L23" s="7" t="inlineStr">
        <is>
          <t>Current</t>
        </is>
      </c>
      <c r="M23" s="7" t="inlineStr">
        <is>
          <t>v2.0 restructured the Parts — v1.0 (C208, 2020) part names do not apply. The publication year is not rendered on The Open Group's announcement page; confirm from the document cover.</t>
        </is>
      </c>
      <c r="N23" s="7" t="n">
        <v>5</v>
      </c>
      <c r="O23" s="11" t="inlineStr"/>
      <c r="P23" s="11" t="inlineStr"/>
    </row>
    <row r="24">
      <c r="A24" s="7" t="inlineStr">
        <is>
          <t>S23</t>
        </is>
      </c>
      <c r="B24" s="8" t="inlineStr">
        <is>
          <t>IT4IT Standard</t>
        </is>
      </c>
      <c r="C24" s="7" t="inlineStr">
        <is>
          <t>The Open Group IT4IT Standard, Version 3.0.1</t>
        </is>
      </c>
      <c r="D24" s="7" t="inlineStr">
        <is>
          <t>The Open Group</t>
        </is>
      </c>
      <c r="E24" s="7" t="inlineStr">
        <is>
          <t>Version 3.0.1</t>
        </is>
      </c>
      <c r="F24" s="7" t="inlineStr">
        <is>
          <t>2024-10</t>
        </is>
      </c>
      <c r="G24" s="9" t="inlineStr">
        <is>
          <t>https://pubs.opengroup.org/it4it/3.0.1/standard/</t>
        </is>
      </c>
      <c r="H24" s="7" t="inlineStr">
        <is>
          <t>Free to read</t>
        </is>
      </c>
      <c r="I24" s="7" t="inlineStr">
        <is>
          <t>Reference architecture / operating model</t>
        </is>
      </c>
      <c r="J24" s="7" t="inlineStr">
        <is>
          <t>Value stream name (Evaluate / Explore / Integrate / Deploy / Release / Consume / Operate)</t>
        </is>
      </c>
      <c r="K24" s="13" t="inlineStr">
        <is>
          <t>B</t>
        </is>
      </c>
      <c r="L24" s="7" t="inlineStr">
        <is>
          <t>Current</t>
        </is>
      </c>
      <c r="M24" s="7" t="inlineStr">
        <is>
          <t>v3.0 replaced the four v2.x value streams (Strategy to Portfolio, Requirement to Deploy, Request to Fulfill, Detect to Correct). Those names are superseded — do not use them.</t>
        </is>
      </c>
      <c r="N24" s="7" t="n">
        <v>3</v>
      </c>
      <c r="O24" s="11" t="inlineStr"/>
      <c r="P24" s="11" t="inlineStr"/>
    </row>
    <row r="25">
      <c r="A25" s="7" t="inlineStr">
        <is>
          <t>S24</t>
        </is>
      </c>
      <c r="B25" s="8" t="inlineStr">
        <is>
          <t>ITIL 4</t>
        </is>
      </c>
      <c r="C25" s="7" t="inlineStr">
        <is>
          <t>ITIL 4</t>
        </is>
      </c>
      <c r="D25" s="7" t="inlineStr">
        <is>
          <t>PeopleCert International Ltd (acquired AXELOS 2021)</t>
        </is>
      </c>
      <c r="E25" s="7" t="inlineStr">
        <is>
          <t>ITIL 4; practice guidance refreshed from 2023</t>
        </is>
      </c>
      <c r="F25" s="7" t="inlineStr">
        <is>
          <t>2019 onward</t>
        </is>
      </c>
      <c r="G25" s="9" t="inlineStr">
        <is>
          <t>https://www.peoplecert.org/</t>
        </is>
      </c>
      <c r="H25" s="7" t="inlineStr">
        <is>
          <t>Paid — publications or certification/membership</t>
        </is>
      </c>
      <c r="I25" s="7" t="inlineStr">
        <is>
          <t>Practice guide</t>
        </is>
      </c>
      <c r="J25" s="7" t="inlineStr">
        <is>
          <t>Practice name, or Service Value Chain activity</t>
        </is>
      </c>
      <c r="K25" s="10" t="inlineStr">
        <is>
          <t>C</t>
        </is>
      </c>
      <c r="L25" s="7" t="inlineStr">
        <is>
          <t>Superseded in part</t>
        </is>
      </c>
      <c r="M25" s="7" t="inlineStr">
        <is>
          <t>ITIL Version 5 was announced January 2026 and is rolling out; ITIL 4 remains valid in parallel through a transition period. A 2026 deliverable citing ITIL 4 as THE current ITIL needs that qualifier. Not freely readable.</t>
        </is>
      </c>
      <c r="N25" s="7" t="n">
        <v>3</v>
      </c>
      <c r="O25" s="11" t="inlineStr"/>
      <c r="P25" s="11" t="inlineStr"/>
    </row>
    <row r="26">
      <c r="A26" s="7" t="inlineStr">
        <is>
          <t>S25</t>
        </is>
      </c>
      <c r="B26" s="8" t="inlineStr">
        <is>
          <t>EDM Council DCAM</t>
        </is>
      </c>
      <c r="C26" s="7" t="inlineStr">
        <is>
          <t>Data Management Capability Assessment Model (DCAM)</t>
        </is>
      </c>
      <c r="D26" s="7" t="inlineStr">
        <is>
          <t>EDM Council</t>
        </is>
      </c>
      <c r="E26" s="7" t="inlineStr">
        <is>
          <t>Version 3</t>
        </is>
      </c>
      <c r="F26" s="7" t="inlineStr">
        <is>
          <t>2025-06-30</t>
        </is>
      </c>
      <c r="G26" s="9" t="inlineStr">
        <is>
          <t>https://edmcouncil.org/frameworks/dcam/</t>
        </is>
      </c>
      <c r="H26" s="7" t="inlineStr">
        <is>
          <t>Members only</t>
        </is>
      </c>
      <c r="I26" s="7" t="inlineStr">
        <is>
          <t>Capability / maturity assessment model</t>
        </is>
      </c>
      <c r="J26" s="7" t="inlineStr">
        <is>
          <t>Component name plus capability number</t>
        </is>
      </c>
      <c r="K26" s="10" t="inlineStr">
        <is>
          <t>C</t>
        </is>
      </c>
      <c r="L26" s="7" t="inlineStr">
        <is>
          <t>Current but members-only</t>
        </is>
      </c>
      <c r="M26" s="7" t="inlineStr">
        <is>
          <t>Available exclusively to member firms, so a reviewer outside the membership cannot verify a citation. 8 components / 34 capabilities / 101 sub-capabilities.</t>
        </is>
      </c>
      <c r="N26" s="7" t="n">
        <v>4</v>
      </c>
      <c r="O26" s="11" t="inlineStr"/>
      <c r="P26" s="11" t="inlineStr"/>
    </row>
    <row r="27">
      <c r="A27" s="14" t="inlineStr">
        <is>
          <t>S26</t>
        </is>
      </c>
      <c r="B27" s="15" t="inlineStr">
        <is>
          <t>EDM Council ADAC</t>
        </is>
      </c>
      <c r="C27" s="7" t="inlineStr">
        <is>
          <t>AI, Data &amp; Analytics Controls (ADAC)</t>
        </is>
      </c>
      <c r="D27" s="7" t="inlineStr">
        <is>
          <t>EDM Council</t>
        </is>
      </c>
      <c r="E27" s="7" t="inlineStr">
        <is>
          <t>NOT A PUBLICATION</t>
        </is>
      </c>
      <c r="F27" s="7" t="inlineStr">
        <is>
          <t>n/a</t>
        </is>
      </c>
      <c r="G27" s="9" t="inlineStr">
        <is>
          <t>https://edmcouncil.org/forums-workgroups/adac-workgroup/</t>
        </is>
      </c>
      <c r="H27" s="7" t="inlineStr">
        <is>
          <t>n/a</t>
        </is>
      </c>
      <c r="I27" s="7" t="inlineStr">
        <is>
          <t>Workgroup, not a framework</t>
        </is>
      </c>
      <c r="J27" s="7" t="inlineStr">
        <is>
          <t>None — nothing citable exists</t>
        </is>
      </c>
      <c r="K27" s="16" t="inlineStr">
        <is>
          <t>D</t>
        </is>
      </c>
      <c r="L27" s="14" t="inlineStr">
        <is>
          <t>Not a publication</t>
        </is>
      </c>
      <c r="M27" s="7" t="inlineStr">
        <is>
          <t>REMOVE. ADAC is a workgroup, absent from EDM Council's own Frameworks page; evidence of activity is webinars and a 2024 SIG deck. If an EDM Council AI/data-controls reference is needed, cite CDMC, which is openly available.</t>
        </is>
      </c>
      <c r="N27" s="7" t="n">
        <v>4</v>
      </c>
      <c r="O27" s="11" t="inlineStr"/>
      <c r="P27" s="11" t="inlineStr"/>
    </row>
    <row r="28">
      <c r="A28" s="7" t="inlineStr">
        <is>
          <t>S27</t>
        </is>
      </c>
      <c r="B28" s="8" t="inlineStr">
        <is>
          <t>FinOps Framework</t>
        </is>
      </c>
      <c r="C28" s="7" t="inlineStr">
        <is>
          <t>The FinOps Framework</t>
        </is>
      </c>
      <c r="D28" s="7" t="inlineStr">
        <is>
          <t>FinOps Foundation (a Linux Foundation project)</t>
        </is>
      </c>
      <c r="E28" s="7" t="inlineStr">
        <is>
          <t>FinOps Framework 2026</t>
        </is>
      </c>
      <c r="F28" s="7" t="inlineStr">
        <is>
          <t>2026-03-19</t>
        </is>
      </c>
      <c r="G28" s="9" t="inlineStr">
        <is>
          <t>https://www.finops.org/framework/</t>
        </is>
      </c>
      <c r="H28" s="7" t="inlineStr">
        <is>
          <t>Free</t>
        </is>
      </c>
      <c r="I28" s="7" t="inlineStr">
        <is>
          <t>Capability / practice framework</t>
        </is>
      </c>
      <c r="J28" s="7" t="inlineStr">
        <is>
          <t>Domain name plus capability name (e.g. Optimize Usage &amp; Cost — Rate Optimization)</t>
        </is>
      </c>
      <c r="K28" s="12" t="inlineStr">
        <is>
          <t>A</t>
        </is>
      </c>
      <c r="L28" s="7" t="inlineStr">
        <is>
          <t>Current</t>
        </is>
      </c>
      <c r="M28" s="7" t="inlineStr">
        <is>
          <t>'FinOps for AI' is a named Technology Category with nine AI-specific KPIs; 'AI for FinOps' is a different topic. Do not conflate the two in a citation.</t>
        </is>
      </c>
      <c r="N28" s="7" t="n">
        <v>2</v>
      </c>
      <c r="O28" s="11" t="inlineStr"/>
      <c r="P28" s="11" t="inlineStr"/>
    </row>
    <row r="29">
      <c r="A29" s="7" t="inlineStr">
        <is>
          <t>S28</t>
        </is>
      </c>
      <c r="B29" s="8" t="inlineStr">
        <is>
          <t>IIA Three Lines Model</t>
        </is>
      </c>
      <c r="C29" s="7" t="inlineStr">
        <is>
          <t>Assurance and Advice in Support of Effective Governance: Three Lines Model Statement of Position</t>
        </is>
      </c>
      <c r="D29" s="7" t="inlineStr">
        <is>
          <t>The Institute of Internal Auditors</t>
        </is>
      </c>
      <c r="E29" s="7" t="inlineStr">
        <is>
          <t>Statement of Position</t>
        </is>
      </c>
      <c r="F29" s="7" t="inlineStr">
        <is>
          <t>2026-07-08</t>
        </is>
      </c>
      <c r="G29" s="9" t="inlineStr">
        <is>
          <t>https://www.theiia.org/globalassets/site/resources/statements-of-position/tlm_assurance_advice_support_effective_gov_en.pdf</t>
        </is>
      </c>
      <c r="H29" s="7" t="inlineStr">
        <is>
          <t>Free</t>
        </is>
      </c>
      <c r="I29" s="7" t="inlineStr">
        <is>
          <t>Governance model / Statement of Position</t>
        </is>
      </c>
      <c r="J29" s="7" t="inlineStr">
        <is>
          <t>Principle number (1-5), or Part I / Part II</t>
        </is>
      </c>
      <c r="K29" s="12" t="inlineStr">
        <is>
          <t>A</t>
        </is>
      </c>
      <c r="L29" s="7" t="inlineStr">
        <is>
          <t>Current</t>
        </is>
      </c>
      <c r="M29" s="7" t="inlineStr">
        <is>
          <t>REPLACES the 2020 position paper, which The IIA marks superseded. The 2026 Statement has FIVE principles, not six. 'Three Lines of Defense' is doubly retired — do not use it.</t>
        </is>
      </c>
      <c r="N29" s="7" t="n">
        <v>1</v>
      </c>
      <c r="O29" s="11" t="inlineStr"/>
      <c r="P29" s="11" t="inlineStr"/>
    </row>
    <row r="30">
      <c r="A30" s="7" t="inlineStr">
        <is>
          <t>S29</t>
        </is>
      </c>
      <c r="B30" s="8" t="inlineStr">
        <is>
          <t>MITRE AI Maturity Model</t>
        </is>
      </c>
      <c r="C30" s="7" t="inlineStr">
        <is>
          <t>The MITRE AI Maturity Model and Organizational Assessment Tool Guide</t>
        </is>
      </c>
      <c r="D30" s="7" t="inlineStr">
        <is>
          <t>The MITRE Corporation</t>
        </is>
      </c>
      <c r="E30" s="7" t="inlineStr">
        <is>
          <t>Guide</t>
        </is>
      </c>
      <c r="F30" s="7" t="inlineStr">
        <is>
          <t>2022-11-17</t>
        </is>
      </c>
      <c r="G30" s="9" t="inlineStr">
        <is>
          <t>https://aimaturitymodel.mitre.org/</t>
        </is>
      </c>
      <c r="H30" s="7" t="inlineStr">
        <is>
          <t>Free — guide only; assessment tool on request</t>
        </is>
      </c>
      <c r="I30" s="7" t="inlineStr">
        <is>
          <t>Maturity model</t>
        </is>
      </c>
      <c r="J30" s="7" t="inlineStr">
        <is>
          <t>Pillar name (Ethical, Equitable, and Responsible Use / Strategy and Resources / Organization / Technology Enablers / Data / Performance and Application)</t>
        </is>
      </c>
      <c r="K30" s="13" t="inlineStr">
        <is>
          <t>B</t>
        </is>
      </c>
      <c r="L30" s="7" t="inlineStr">
        <is>
          <t>Ageing</t>
        </is>
      </c>
      <c r="M30" s="7" t="inlineStr">
        <is>
          <t>Six pillars, 20 dimensions, five levels (Initial / Adopted / Defined / Managed / Optimized). Pre-dates the generative-AI wave — defensible as a maturity reference, not as current AI guidance.</t>
        </is>
      </c>
      <c r="N30" s="7" t="n">
        <v>2</v>
      </c>
      <c r="O30" s="11" t="inlineStr"/>
      <c r="P30" s="11" t="inlineStr"/>
    </row>
    <row r="31">
      <c r="A31" s="7" t="inlineStr">
        <is>
          <t>S30</t>
        </is>
      </c>
      <c r="B31" s="8" t="inlineStr">
        <is>
          <t>MIT CISR</t>
        </is>
      </c>
      <c r="C31" s="7" t="inlineStr">
        <is>
          <t>Grow Enterprise AI Maturity for Bottom-Line Impact (MIT CISR Research Briefing, Vol. XXV, No. 8)</t>
        </is>
      </c>
      <c r="D31" s="7" t="inlineStr">
        <is>
          <t>MIT Sloan Center for Information Systems Research</t>
        </is>
      </c>
      <c r="E31" s="7" t="inlineStr">
        <is>
          <t>Research Briefing Vol. XXV No. 8</t>
        </is>
      </c>
      <c r="F31" s="7" t="inlineStr">
        <is>
          <t>2025-08-21</t>
        </is>
      </c>
      <c r="G31" s="9" t="inlineStr">
        <is>
          <t>https://cisr.mit.edu/publication/2025_0801_EnterpriseAIMaturityUpdate_WoernerSebastianWeillKaganer</t>
        </is>
      </c>
      <c r="H31" s="7" t="inlineStr">
        <is>
          <t>Readable on site; PDF requires login</t>
        </is>
      </c>
      <c r="I31" s="7" t="inlineStr">
        <is>
          <t>Research briefing</t>
        </is>
      </c>
      <c r="J31" s="7" t="inlineStr">
        <is>
          <t>Briefing volume and number, plus stage name</t>
        </is>
      </c>
      <c r="K31" s="13" t="inlineStr">
        <is>
          <t>B</t>
        </is>
      </c>
      <c r="L31" s="7" t="inlineStr">
        <is>
          <t>Current</t>
        </is>
      </c>
      <c r="M31" s="7" t="inlineStr">
        <is>
          <t>'MIT CISR' is a research centre, not a document — our earlier citation named no artifact. This briefing is the correct substitute: four stages (Experiment and Prepare / Build Pilots and Capabilities / Develop AI Ways of Working / Become AI Future Ready).</t>
        </is>
      </c>
      <c r="N31" s="7" t="n">
        <v>1</v>
      </c>
      <c r="O31" s="11" t="inlineStr"/>
      <c r="P31" s="11" t="inlineStr"/>
    </row>
    <row r="32">
      <c r="A32" s="7" t="inlineStr">
        <is>
          <t>S31</t>
        </is>
      </c>
      <c r="B32" s="8" t="inlineStr">
        <is>
          <t>IMDA Model AI Governance Framework</t>
        </is>
      </c>
      <c r="C32" s="7" t="inlineStr">
        <is>
          <t>Model AI Governance Framework for Generative AI</t>
        </is>
      </c>
      <c r="D32" s="7" t="inlineStr">
        <is>
          <t>IMDA Singapore and AI Verify Foundation</t>
        </is>
      </c>
      <c r="E32" s="7" t="inlineStr">
        <is>
          <t>Final</t>
        </is>
      </c>
      <c r="F32" s="7" t="inlineStr">
        <is>
          <t>2024-05-30</t>
        </is>
      </c>
      <c r="G32" s="9" t="inlineStr">
        <is>
          <t>https://aiverifyfoundation.sg/wp-content/uploads/2024/05/Model-AI-Governance-Framework-for-Generative-AI-May-2024-1-1.pdf</t>
        </is>
      </c>
      <c r="H32" s="7" t="inlineStr">
        <is>
          <t>Free</t>
        </is>
      </c>
      <c r="I32" s="7" t="inlineStr">
        <is>
          <t>Voluntary governance framework</t>
        </is>
      </c>
      <c r="J32" s="7" t="inlineStr">
        <is>
          <t>Dimension name (one of nine, e.g. Content Provenance)</t>
        </is>
      </c>
      <c r="K32" s="12" t="inlineStr">
        <is>
          <t>A</t>
        </is>
      </c>
      <c r="L32" s="7" t="inlineStr">
        <is>
          <t>Current — but our citation was ambiguous</t>
        </is>
      </c>
      <c r="M32" s="7" t="inlineStr">
        <is>
          <t>THREE documents share this name: the original (2nd ed. 2020), the Generative AI framework (May 2024, nine dimensions) and the Agentic AI framework (v1.0, January 2026, four dimensions). Our model cited it unqualified. Pick one per capability.</t>
        </is>
      </c>
      <c r="N32" s="7" t="n">
        <v>5</v>
      </c>
      <c r="O32" s="11" t="inlineStr"/>
      <c r="P32" s="11" t="inlineStr"/>
    </row>
    <row r="33">
      <c r="A33" s="7" t="inlineStr">
        <is>
          <t>S31b</t>
        </is>
      </c>
      <c r="B33" s="8" t="inlineStr">
        <is>
          <t>IMDA Agentic AI Framework</t>
        </is>
      </c>
      <c r="C33" s="7" t="inlineStr">
        <is>
          <t>Model AI Governance Framework for Agentic AI</t>
        </is>
      </c>
      <c r="D33" s="7" t="inlineStr">
        <is>
          <t>IMDA Singapore</t>
        </is>
      </c>
      <c r="E33" s="7" t="inlineStr">
        <is>
          <t>Version 1.0</t>
        </is>
      </c>
      <c r="F33" s="7" t="inlineStr">
        <is>
          <t>2026-01-22</t>
        </is>
      </c>
      <c r="G33" s="9" t="inlineStr">
        <is>
          <t>https://www.imda.gov.sg/-/media/imda/files/about/emerging-tech-and-research/artificial-intelligence/mgf-for-agentic-ai.pdf</t>
        </is>
      </c>
      <c r="H33" s="7" t="inlineStr">
        <is>
          <t>Free</t>
        </is>
      </c>
      <c r="I33" s="7" t="inlineStr">
        <is>
          <t>Voluntary governance framework</t>
        </is>
      </c>
      <c r="J33" s="7" t="inlineStr">
        <is>
          <t>Dimension name (one of four)</t>
        </is>
      </c>
      <c r="K33" s="12" t="inlineStr">
        <is>
          <t>A</t>
        </is>
      </c>
      <c r="L33" s="7" t="inlineStr">
        <is>
          <t>Current</t>
        </is>
      </c>
      <c r="M33" s="7" t="inlineStr">
        <is>
          <t>Added during this review as the correct source for agentic capabilities previously attributed to the generative-AI framework.</t>
        </is>
      </c>
      <c r="N33" s="7" t="n">
        <v>0</v>
      </c>
      <c r="O33" s="11" t="inlineStr"/>
      <c r="P33" s="11" t="inlineStr"/>
    </row>
    <row r="34">
      <c r="A34" s="7" t="inlineStr">
        <is>
          <t>S32</t>
        </is>
      </c>
      <c r="B34" s="8" t="inlineStr">
        <is>
          <t>OWASP GenAI Security Project</t>
        </is>
      </c>
      <c r="C34" s="7" t="inlineStr">
        <is>
          <t>OWASP Top 10 for LLM Applications 2026 (OWASP GenAI Security Project)</t>
        </is>
      </c>
      <c r="D34" s="7" t="inlineStr">
        <is>
          <t>OWASP Foundation</t>
        </is>
      </c>
      <c r="E34" s="7" t="inlineStr">
        <is>
          <t>2026, Version 1.0</t>
        </is>
      </c>
      <c r="F34" s="7" t="inlineStr">
        <is>
          <t>2026-08 / launch 2026-09-02</t>
        </is>
      </c>
      <c r="G34" s="9" t="inlineStr">
        <is>
          <t>https://genai.owasp.org/resource/owasp-genai-llm-top-10-2026/</t>
        </is>
      </c>
      <c r="H34" s="7" t="inlineStr">
        <is>
          <t>Free, open source</t>
        </is>
      </c>
      <c r="I34" s="7" t="inlineStr">
        <is>
          <t>Awareness document / risk list</t>
        </is>
      </c>
      <c r="J34" s="7" t="inlineStr">
        <is>
          <t>Entry NAME, never the number (e.g. Excessive Agency)</t>
        </is>
      </c>
      <c r="K34" s="12" t="inlineStr">
        <is>
          <t>A</t>
        </is>
      </c>
      <c r="L34" s="7" t="inlineStr">
        <is>
          <t>Current</t>
        </is>
      </c>
      <c r="M34" s="7" t="inlineStr">
        <is>
          <t>Item numbers change between editions — cite by name only. The owasp.org/www-project-top-10-for-large-language-model-applications page was still serving the 2025 list; do not cite that URL. Also under this project: Agent Control Standard, Top 10 for Agentic Applications.</t>
        </is>
      </c>
      <c r="N34" s="7" t="n">
        <v>2</v>
      </c>
      <c r="O34" s="11" t="inlineStr"/>
      <c r="P34" s="11" t="inlineStr"/>
    </row>
    <row r="35">
      <c r="A35" s="7" t="inlineStr">
        <is>
          <t>S33</t>
        </is>
      </c>
      <c r="B35" s="8" t="inlineStr">
        <is>
          <t>MCP specification</t>
        </is>
      </c>
      <c r="C35" s="7" t="inlineStr">
        <is>
          <t>Model Context Protocol Specification</t>
        </is>
      </c>
      <c r="D35" s="7" t="inlineStr">
        <is>
          <t>Agentic AI Foundation (Linux Foundation); originated at Anthropic</t>
        </is>
      </c>
      <c r="E35" s="7" t="inlineStr">
        <is>
          <t>Revision 2026-07-28</t>
        </is>
      </c>
      <c r="F35" s="7" t="inlineStr">
        <is>
          <t>2026-07-28</t>
        </is>
      </c>
      <c r="G35" s="9" t="inlineStr">
        <is>
          <t>https://modelcontextprotocol.io/specification/2026-07-28</t>
        </is>
      </c>
      <c r="H35" s="7" t="inlineStr">
        <is>
          <t>Free, open source</t>
        </is>
      </c>
      <c r="I35" s="7" t="inlineStr">
        <is>
          <t>Protocol specification</t>
        </is>
      </c>
      <c r="J35" s="7" t="inlineStr">
        <is>
          <t>Dated revision plus section (e.g. 2026-07-28, Server Features)</t>
        </is>
      </c>
      <c r="K35" s="12" t="inlineStr">
        <is>
          <t>A</t>
        </is>
      </c>
      <c r="L35" s="7" t="inlineStr">
        <is>
          <t>Current</t>
        </is>
      </c>
      <c r="M35" s="7" t="inlineStr">
        <is>
          <t>Breaking revision: sessions and the initialize handshake removed, server/discover added, Roots, Sampling and Logging deprecated. Architecture text written against 2025-11-25 or earlier is out of date. Governance moved to the Linux Foundation in December 2025 — cite AAIF, not Anthropic.</t>
        </is>
      </c>
      <c r="N35" s="7" t="n">
        <v>2</v>
      </c>
      <c r="O35" s="11" t="inlineStr"/>
      <c r="P35" s="11" t="inlineStr"/>
    </row>
    <row r="36">
      <c r="A36" s="14" t="inlineStr">
        <is>
          <t>S34</t>
        </is>
      </c>
      <c r="B36" s="15" t="inlineStr">
        <is>
          <t>Gartner</t>
        </is>
      </c>
      <c r="C36" s="7" t="inlineStr">
        <is>
          <t>Gartner research (various)</t>
        </is>
      </c>
      <c r="D36" s="7" t="inlineStr">
        <is>
          <t>Gartner, Inc.</t>
        </is>
      </c>
      <c r="E36" s="7" t="inlineStr">
        <is>
          <t>Subscription research</t>
        </is>
      </c>
      <c r="F36" s="7" t="inlineStr">
        <is>
          <t>Various</t>
        </is>
      </c>
      <c r="G36" s="9" t="inlineStr">
        <is>
          <t>https://www.gartner.com/</t>
        </is>
      </c>
      <c r="H36" s="7" t="inlineStr">
        <is>
          <t>Subscription — non-public</t>
        </is>
      </c>
      <c r="I36" s="7" t="inlineStr">
        <is>
          <t>Analyst research</t>
        </is>
      </c>
      <c r="J36" s="7" t="inlineStr">
        <is>
          <t>Document number only, in internal documents only</t>
        </is>
      </c>
      <c r="K36" s="16" t="inlineStr">
        <is>
          <t>D</t>
        </is>
      </c>
      <c r="L36" s="14" t="inlineStr">
        <is>
          <t>Non-public</t>
        </is>
      </c>
      <c r="M36" s="7" t="inlineStr">
        <is>
          <t>Licensed material. Usable internally under the Bank's subscription; must not appear in deliverables that circulate externally, and a reviewer without a seat cannot open it. Cannot serve as evidence.</t>
        </is>
      </c>
      <c r="N36" s="7" t="n">
        <v>2</v>
      </c>
      <c r="O36" s="11" t="inlineStr"/>
      <c r="P36" s="11" t="inlineStr"/>
    </row>
    <row r="37">
      <c r="A37" s="14" t="inlineStr">
        <is>
          <t>S35</t>
        </is>
      </c>
      <c r="B37" s="15" t="inlineStr">
        <is>
          <t>Consultancy transformation patterns</t>
        </is>
      </c>
      <c r="C37" s="7" t="inlineStr">
        <is>
          <t>Consultancy transformation patterns (unattributed)</t>
        </is>
      </c>
      <c r="D37" s="7" t="inlineStr">
        <is>
          <t>Various consultancies</t>
        </is>
      </c>
      <c r="E37" s="7" t="inlineStr">
        <is>
          <t>n/a</t>
        </is>
      </c>
      <c r="F37" s="7" t="inlineStr">
        <is>
          <t>n/a</t>
        </is>
      </c>
      <c r="G37" s="7" t="inlineStr">
        <is>
          <t>n/a</t>
        </is>
      </c>
      <c r="H37" s="7" t="inlineStr">
        <is>
          <t>Non-public</t>
        </is>
      </c>
      <c r="I37" s="7" t="inlineStr">
        <is>
          <t>Practitioner patterns</t>
        </is>
      </c>
      <c r="J37" s="7" t="inlineStr">
        <is>
          <t>None — nothing citable exists</t>
        </is>
      </c>
      <c r="K37" s="16" t="inlineStr">
        <is>
          <t>D</t>
        </is>
      </c>
      <c r="L37" s="14" t="inlineStr">
        <is>
          <t>Not a publication</t>
        </is>
      </c>
      <c r="M37" s="7" t="inlineStr">
        <is>
          <t>REMOVE or replace. An unattributed pattern is not evidence; it cannot be opened, dated or verified by anyone.</t>
        </is>
      </c>
      <c r="N37" s="7" t="n">
        <v>2</v>
      </c>
      <c r="O37" s="11" t="inlineStr"/>
      <c r="P37" s="11" t="inlineStr"/>
    </row>
    <row r="38">
      <c r="A38" s="14" t="inlineStr">
        <is>
          <t>S36</t>
        </is>
      </c>
      <c r="B38" s="15" t="inlineStr">
        <is>
          <t>IDB institutional practice</t>
        </is>
      </c>
      <c r="C38" s="7" t="inlineStr">
        <is>
          <t>IDB internal practice (undocumented)</t>
        </is>
      </c>
      <c r="D38" s="7" t="inlineStr">
        <is>
          <t>Inter-American Development Bank</t>
        </is>
      </c>
      <c r="E38" s="7" t="inlineStr">
        <is>
          <t>n/a</t>
        </is>
      </c>
      <c r="F38" s="7" t="inlineStr">
        <is>
          <t>n/a</t>
        </is>
      </c>
      <c r="G38" s="7" t="inlineStr">
        <is>
          <t>Internal</t>
        </is>
      </c>
      <c r="H38" s="7" t="inlineStr">
        <is>
          <t>Internal</t>
        </is>
      </c>
      <c r="I38" s="7" t="inlineStr">
        <is>
          <t>Institutional practice</t>
        </is>
      </c>
      <c r="J38" s="7" t="inlineStr">
        <is>
          <t>Name the internal document, owner and date</t>
        </is>
      </c>
      <c r="K38" s="16" t="inlineStr">
        <is>
          <t>D</t>
        </is>
      </c>
      <c r="L38" s="14" t="inlineStr">
        <is>
          <t>Needs a named internal document</t>
        </is>
      </c>
      <c r="M38" s="7" t="inlineStr">
        <is>
          <t>Legitimate as an origin, but 'institutional practice' names nothing a reviewer can open. Each use must be replaced with a named internal policy, standard or procedure with an owner and a date.</t>
        </is>
      </c>
      <c r="N38" s="7" t="n">
        <v>3</v>
      </c>
      <c r="O38" s="11" t="inlineStr"/>
      <c r="P38" s="11" t="inlineStr"/>
    </row>
    <row r="39">
      <c r="A39" s="14" t="inlineStr">
        <is>
          <t>S37</t>
        </is>
      </c>
      <c r="B39" s="15" t="inlineStr">
        <is>
          <t>IDB data protection framework</t>
        </is>
      </c>
      <c r="C39" s="7" t="inlineStr">
        <is>
          <t>IDB data protection framework</t>
        </is>
      </c>
      <c r="D39" s="7" t="inlineStr">
        <is>
          <t>Inter-American Development Bank</t>
        </is>
      </c>
      <c r="E39" s="7" t="inlineStr">
        <is>
          <t>n/a</t>
        </is>
      </c>
      <c r="F39" s="7" t="inlineStr">
        <is>
          <t>n/a</t>
        </is>
      </c>
      <c r="G39" s="7" t="inlineStr">
        <is>
          <t>Internal</t>
        </is>
      </c>
      <c r="H39" s="7" t="inlineStr">
        <is>
          <t>Internal</t>
        </is>
      </c>
      <c r="I39" s="7" t="inlineStr">
        <is>
          <t>Institutional policy</t>
        </is>
      </c>
      <c r="J39" s="7" t="inlineStr">
        <is>
          <t>Name the instrument and clause</t>
        </is>
      </c>
      <c r="K39" s="16" t="inlineStr">
        <is>
          <t>D</t>
        </is>
      </c>
      <c r="L39" s="14" t="inlineStr">
        <is>
          <t>Needs pinning</t>
        </is>
      </c>
      <c r="M39" s="7" t="inlineStr">
        <is>
          <t>Data Governance to confirm the instrument name, version and the specific provision relied on.</t>
        </is>
      </c>
      <c r="N39" s="7" t="n">
        <v>1</v>
      </c>
      <c r="O39" s="11" t="inlineStr"/>
      <c r="P39" s="11" t="inlineStr"/>
    </row>
    <row r="40">
      <c r="A40" s="14" t="inlineStr">
        <is>
          <t>S38</t>
        </is>
      </c>
      <c r="B40" s="15" t="inlineStr">
        <is>
          <t>IDB legal framework</t>
        </is>
      </c>
      <c r="C40" s="7" t="inlineStr">
        <is>
          <t>IDB legal framework</t>
        </is>
      </c>
      <c r="D40" s="7" t="inlineStr">
        <is>
          <t>Inter-American Development Bank</t>
        </is>
      </c>
      <c r="E40" s="7" t="inlineStr">
        <is>
          <t>n/a</t>
        </is>
      </c>
      <c r="F40" s="7" t="inlineStr">
        <is>
          <t>n/a</t>
        </is>
      </c>
      <c r="G40" s="7" t="inlineStr">
        <is>
          <t>Internal</t>
        </is>
      </c>
      <c r="H40" s="7" t="inlineStr">
        <is>
          <t>Internal</t>
        </is>
      </c>
      <c r="I40" s="7" t="inlineStr">
        <is>
          <t>Institutional policy</t>
        </is>
      </c>
      <c r="J40" s="7" t="inlineStr">
        <is>
          <t>Name the instrument and clause</t>
        </is>
      </c>
      <c r="K40" s="16" t="inlineStr">
        <is>
          <t>D</t>
        </is>
      </c>
      <c r="L40" s="14" t="inlineStr">
        <is>
          <t>Needs pinning</t>
        </is>
      </c>
      <c r="M40" s="7" t="inlineStr">
        <is>
          <t>Legal to confirm which instrument is relied on. Related: the obligations register (18 statutory references, all still marked candidate).</t>
        </is>
      </c>
      <c r="N40" s="7" t="n">
        <v>1</v>
      </c>
      <c r="O40" s="11" t="inlineStr"/>
      <c r="P40" s="11" t="inlineStr"/>
    </row>
    <row r="41">
      <c r="A41" s="14" t="inlineStr">
        <is>
          <t>S39</t>
        </is>
      </c>
      <c r="B41" s="15" t="inlineStr">
        <is>
          <t>IDB internal audit standards</t>
        </is>
      </c>
      <c r="C41" s="7" t="inlineStr">
        <is>
          <t>IDB internal audit standards</t>
        </is>
      </c>
      <c r="D41" s="7" t="inlineStr">
        <is>
          <t>Inter-American Development Bank</t>
        </is>
      </c>
      <c r="E41" s="7" t="inlineStr">
        <is>
          <t>n/a</t>
        </is>
      </c>
      <c r="F41" s="7" t="inlineStr">
        <is>
          <t>n/a</t>
        </is>
      </c>
      <c r="G41" s="7" t="inlineStr">
        <is>
          <t>Internal</t>
        </is>
      </c>
      <c r="H41" s="7" t="inlineStr">
        <is>
          <t>Internal</t>
        </is>
      </c>
      <c r="I41" s="7" t="inlineStr">
        <is>
          <t>Institutional policy</t>
        </is>
      </c>
      <c r="J41" s="7" t="inlineStr">
        <is>
          <t>Name the instrument and clause</t>
        </is>
      </c>
      <c r="K41" s="16" t="inlineStr">
        <is>
          <t>D</t>
        </is>
      </c>
      <c r="L41" s="14" t="inlineStr">
        <is>
          <t>Needs pinning</t>
        </is>
      </c>
      <c r="M41" s="7" t="inlineStr">
        <is>
          <t>Internal Audit to confirm which standards are relied on and whether the IIA Global Internal Audit Standards (2024) are adopted directly.</t>
        </is>
      </c>
      <c r="N41" s="7" t="n">
        <v>1</v>
      </c>
      <c r="O41" s="11" t="inlineStr"/>
      <c r="P41" s="11" t="inlineStr"/>
    </row>
  </sheetData>
  <autoFilter ref="A1:P41"/>
  <dataValidations count="1">
    <dataValidation sqref="O2:O41" showDropDown="0" showInputMessage="0" showErrorMessage="0" allowBlank="1" type="list">
      <formula1>"Keep,Keep with caution noted,Replace,Remove,Pin the edition,Not sure - discuss"</formula1>
    </dataValidation>
  </dataValidations>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42" customWidth="1" min="3" max="3"/>
    <col width="8" customWidth="1" min="4" max="4"/>
    <col width="26" customWidth="1" min="5" max="5"/>
    <col width="38" customWidth="1" min="6" max="6"/>
    <col width="50" customWidth="1" min="7" max="7"/>
    <col width="22" customWidth="1" min="8" max="8"/>
    <col width="15" customWidth="1" min="9" max="9"/>
    <col width="7" customWidth="1" min="10" max="10"/>
    <col width="24" customWidth="1" min="11" max="11"/>
    <col width="24" customWidth="1" min="12" max="12"/>
    <col width="20" customWidth="1" min="13" max="13"/>
    <col width="34" customWidth="1" min="14" max="14"/>
    <col width="44" customWidth="1" min="15" max="15"/>
  </cols>
  <sheetData>
    <row r="1" ht="30" customHeight="1">
      <c r="A1" s="6" t="inlineStr">
        <is>
          <t>Domain</t>
        </is>
      </c>
      <c r="B1" s="6" t="inlineStr">
        <is>
          <t>Capability</t>
        </is>
      </c>
      <c r="C1" s="6" t="inlineStr">
        <is>
          <t>Capability name</t>
        </is>
      </c>
      <c r="D1" s="6" t="inlineStr">
        <is>
          <t>Source ID</t>
        </is>
      </c>
      <c r="E1" s="6" t="inlineStr">
        <is>
          <t>Source</t>
        </is>
      </c>
      <c r="F1" s="6" t="inlineStr">
        <is>
          <t>As cited in the model today</t>
        </is>
      </c>
      <c r="G1" s="6" t="inlineStr">
        <is>
          <t>Candidate locus (UNVERIFIED)</t>
        </is>
      </c>
      <c r="H1" s="6" t="inlineStr">
        <is>
          <t>Locus status</t>
        </is>
      </c>
      <c r="I1" s="6" t="inlineStr">
        <is>
          <t>Derivation</t>
        </is>
      </c>
      <c r="J1" s="6" t="inlineStr">
        <is>
          <t>Grade</t>
        </is>
      </c>
      <c r="K1" s="6" t="inlineStr">
        <is>
          <t>Source status</t>
        </is>
      </c>
      <c r="L1" s="6" t="inlineStr">
        <is>
          <t>Access</t>
        </is>
      </c>
      <c r="M1" s="6" t="inlineStr">
        <is>
          <t>Your decision</t>
        </is>
      </c>
      <c r="N1" s="6" t="inlineStr">
        <is>
          <t>Corrected locus</t>
        </is>
      </c>
      <c r="O1" s="6" t="inlineStr">
        <is>
          <t>Your notes</t>
        </is>
      </c>
    </row>
    <row r="2">
      <c r="A2" s="7" t="inlineStr">
        <is>
          <t>D1</t>
        </is>
      </c>
      <c r="B2" s="7" t="inlineStr">
        <is>
          <t>1.1</t>
        </is>
      </c>
      <c r="C2" s="8" t="inlineStr">
        <is>
          <t>AI Vision &amp; Strategy Definition</t>
        </is>
      </c>
      <c r="D2" s="7" t="inlineStr">
        <is>
          <t>S12</t>
        </is>
      </c>
      <c r="E2" s="7" t="inlineStr">
        <is>
          <t>AWS CAF-AI</t>
        </is>
      </c>
      <c r="F2" s="7" t="inlineStr">
        <is>
          <t>AWS CAF-AI - Business perspective</t>
        </is>
      </c>
      <c r="G2" s="7" t="inlineStr">
        <is>
          <t>Business perspective</t>
        </is>
      </c>
      <c r="H2" s="7" t="inlineStr">
        <is>
          <t>stated in our own citation</t>
        </is>
      </c>
      <c r="I2" s="7" t="inlineStr">
        <is>
          <t>Adapted</t>
        </is>
      </c>
      <c r="J2" s="10" t="inlineStr">
        <is>
          <t>C</t>
        </is>
      </c>
      <c r="K2" s="7" t="inlineStr">
        <is>
          <t>Flagged historical by AWS</t>
        </is>
      </c>
      <c r="L2" s="7" t="inlineStr">
        <is>
          <t>Free</t>
        </is>
      </c>
      <c r="M2" s="11" t="inlineStr"/>
      <c r="N2" s="11" t="inlineStr"/>
      <c r="O2" s="11" t="inlineStr"/>
    </row>
    <row r="3">
      <c r="A3" s="7" t="inlineStr">
        <is>
          <t>D1</t>
        </is>
      </c>
      <c r="B3" s="7" t="inlineStr">
        <is>
          <t>1.1</t>
        </is>
      </c>
      <c r="C3" s="8" t="inlineStr">
        <is>
          <t>AI Vision &amp; Strategy Definition</t>
        </is>
      </c>
      <c r="D3" s="7" t="inlineStr">
        <is>
          <t>S03</t>
        </is>
      </c>
      <c r="E3" s="7" t="inlineStr">
        <is>
          <t>ISO/IEC 38507</t>
        </is>
      </c>
      <c r="F3" s="7" t="inlineStr">
        <is>
          <t>ISO/IEC 38507</t>
        </is>
      </c>
      <c r="G3" s="7" t="inlineStr">
        <is>
          <t>6.2 Governance oversight of AI</t>
        </is>
      </c>
      <c r="H3" s="7" t="inlineStr">
        <is>
          <t>candidate - unverified</t>
        </is>
      </c>
      <c r="I3" s="7" t="inlineStr">
        <is>
          <t>Corroborating</t>
        </is>
      </c>
      <c r="J3" s="10" t="inlineStr">
        <is>
          <t>C</t>
        </is>
      </c>
      <c r="K3" s="7" t="inlineStr">
        <is>
          <t>Current</t>
        </is>
      </c>
      <c r="L3" s="7" t="inlineStr">
        <is>
          <t>Paid</t>
        </is>
      </c>
      <c r="M3" s="11" t="inlineStr"/>
      <c r="N3" s="11" t="inlineStr"/>
      <c r="O3" s="11" t="inlineStr"/>
    </row>
    <row r="4">
      <c r="A4" s="7" t="inlineStr">
        <is>
          <t>D1</t>
        </is>
      </c>
      <c r="B4" s="7" t="inlineStr">
        <is>
          <t>1.1</t>
        </is>
      </c>
      <c r="C4" s="8" t="inlineStr">
        <is>
          <t>AI Vision &amp; Strategy Definition</t>
        </is>
      </c>
      <c r="D4" s="7" t="inlineStr">
        <is>
          <t>S29</t>
        </is>
      </c>
      <c r="E4" s="7" t="inlineStr">
        <is>
          <t>MITRE AI Maturity Model</t>
        </is>
      </c>
      <c r="F4" s="7" t="inlineStr">
        <is>
          <t>MITRE AI Maturity Model</t>
        </is>
      </c>
      <c r="G4" s="7" t="inlineStr">
        <is>
          <t>Strategy and Resources pillar</t>
        </is>
      </c>
      <c r="H4" s="7" t="inlineStr">
        <is>
          <t>candidate - unverified</t>
        </is>
      </c>
      <c r="I4" s="7" t="inlineStr">
        <is>
          <t>Corroborating</t>
        </is>
      </c>
      <c r="J4" s="13" t="inlineStr">
        <is>
          <t>B</t>
        </is>
      </c>
      <c r="K4" s="7" t="inlineStr">
        <is>
          <t>Ageing</t>
        </is>
      </c>
      <c r="L4" s="7" t="inlineStr">
        <is>
          <t>Free — guide only; assessment tool on request</t>
        </is>
      </c>
      <c r="M4" s="11" t="inlineStr"/>
      <c r="N4" s="11" t="inlineStr"/>
      <c r="O4" s="11" t="inlineStr"/>
    </row>
    <row r="5">
      <c r="A5" s="7" t="inlineStr">
        <is>
          <t>D1</t>
        </is>
      </c>
      <c r="B5" s="7" t="inlineStr">
        <is>
          <t>1.2</t>
        </is>
      </c>
      <c r="C5" s="8" t="inlineStr">
        <is>
          <t>AI Portfolio &amp; Investment Management</t>
        </is>
      </c>
      <c r="D5" s="7" t="inlineStr">
        <is>
          <t>S12</t>
        </is>
      </c>
      <c r="E5" s="7" t="inlineStr">
        <is>
          <t>AWS CAF-AI</t>
        </is>
      </c>
      <c r="F5" s="7" t="inlineStr">
        <is>
          <t>AWS CAF-AI</t>
        </is>
      </c>
      <c r="G5" s="7" t="inlineStr">
        <is>
          <t>Business perspective</t>
        </is>
      </c>
      <c r="H5" s="7" t="inlineStr">
        <is>
          <t>candidate - unverified</t>
        </is>
      </c>
      <c r="I5" s="7" t="inlineStr">
        <is>
          <t>Adapted</t>
        </is>
      </c>
      <c r="J5" s="10" t="inlineStr">
        <is>
          <t>C</t>
        </is>
      </c>
      <c r="K5" s="7" t="inlineStr">
        <is>
          <t>Flagged historical by AWS</t>
        </is>
      </c>
      <c r="L5" s="7" t="inlineStr">
        <is>
          <t>Free</t>
        </is>
      </c>
      <c r="M5" s="11" t="inlineStr"/>
      <c r="N5" s="11" t="inlineStr"/>
      <c r="O5" s="11" t="inlineStr"/>
    </row>
    <row r="6">
      <c r="A6" s="7" t="inlineStr">
        <is>
          <t>D1</t>
        </is>
      </c>
      <c r="B6" s="7" t="inlineStr">
        <is>
          <t>1.2</t>
        </is>
      </c>
      <c r="C6" s="8" t="inlineStr">
        <is>
          <t>AI Portfolio &amp; Investment Management</t>
        </is>
      </c>
      <c r="D6" s="7" t="inlineStr">
        <is>
          <t>S34</t>
        </is>
      </c>
      <c r="E6" s="7" t="inlineStr">
        <is>
          <t>Gartner</t>
        </is>
      </c>
      <c r="F6" s="7" t="inlineStr">
        <is>
          <t>Gartner (analyst, non-public)</t>
        </is>
      </c>
      <c r="G6" s="7" t="inlineStr"/>
      <c r="H6" s="17" t="inlineStr">
        <is>
          <t>NOT PINNED</t>
        </is>
      </c>
      <c r="I6" s="15" t="inlineStr">
        <is>
          <t>Unsupported</t>
        </is>
      </c>
      <c r="J6" s="16" t="inlineStr">
        <is>
          <t>D</t>
        </is>
      </c>
      <c r="K6" s="7" t="inlineStr">
        <is>
          <t>Non-public</t>
        </is>
      </c>
      <c r="L6" s="7" t="inlineStr">
        <is>
          <t>Subscription — non-public</t>
        </is>
      </c>
      <c r="M6" s="11" t="inlineStr"/>
      <c r="N6" s="11" t="inlineStr"/>
      <c r="O6" s="11" t="inlineStr"/>
    </row>
    <row r="7">
      <c r="A7" s="7" t="inlineStr">
        <is>
          <t>D1</t>
        </is>
      </c>
      <c r="B7" s="7" t="inlineStr">
        <is>
          <t>1.2</t>
        </is>
      </c>
      <c r="C7" s="8" t="inlineStr">
        <is>
          <t>AI Portfolio &amp; Investment Management</t>
        </is>
      </c>
      <c r="D7" s="7" t="inlineStr">
        <is>
          <t>S21</t>
        </is>
      </c>
      <c r="E7" s="7" t="inlineStr">
        <is>
          <t>TOGAF G193 Capability-Based Planning</t>
        </is>
      </c>
      <c r="F7" s="7" t="inlineStr">
        <is>
          <t>TOGAF (capability-based planning)</t>
        </is>
      </c>
      <c r="G7" s="7" t="inlineStr">
        <is>
          <t>G193 in full</t>
        </is>
      </c>
      <c r="H7" s="7" t="inlineStr">
        <is>
          <t>candidate - unverified</t>
        </is>
      </c>
      <c r="I7" s="7" t="inlineStr">
        <is>
          <t>Corroborating</t>
        </is>
      </c>
      <c r="J7" s="13" t="inlineStr">
        <is>
          <t>B</t>
        </is>
      </c>
      <c r="K7" s="7" t="inlineStr">
        <is>
          <t>Current</t>
        </is>
      </c>
      <c r="L7" s="7" t="inlineStr">
        <is>
          <t>Free for non-commercial after registration</t>
        </is>
      </c>
      <c r="M7" s="11" t="inlineStr"/>
      <c r="N7" s="11" t="inlineStr"/>
      <c r="O7" s="11" t="inlineStr"/>
    </row>
    <row r="8">
      <c r="A8" s="7" t="inlineStr">
        <is>
          <t>D1</t>
        </is>
      </c>
      <c r="B8" s="7" t="inlineStr">
        <is>
          <t>1.3</t>
        </is>
      </c>
      <c r="C8" s="8" t="inlineStr">
        <is>
          <t>Value Realization &amp; Performance Reporting</t>
        </is>
      </c>
      <c r="D8" s="7" t="inlineStr">
        <is>
          <t>S19</t>
        </is>
      </c>
      <c r="E8" s="7" t="inlineStr">
        <is>
          <t>WEF AI-First Operating System</t>
        </is>
      </c>
      <c r="F8" s="7" t="inlineStr">
        <is>
          <t>WEF AI-First Operating System</t>
        </is>
      </c>
      <c r="G8" s="7" t="inlineStr">
        <is>
          <t>New value creation</t>
        </is>
      </c>
      <c r="H8" s="7" t="inlineStr">
        <is>
          <t>candidate - unverified</t>
        </is>
      </c>
      <c r="I8" s="7" t="inlineStr">
        <is>
          <t>Adapted</t>
        </is>
      </c>
      <c r="J8" s="13" t="inlineStr">
        <is>
          <t>B</t>
        </is>
      </c>
      <c r="K8" s="7" t="inlineStr">
        <is>
          <t>Current</t>
        </is>
      </c>
      <c r="L8" s="7" t="inlineStr">
        <is>
          <t>Free</t>
        </is>
      </c>
      <c r="M8" s="11" t="inlineStr"/>
      <c r="N8" s="11" t="inlineStr"/>
      <c r="O8" s="11" t="inlineStr"/>
    </row>
    <row r="9">
      <c r="A9" s="7" t="inlineStr">
        <is>
          <t>D1</t>
        </is>
      </c>
      <c r="B9" s="7" t="inlineStr">
        <is>
          <t>1.3</t>
        </is>
      </c>
      <c r="C9" s="8" t="inlineStr">
        <is>
          <t>Value Realization &amp; Performance Reporting</t>
        </is>
      </c>
      <c r="D9" s="7" t="inlineStr">
        <is>
          <t>S30</t>
        </is>
      </c>
      <c r="E9" s="7" t="inlineStr">
        <is>
          <t>MIT CISR</t>
        </is>
      </c>
      <c r="F9" s="7" t="inlineStr">
        <is>
          <t>MIT CISR</t>
        </is>
      </c>
      <c r="G9" s="7" t="inlineStr">
        <is>
          <t>Stage 3 Develop AI Ways of Working</t>
        </is>
      </c>
      <c r="H9" s="7" t="inlineStr">
        <is>
          <t>candidate - unverified</t>
        </is>
      </c>
      <c r="I9" s="7" t="inlineStr">
        <is>
          <t>Corroborating</t>
        </is>
      </c>
      <c r="J9" s="13" t="inlineStr">
        <is>
          <t>B</t>
        </is>
      </c>
      <c r="K9" s="7" t="inlineStr">
        <is>
          <t>Current</t>
        </is>
      </c>
      <c r="L9" s="7" t="inlineStr">
        <is>
          <t>Readable on site; PDF requires login</t>
        </is>
      </c>
      <c r="M9" s="11" t="inlineStr"/>
      <c r="N9" s="11" t="inlineStr"/>
      <c r="O9" s="11" t="inlineStr"/>
    </row>
    <row r="10">
      <c r="A10" s="7" t="inlineStr">
        <is>
          <t>D1</t>
        </is>
      </c>
      <c r="B10" s="7" t="inlineStr">
        <is>
          <t>1.3</t>
        </is>
      </c>
      <c r="C10" s="8" t="inlineStr">
        <is>
          <t>Value Realization &amp; Performance Reporting</t>
        </is>
      </c>
      <c r="D10" s="7" t="inlineStr">
        <is>
          <t>S11</t>
        </is>
      </c>
      <c r="E10" s="7" t="inlineStr">
        <is>
          <t>GAO AI Accountability Framework</t>
        </is>
      </c>
      <c r="F10" s="7" t="inlineStr">
        <is>
          <t>GAO AI Accountability Framework</t>
        </is>
      </c>
      <c r="G10" s="7" t="inlineStr">
        <is>
          <t>Governance principle - organizational level</t>
        </is>
      </c>
      <c r="H10" s="7" t="inlineStr">
        <is>
          <t>candidate - unverified</t>
        </is>
      </c>
      <c r="I10" s="7" t="inlineStr">
        <is>
          <t>Corroborating</t>
        </is>
      </c>
      <c r="J10" s="12" t="inlineStr">
        <is>
          <t>A</t>
        </is>
      </c>
      <c r="K10" s="7" t="inlineStr">
        <is>
          <t>Current</t>
        </is>
      </c>
      <c r="L10" s="7" t="inlineStr">
        <is>
          <t>Free</t>
        </is>
      </c>
      <c r="M10" s="11" t="inlineStr"/>
      <c r="N10" s="11" t="inlineStr"/>
      <c r="O10" s="11" t="inlineStr"/>
    </row>
    <row r="11">
      <c r="A11" s="7" t="inlineStr">
        <is>
          <t>D1</t>
        </is>
      </c>
      <c r="B11" s="7" t="inlineStr">
        <is>
          <t>1.4</t>
        </is>
      </c>
      <c r="C11" s="8" t="inlineStr">
        <is>
          <t>AI Sourcing &amp; Partner Strategy</t>
        </is>
      </c>
      <c r="D11" s="7" t="inlineStr">
        <is>
          <t>S01</t>
        </is>
      </c>
      <c r="E11" s="7" t="inlineStr">
        <is>
          <t>ISO/IEC 42001</t>
        </is>
      </c>
      <c r="F11" s="7" t="inlineStr">
        <is>
          <t>ISO/IEC 42001 - third-party control</t>
        </is>
      </c>
      <c r="G11" s="7" t="inlineStr">
        <is>
          <t>A.10 Third-party and customer relationships</t>
        </is>
      </c>
      <c r="H11" s="7" t="inlineStr">
        <is>
          <t>stated in our own citation</t>
        </is>
      </c>
      <c r="I11" s="7" t="inlineStr">
        <is>
          <t>Adapted</t>
        </is>
      </c>
      <c r="J11" s="10" t="inlineStr">
        <is>
          <t>C</t>
        </is>
      </c>
      <c r="K11" s="7" t="inlineStr">
        <is>
          <t>Current</t>
        </is>
      </c>
      <c r="L11" s="7" t="inlineStr">
        <is>
          <t>Paid — CHF 225; free contents preview</t>
        </is>
      </c>
      <c r="M11" s="11" t="inlineStr"/>
      <c r="N11" s="11" t="inlineStr"/>
      <c r="O11" s="11" t="inlineStr"/>
    </row>
    <row r="12">
      <c r="A12" s="7" t="inlineStr">
        <is>
          <t>D1</t>
        </is>
      </c>
      <c r="B12" s="7" t="inlineStr">
        <is>
          <t>1.4</t>
        </is>
      </c>
      <c r="C12" s="8" t="inlineStr">
        <is>
          <t>AI Sourcing &amp; Partner Strategy</t>
        </is>
      </c>
      <c r="D12" s="7" t="inlineStr">
        <is>
          <t>S12</t>
        </is>
      </c>
      <c r="E12" s="7" t="inlineStr">
        <is>
          <t>AWS CAF-AI</t>
        </is>
      </c>
      <c r="F12" s="7" t="inlineStr">
        <is>
          <t>AWS CAF-AI</t>
        </is>
      </c>
      <c r="G12" s="7" t="inlineStr">
        <is>
          <t>Business perspective</t>
        </is>
      </c>
      <c r="H12" s="7" t="inlineStr">
        <is>
          <t>candidate - unverified</t>
        </is>
      </c>
      <c r="I12" s="7" t="inlineStr">
        <is>
          <t>Corroborating</t>
        </is>
      </c>
      <c r="J12" s="10" t="inlineStr">
        <is>
          <t>C</t>
        </is>
      </c>
      <c r="K12" s="7" t="inlineStr">
        <is>
          <t>Flagged historical by AWS</t>
        </is>
      </c>
      <c r="L12" s="7" t="inlineStr">
        <is>
          <t>Free</t>
        </is>
      </c>
      <c r="M12" s="11" t="inlineStr"/>
      <c r="N12" s="11" t="inlineStr"/>
      <c r="O12" s="11" t="inlineStr"/>
    </row>
    <row r="13">
      <c r="A13" s="7" t="inlineStr">
        <is>
          <t>D1</t>
        </is>
      </c>
      <c r="B13" s="7" t="inlineStr">
        <is>
          <t>1.5</t>
        </is>
      </c>
      <c r="C13" s="8" t="inlineStr">
        <is>
          <t>AI Ecosystem &amp; Alliance Management</t>
        </is>
      </c>
      <c r="D13" s="7" t="inlineStr">
        <is>
          <t>S01</t>
        </is>
      </c>
      <c r="E13" s="7" t="inlineStr">
        <is>
          <t>ISO/IEC 42001</t>
        </is>
      </c>
      <c r="F13" s="7" t="inlineStr">
        <is>
          <t>ISO/IEC 42001 - context and interested parties</t>
        </is>
      </c>
      <c r="G13" s="7" t="inlineStr">
        <is>
          <t>Clause 4 Context of the organization</t>
        </is>
      </c>
      <c r="H13" s="7" t="inlineStr">
        <is>
          <t>stated in our own citation</t>
        </is>
      </c>
      <c r="I13" s="17" t="inlineStr">
        <is>
          <t>Synthesized</t>
        </is>
      </c>
      <c r="J13" s="10" t="inlineStr">
        <is>
          <t>C</t>
        </is>
      </c>
      <c r="K13" s="7" t="inlineStr">
        <is>
          <t>Current</t>
        </is>
      </c>
      <c r="L13" s="7" t="inlineStr">
        <is>
          <t>Paid — CHF 225; free contents preview</t>
        </is>
      </c>
      <c r="M13" s="11" t="inlineStr"/>
      <c r="N13" s="11" t="inlineStr"/>
      <c r="O13" s="11" t="inlineStr"/>
    </row>
    <row r="14">
      <c r="A14" s="7" t="inlineStr">
        <is>
          <t>D1</t>
        </is>
      </c>
      <c r="B14" s="7" t="inlineStr">
        <is>
          <t>1.5</t>
        </is>
      </c>
      <c r="C14" s="8" t="inlineStr">
        <is>
          <t>AI Ecosystem &amp; Alliance Management</t>
        </is>
      </c>
      <c r="D14" s="7" t="inlineStr">
        <is>
          <t>S22</t>
        </is>
      </c>
      <c r="E14" s="7" t="inlineStr">
        <is>
          <t>Open Agile Architecture</t>
        </is>
      </c>
      <c r="F14" s="7" t="inlineStr">
        <is>
          <t>The Open Group Open Agile Architecture</t>
        </is>
      </c>
      <c r="G14" s="7" t="inlineStr">
        <is>
          <t>Part 2 The Agile Enterprise</t>
        </is>
      </c>
      <c r="H14" s="7" t="inlineStr">
        <is>
          <t>candidate - unverified</t>
        </is>
      </c>
      <c r="I14" s="17" t="inlineStr">
        <is>
          <t>Synthesized</t>
        </is>
      </c>
      <c r="J14" s="13" t="inlineStr">
        <is>
          <t>B</t>
        </is>
      </c>
      <c r="K14" s="7" t="inlineStr">
        <is>
          <t>Current</t>
        </is>
      </c>
      <c r="L14" s="7" t="inlineStr">
        <is>
          <t>Free perpetual non-commercial licence; paid commercial</t>
        </is>
      </c>
      <c r="M14" s="11" t="inlineStr"/>
      <c r="N14" s="11" t="inlineStr"/>
      <c r="O14" s="11" t="inlineStr"/>
    </row>
    <row r="15">
      <c r="A15" s="7" t="inlineStr">
        <is>
          <t>D1</t>
        </is>
      </c>
      <c r="B15" s="7" t="inlineStr">
        <is>
          <t>1.5</t>
        </is>
      </c>
      <c r="C15" s="8" t="inlineStr">
        <is>
          <t>AI Ecosystem &amp; Alliance Management</t>
        </is>
      </c>
      <c r="D15" s="7" t="inlineStr">
        <is>
          <t>S36</t>
        </is>
      </c>
      <c r="E15" s="7" t="inlineStr">
        <is>
          <t>IDB institutional practice</t>
        </is>
      </c>
      <c r="F15" s="7" t="inlineStr">
        <is>
          <t>Institutional practice</t>
        </is>
      </c>
      <c r="G15" s="7" t="inlineStr"/>
      <c r="H15" s="17" t="inlineStr">
        <is>
          <t>NOT PINNED</t>
        </is>
      </c>
      <c r="I15" s="7" t="inlineStr">
        <is>
          <t>Institutional</t>
        </is>
      </c>
      <c r="J15" s="16" t="inlineStr">
        <is>
          <t>D</t>
        </is>
      </c>
      <c r="K15" s="7" t="inlineStr">
        <is>
          <t>Needs a named internal document</t>
        </is>
      </c>
      <c r="L15" s="7" t="inlineStr">
        <is>
          <t>Internal</t>
        </is>
      </c>
      <c r="M15" s="11" t="inlineStr"/>
      <c r="N15" s="11" t="inlineStr"/>
      <c r="O15" s="11" t="inlineStr"/>
    </row>
    <row r="16">
      <c r="A16" s="7" t="inlineStr">
        <is>
          <t>D2</t>
        </is>
      </c>
      <c r="B16" s="7" t="inlineStr">
        <is>
          <t>2.1</t>
        </is>
      </c>
      <c r="C16" s="8" t="inlineStr">
        <is>
          <t>Use Case Discovery &amp; Intake</t>
        </is>
      </c>
      <c r="D16" s="7" t="inlineStr">
        <is>
          <t>S12</t>
        </is>
      </c>
      <c r="E16" s="7" t="inlineStr">
        <is>
          <t>AWS CAF-AI</t>
        </is>
      </c>
      <c r="F16" s="7" t="inlineStr">
        <is>
          <t>AWS CAF-AI</t>
        </is>
      </c>
      <c r="G16" s="7" t="inlineStr">
        <is>
          <t>Business perspective</t>
        </is>
      </c>
      <c r="H16" s="7" t="inlineStr">
        <is>
          <t>candidate - unverified</t>
        </is>
      </c>
      <c r="I16" s="7" t="inlineStr">
        <is>
          <t>Adapted</t>
        </is>
      </c>
      <c r="J16" s="10" t="inlineStr">
        <is>
          <t>C</t>
        </is>
      </c>
      <c r="K16" s="7" t="inlineStr">
        <is>
          <t>Flagged historical by AWS</t>
        </is>
      </c>
      <c r="L16" s="7" t="inlineStr">
        <is>
          <t>Free</t>
        </is>
      </c>
      <c r="M16" s="11" t="inlineStr"/>
      <c r="N16" s="11" t="inlineStr"/>
      <c r="O16" s="11" t="inlineStr"/>
    </row>
    <row r="17">
      <c r="A17" s="7" t="inlineStr">
        <is>
          <t>D2</t>
        </is>
      </c>
      <c r="B17" s="7" t="inlineStr">
        <is>
          <t>2.1</t>
        </is>
      </c>
      <c r="C17" s="8" t="inlineStr">
        <is>
          <t>Use Case Discovery &amp; Intake</t>
        </is>
      </c>
      <c r="D17" s="7" t="inlineStr">
        <is>
          <t>S14</t>
        </is>
      </c>
      <c r="E17" s="7" t="inlineStr">
        <is>
          <t>Google AI Adoption Framework</t>
        </is>
      </c>
      <c r="F17" s="7" t="inlineStr">
        <is>
          <t>Google AI Adoption Framework</t>
        </is>
      </c>
      <c r="G17" s="7" t="inlineStr">
        <is>
          <t>Lead theme</t>
        </is>
      </c>
      <c r="H17" s="7" t="inlineStr">
        <is>
          <t>candidate - unverified</t>
        </is>
      </c>
      <c r="I17" s="7" t="inlineStr">
        <is>
          <t>Corroborating</t>
        </is>
      </c>
      <c r="J17" s="10" t="inlineStr">
        <is>
          <t>C</t>
        </is>
      </c>
      <c r="K17" s="7" t="inlineStr">
        <is>
          <t>Undated, pre-GenAI</t>
        </is>
      </c>
      <c r="L17" s="7" t="inlineStr">
        <is>
          <t>Free</t>
        </is>
      </c>
      <c r="M17" s="11" t="inlineStr"/>
      <c r="N17" s="11" t="inlineStr"/>
      <c r="O17" s="11" t="inlineStr"/>
    </row>
    <row r="18">
      <c r="A18" s="7" t="inlineStr">
        <is>
          <t>D2</t>
        </is>
      </c>
      <c r="B18" s="7" t="inlineStr">
        <is>
          <t>2.2</t>
        </is>
      </c>
      <c r="C18" s="8" t="inlineStr">
        <is>
          <t>AI Use-Case Feasibility &amp; Qualification</t>
        </is>
      </c>
      <c r="D18" s="7" t="inlineStr">
        <is>
          <t>S15</t>
        </is>
      </c>
      <c r="E18" s="7" t="inlineStr">
        <is>
          <t>IBM GenAI Capability Model</t>
        </is>
      </c>
      <c r="F18" s="7" t="inlineStr">
        <is>
          <t>IBM Generative AI Capability Model</t>
        </is>
      </c>
      <c r="G18" s="7" t="inlineStr">
        <is>
          <t>Supporting Capabilities</t>
        </is>
      </c>
      <c r="H18" s="7" t="inlineStr">
        <is>
          <t>candidate - unverified</t>
        </is>
      </c>
      <c r="I18" s="7" t="inlineStr">
        <is>
          <t>Adapted</t>
        </is>
      </c>
      <c r="J18" s="13" t="inlineStr">
        <is>
          <t>B</t>
        </is>
      </c>
      <c r="K18" s="7" t="inlineStr">
        <is>
          <t>Current</t>
        </is>
      </c>
      <c r="L18" s="7" t="inlineStr">
        <is>
          <t>Free</t>
        </is>
      </c>
      <c r="M18" s="11" t="inlineStr"/>
      <c r="N18" s="11" t="inlineStr"/>
      <c r="O18" s="11" t="inlineStr"/>
    </row>
    <row r="19">
      <c r="A19" s="7" t="inlineStr">
        <is>
          <t>D2</t>
        </is>
      </c>
      <c r="B19" s="7" t="inlineStr">
        <is>
          <t>2.2</t>
        </is>
      </c>
      <c r="C19" s="8" t="inlineStr">
        <is>
          <t>AI Use-Case Feasibility &amp; Qualification</t>
        </is>
      </c>
      <c r="D19" s="7" t="inlineStr">
        <is>
          <t>S12</t>
        </is>
      </c>
      <c r="E19" s="7" t="inlineStr">
        <is>
          <t>AWS CAF-AI</t>
        </is>
      </c>
      <c r="F19" s="7" t="inlineStr">
        <is>
          <t>AWS CAF-AI - Business perspective</t>
        </is>
      </c>
      <c r="G19" s="7" t="inlineStr">
        <is>
          <t>Business perspective</t>
        </is>
      </c>
      <c r="H19" s="7" t="inlineStr">
        <is>
          <t>stated in our own citation</t>
        </is>
      </c>
      <c r="I19" s="7" t="inlineStr">
        <is>
          <t>Corroborating</t>
        </is>
      </c>
      <c r="J19" s="10" t="inlineStr">
        <is>
          <t>C</t>
        </is>
      </c>
      <c r="K19" s="7" t="inlineStr">
        <is>
          <t>Flagged historical by AWS</t>
        </is>
      </c>
      <c r="L19" s="7" t="inlineStr">
        <is>
          <t>Free</t>
        </is>
      </c>
      <c r="M19" s="11" t="inlineStr"/>
      <c r="N19" s="11" t="inlineStr"/>
      <c r="O19" s="11" t="inlineStr"/>
    </row>
    <row r="20">
      <c r="A20" s="7" t="inlineStr">
        <is>
          <t>D2</t>
        </is>
      </c>
      <c r="B20" s="7" t="inlineStr">
        <is>
          <t>2.2</t>
        </is>
      </c>
      <c r="C20" s="8" t="inlineStr">
        <is>
          <t>AI Use-Case Feasibility &amp; Qualification</t>
        </is>
      </c>
      <c r="D20" s="7" t="inlineStr">
        <is>
          <t>S20</t>
        </is>
      </c>
      <c r="E20" s="7" t="inlineStr">
        <is>
          <t>TOGAF Standard</t>
        </is>
      </c>
      <c r="F20" s="7" t="inlineStr">
        <is>
          <t>The Open Group TOGAF</t>
        </is>
      </c>
      <c r="G20" s="7" t="inlineStr"/>
      <c r="H20" s="17" t="inlineStr">
        <is>
          <t>NOT PINNED</t>
        </is>
      </c>
      <c r="I20" s="7" t="inlineStr">
        <is>
          <t>Corroborating</t>
        </is>
      </c>
      <c r="J20" s="13" t="inlineStr">
        <is>
          <t>B</t>
        </is>
      </c>
      <c r="K20" s="7" t="inlineStr">
        <is>
          <t>Current</t>
        </is>
      </c>
      <c r="L20" s="7" t="inlineStr">
        <is>
          <t>Free for non-commercial after registration; paid for commercial</t>
        </is>
      </c>
      <c r="M20" s="11" t="inlineStr"/>
      <c r="N20" s="11" t="inlineStr"/>
      <c r="O20" s="11" t="inlineStr"/>
    </row>
    <row r="21">
      <c r="A21" s="7" t="inlineStr">
        <is>
          <t>D2</t>
        </is>
      </c>
      <c r="B21" s="7" t="inlineStr">
        <is>
          <t>2.3</t>
        </is>
      </c>
      <c r="C21" s="8" t="inlineStr">
        <is>
          <t>AI Product Management</t>
        </is>
      </c>
      <c r="D21" s="7" t="inlineStr">
        <is>
          <t>S19</t>
        </is>
      </c>
      <c r="E21" s="7" t="inlineStr">
        <is>
          <t>WEF AI-First Operating System</t>
        </is>
      </c>
      <c r="F21" s="7" t="inlineStr">
        <is>
          <t>WEF AI-First Operating System</t>
        </is>
      </c>
      <c r="G21" s="7" t="inlineStr">
        <is>
          <t>Operations redesign</t>
        </is>
      </c>
      <c r="H21" s="7" t="inlineStr">
        <is>
          <t>candidate - unverified</t>
        </is>
      </c>
      <c r="I21" s="7" t="inlineStr">
        <is>
          <t>Adapted</t>
        </is>
      </c>
      <c r="J21" s="13" t="inlineStr">
        <is>
          <t>B</t>
        </is>
      </c>
      <c r="K21" s="7" t="inlineStr">
        <is>
          <t>Current</t>
        </is>
      </c>
      <c r="L21" s="7" t="inlineStr">
        <is>
          <t>Free</t>
        </is>
      </c>
      <c r="M21" s="11" t="inlineStr"/>
      <c r="N21" s="11" t="inlineStr"/>
      <c r="O21" s="11" t="inlineStr"/>
    </row>
    <row r="22">
      <c r="A22" s="7" t="inlineStr">
        <is>
          <t>D2</t>
        </is>
      </c>
      <c r="B22" s="7" t="inlineStr">
        <is>
          <t>2.3</t>
        </is>
      </c>
      <c r="C22" s="8" t="inlineStr">
        <is>
          <t>AI Product Management</t>
        </is>
      </c>
      <c r="D22" s="7" t="inlineStr">
        <is>
          <t>S23</t>
        </is>
      </c>
      <c r="E22" s="7" t="inlineStr">
        <is>
          <t>IT4IT Standard</t>
        </is>
      </c>
      <c r="F22" s="7" t="inlineStr">
        <is>
          <t>The Open Group IT4IT</t>
        </is>
      </c>
      <c r="G22" s="7" t="inlineStr">
        <is>
          <t>Explore value stream</t>
        </is>
      </c>
      <c r="H22" s="7" t="inlineStr">
        <is>
          <t>candidate - unverified</t>
        </is>
      </c>
      <c r="I22" s="7" t="inlineStr">
        <is>
          <t>Corroborating</t>
        </is>
      </c>
      <c r="J22" s="13" t="inlineStr">
        <is>
          <t>B</t>
        </is>
      </c>
      <c r="K22" s="7" t="inlineStr">
        <is>
          <t>Current</t>
        </is>
      </c>
      <c r="L22" s="7" t="inlineStr">
        <is>
          <t>Free to read</t>
        </is>
      </c>
      <c r="M22" s="11" t="inlineStr"/>
      <c r="N22" s="11" t="inlineStr"/>
      <c r="O22" s="11" t="inlineStr"/>
    </row>
    <row r="23">
      <c r="A23" s="7" t="inlineStr">
        <is>
          <t>D2</t>
        </is>
      </c>
      <c r="B23" s="7" t="inlineStr">
        <is>
          <t>2.3</t>
        </is>
      </c>
      <c r="C23" s="8" t="inlineStr">
        <is>
          <t>AI Product Management</t>
        </is>
      </c>
      <c r="D23" s="7" t="inlineStr">
        <is>
          <t>S22</t>
        </is>
      </c>
      <c r="E23" s="7" t="inlineStr">
        <is>
          <t>Open Agile Architecture</t>
        </is>
      </c>
      <c r="F23" s="7" t="inlineStr">
        <is>
          <t>The Open Group Open Agile Architecture</t>
        </is>
      </c>
      <c r="G23" s="7" t="inlineStr">
        <is>
          <t>Part 2 The Agile Enterprise</t>
        </is>
      </c>
      <c r="H23" s="7" t="inlineStr">
        <is>
          <t>candidate - unverified</t>
        </is>
      </c>
      <c r="I23" s="7" t="inlineStr">
        <is>
          <t>Corroborating</t>
        </is>
      </c>
      <c r="J23" s="13" t="inlineStr">
        <is>
          <t>B</t>
        </is>
      </c>
      <c r="K23" s="7" t="inlineStr">
        <is>
          <t>Current</t>
        </is>
      </c>
      <c r="L23" s="7" t="inlineStr">
        <is>
          <t>Free perpetual non-commercial licence; paid commercial</t>
        </is>
      </c>
      <c r="M23" s="11" t="inlineStr"/>
      <c r="N23" s="11" t="inlineStr"/>
      <c r="O23" s="11" t="inlineStr"/>
    </row>
    <row r="24">
      <c r="A24" s="7" t="inlineStr">
        <is>
          <t>D2</t>
        </is>
      </c>
      <c r="B24" s="7" t="inlineStr">
        <is>
          <t>2.4</t>
        </is>
      </c>
      <c r="C24" s="8" t="inlineStr">
        <is>
          <t>Business Process &amp; Service Redesign</t>
        </is>
      </c>
      <c r="D24" s="7" t="inlineStr">
        <is>
          <t>S19</t>
        </is>
      </c>
      <c r="E24" s="7" t="inlineStr">
        <is>
          <t>WEF AI-First Operating System</t>
        </is>
      </c>
      <c r="F24" s="7" t="inlineStr">
        <is>
          <t>WEF AI-First Operating System</t>
        </is>
      </c>
      <c r="G24" s="7" t="inlineStr">
        <is>
          <t>Operations redesign</t>
        </is>
      </c>
      <c r="H24" s="7" t="inlineStr">
        <is>
          <t>candidate - unverified</t>
        </is>
      </c>
      <c r="I24" s="7" t="inlineStr">
        <is>
          <t>Adapted</t>
        </is>
      </c>
      <c r="J24" s="13" t="inlineStr">
        <is>
          <t>B</t>
        </is>
      </c>
      <c r="K24" s="7" t="inlineStr">
        <is>
          <t>Current</t>
        </is>
      </c>
      <c r="L24" s="7" t="inlineStr">
        <is>
          <t>Free</t>
        </is>
      </c>
      <c r="M24" s="11" t="inlineStr"/>
      <c r="N24" s="11" t="inlineStr"/>
      <c r="O24" s="11" t="inlineStr"/>
    </row>
    <row r="25">
      <c r="A25" s="7" t="inlineStr">
        <is>
          <t>D2</t>
        </is>
      </c>
      <c r="B25" s="7" t="inlineStr">
        <is>
          <t>2.4</t>
        </is>
      </c>
      <c r="C25" s="8" t="inlineStr">
        <is>
          <t>Business Process &amp; Service Redesign</t>
        </is>
      </c>
      <c r="D25" s="7" t="inlineStr">
        <is>
          <t>S35</t>
        </is>
      </c>
      <c r="E25" s="7" t="inlineStr">
        <is>
          <t>Consultancy transformation patterns</t>
        </is>
      </c>
      <c r="F25" s="7" t="inlineStr">
        <is>
          <t>Consultancy transformation patterns (non-public)</t>
        </is>
      </c>
      <c r="G25" s="7" t="inlineStr"/>
      <c r="H25" s="17" t="inlineStr">
        <is>
          <t>NOT PINNED</t>
        </is>
      </c>
      <c r="I25" s="15" t="inlineStr">
        <is>
          <t>Unsupported</t>
        </is>
      </c>
      <c r="J25" s="16" t="inlineStr">
        <is>
          <t>D</t>
        </is>
      </c>
      <c r="K25" s="7" t="inlineStr">
        <is>
          <t>Not a publication</t>
        </is>
      </c>
      <c r="L25" s="7" t="inlineStr">
        <is>
          <t>Non-public</t>
        </is>
      </c>
      <c r="M25" s="11" t="inlineStr"/>
      <c r="N25" s="11" t="inlineStr"/>
      <c r="O25" s="11" t="inlineStr"/>
    </row>
    <row r="26">
      <c r="A26" s="7" t="inlineStr">
        <is>
          <t>D2</t>
        </is>
      </c>
      <c r="B26" s="7" t="inlineStr">
        <is>
          <t>2.4</t>
        </is>
      </c>
      <c r="C26" s="8" t="inlineStr">
        <is>
          <t>Business Process &amp; Service Redesign</t>
        </is>
      </c>
      <c r="D26" s="7" t="inlineStr">
        <is>
          <t>S22</t>
        </is>
      </c>
      <c r="E26" s="7" t="inlineStr">
        <is>
          <t>Open Agile Architecture</t>
        </is>
      </c>
      <c r="F26" s="7" t="inlineStr">
        <is>
          <t>The Open Group Open Agile Architecture</t>
        </is>
      </c>
      <c r="G26" s="7" t="inlineStr">
        <is>
          <t>Part 2 The Agile Enterprise</t>
        </is>
      </c>
      <c r="H26" s="7" t="inlineStr">
        <is>
          <t>candidate - unverified</t>
        </is>
      </c>
      <c r="I26" s="7" t="inlineStr">
        <is>
          <t>Corroborating</t>
        </is>
      </c>
      <c r="J26" s="13" t="inlineStr">
        <is>
          <t>B</t>
        </is>
      </c>
      <c r="K26" s="7" t="inlineStr">
        <is>
          <t>Current</t>
        </is>
      </c>
      <c r="L26" s="7" t="inlineStr">
        <is>
          <t>Free perpetual non-commercial licence; paid commercial</t>
        </is>
      </c>
      <c r="M26" s="11" t="inlineStr"/>
      <c r="N26" s="11" t="inlineStr"/>
      <c r="O26" s="11" t="inlineStr"/>
    </row>
    <row r="27">
      <c r="A27" s="7" t="inlineStr">
        <is>
          <t>D2</t>
        </is>
      </c>
      <c r="B27" s="7" t="inlineStr">
        <is>
          <t>2.5</t>
        </is>
      </c>
      <c r="C27" s="8" t="inlineStr">
        <is>
          <t>Human-AI Interaction &amp; Oversight Design</t>
        </is>
      </c>
      <c r="D27" s="7" t="inlineStr">
        <is>
          <t>S31</t>
        </is>
      </c>
      <c r="E27" s="7" t="inlineStr">
        <is>
          <t>IMDA Model AI Governance Framework</t>
        </is>
      </c>
      <c r="F27" s="7" t="inlineStr">
        <is>
          <t>IMDA Model AI Governance Framework</t>
        </is>
      </c>
      <c r="G27" s="7" t="inlineStr">
        <is>
          <t>Trusted Development and Deployment</t>
        </is>
      </c>
      <c r="H27" s="7" t="inlineStr">
        <is>
          <t>candidate - unverified</t>
        </is>
      </c>
      <c r="I27" s="17" t="inlineStr">
        <is>
          <t>Synthesized</t>
        </is>
      </c>
      <c r="J27" s="12" t="inlineStr">
        <is>
          <t>A</t>
        </is>
      </c>
      <c r="K27" s="7" t="inlineStr">
        <is>
          <t>Current — but our citation was ambiguous</t>
        </is>
      </c>
      <c r="L27" s="7" t="inlineStr">
        <is>
          <t>Free</t>
        </is>
      </c>
      <c r="M27" s="11" t="inlineStr"/>
      <c r="N27" s="11" t="inlineStr"/>
      <c r="O27" s="11" t="inlineStr"/>
    </row>
    <row r="28">
      <c r="A28" s="7" t="inlineStr">
        <is>
          <t>D2</t>
        </is>
      </c>
      <c r="B28" s="7" t="inlineStr">
        <is>
          <t>2.5</t>
        </is>
      </c>
      <c r="C28" s="8" t="inlineStr">
        <is>
          <t>Human-AI Interaction &amp; Oversight Design</t>
        </is>
      </c>
      <c r="D28" s="7" t="inlineStr">
        <is>
          <t>S01</t>
        </is>
      </c>
      <c r="E28" s="7" t="inlineStr">
        <is>
          <t>ISO/IEC 42001</t>
        </is>
      </c>
      <c r="F28" s="7" t="inlineStr">
        <is>
          <t>ISO/IEC 42001</t>
        </is>
      </c>
      <c r="G28" s="7" t="inlineStr">
        <is>
          <t>A.6 AI system life cycle</t>
        </is>
      </c>
      <c r="H28" s="7" t="inlineStr">
        <is>
          <t>candidate - unverified</t>
        </is>
      </c>
      <c r="I28" s="17" t="inlineStr">
        <is>
          <t>Synthesized</t>
        </is>
      </c>
      <c r="J28" s="10" t="inlineStr">
        <is>
          <t>C</t>
        </is>
      </c>
      <c r="K28" s="7" t="inlineStr">
        <is>
          <t>Current</t>
        </is>
      </c>
      <c r="L28" s="7" t="inlineStr">
        <is>
          <t>Paid — CHF 225; free contents preview</t>
        </is>
      </c>
      <c r="M28" s="11" t="inlineStr"/>
      <c r="N28" s="11" t="inlineStr"/>
      <c r="O28" s="11" t="inlineStr"/>
    </row>
    <row r="29">
      <c r="A29" s="7" t="inlineStr">
        <is>
          <t>D2</t>
        </is>
      </c>
      <c r="B29" s="7" t="inlineStr">
        <is>
          <t>2.6</t>
        </is>
      </c>
      <c r="C29" s="8" t="inlineStr">
        <is>
          <t>AI Innovation &amp; Incubation</t>
        </is>
      </c>
      <c r="D29" s="7" t="inlineStr">
        <is>
          <t>S14</t>
        </is>
      </c>
      <c r="E29" s="7" t="inlineStr">
        <is>
          <t>Google AI Adoption Framework</t>
        </is>
      </c>
      <c r="F29" s="7" t="inlineStr">
        <is>
          <t>Google AI Adoption Framework</t>
        </is>
      </c>
      <c r="G29" s="7" t="inlineStr">
        <is>
          <t>Lead theme</t>
        </is>
      </c>
      <c r="H29" s="7" t="inlineStr">
        <is>
          <t>candidate - unverified</t>
        </is>
      </c>
      <c r="I29" s="17" t="inlineStr">
        <is>
          <t>Synthesized</t>
        </is>
      </c>
      <c r="J29" s="10" t="inlineStr">
        <is>
          <t>C</t>
        </is>
      </c>
      <c r="K29" s="7" t="inlineStr">
        <is>
          <t>Undated, pre-GenAI</t>
        </is>
      </c>
      <c r="L29" s="7" t="inlineStr">
        <is>
          <t>Free</t>
        </is>
      </c>
      <c r="M29" s="11" t="inlineStr"/>
      <c r="N29" s="11" t="inlineStr"/>
      <c r="O29" s="11" t="inlineStr"/>
    </row>
    <row r="30">
      <c r="A30" s="7" t="inlineStr">
        <is>
          <t>D2</t>
        </is>
      </c>
      <c r="B30" s="7" t="inlineStr">
        <is>
          <t>2.6</t>
        </is>
      </c>
      <c r="C30" s="8" t="inlineStr">
        <is>
          <t>AI Innovation &amp; Incubation</t>
        </is>
      </c>
      <c r="D30" s="7" t="inlineStr">
        <is>
          <t>S12</t>
        </is>
      </c>
      <c r="E30" s="7" t="inlineStr">
        <is>
          <t>AWS CAF-AI</t>
        </is>
      </c>
      <c r="F30" s="7" t="inlineStr">
        <is>
          <t>AWS CAF-AI</t>
        </is>
      </c>
      <c r="G30" s="7" t="inlineStr">
        <is>
          <t>Business perspective</t>
        </is>
      </c>
      <c r="H30" s="7" t="inlineStr">
        <is>
          <t>candidate - unverified</t>
        </is>
      </c>
      <c r="I30" s="17" t="inlineStr">
        <is>
          <t>Synthesized</t>
        </is>
      </c>
      <c r="J30" s="10" t="inlineStr">
        <is>
          <t>C</t>
        </is>
      </c>
      <c r="K30" s="7" t="inlineStr">
        <is>
          <t>Flagged historical by AWS</t>
        </is>
      </c>
      <c r="L30" s="7" t="inlineStr">
        <is>
          <t>Free</t>
        </is>
      </c>
      <c r="M30" s="11" t="inlineStr"/>
      <c r="N30" s="11" t="inlineStr"/>
      <c r="O30" s="11" t="inlineStr"/>
    </row>
    <row r="31">
      <c r="A31" s="7" t="inlineStr">
        <is>
          <t>D2</t>
        </is>
      </c>
      <c r="B31" s="7" t="inlineStr">
        <is>
          <t>2.6</t>
        </is>
      </c>
      <c r="C31" s="8" t="inlineStr">
        <is>
          <t>AI Innovation &amp; Incubation</t>
        </is>
      </c>
      <c r="D31" s="7" t="inlineStr">
        <is>
          <t>S36</t>
        </is>
      </c>
      <c r="E31" s="7" t="inlineStr">
        <is>
          <t>IDB institutional practice</t>
        </is>
      </c>
      <c r="F31" s="7" t="inlineStr">
        <is>
          <t>Institutional practice</t>
        </is>
      </c>
      <c r="G31" s="7" t="inlineStr"/>
      <c r="H31" s="17" t="inlineStr">
        <is>
          <t>NOT PINNED</t>
        </is>
      </c>
      <c r="I31" s="7" t="inlineStr">
        <is>
          <t>Institutional</t>
        </is>
      </c>
      <c r="J31" s="16" t="inlineStr">
        <is>
          <t>D</t>
        </is>
      </c>
      <c r="K31" s="7" t="inlineStr">
        <is>
          <t>Needs a named internal document</t>
        </is>
      </c>
      <c r="L31" s="7" t="inlineStr">
        <is>
          <t>Internal</t>
        </is>
      </c>
      <c r="M31" s="11" t="inlineStr"/>
      <c r="N31" s="11" t="inlineStr"/>
      <c r="O31" s="11" t="inlineStr"/>
    </row>
    <row r="32">
      <c r="A32" s="7" t="inlineStr">
        <is>
          <t>D3</t>
        </is>
      </c>
      <c r="B32" s="7" t="inlineStr">
        <is>
          <t>3.1</t>
        </is>
      </c>
      <c r="C32" s="8" t="inlineStr">
        <is>
          <t>Data Governance &amp; Stewardship for AI</t>
        </is>
      </c>
      <c r="D32" s="7" t="inlineStr">
        <is>
          <t>S25</t>
        </is>
      </c>
      <c r="E32" s="7" t="inlineStr">
        <is>
          <t>EDM Council DCAM</t>
        </is>
      </c>
      <c r="F32" s="7" t="inlineStr">
        <is>
          <t>EDM Council DCAM/ADAC</t>
        </is>
      </c>
      <c r="G32" s="7" t="inlineStr">
        <is>
          <t>Data Quality Management; Govern Data &amp; Data Management Program</t>
        </is>
      </c>
      <c r="H32" s="7" t="inlineStr">
        <is>
          <t>candidate - unverified</t>
        </is>
      </c>
      <c r="I32" s="7" t="inlineStr">
        <is>
          <t>Adapted</t>
        </is>
      </c>
      <c r="J32" s="10" t="inlineStr">
        <is>
          <t>C</t>
        </is>
      </c>
      <c r="K32" s="7" t="inlineStr">
        <is>
          <t>Current but members-only</t>
        </is>
      </c>
      <c r="L32" s="7" t="inlineStr">
        <is>
          <t>Members only</t>
        </is>
      </c>
      <c r="M32" s="11" t="inlineStr"/>
      <c r="N32" s="11" t="inlineStr"/>
      <c r="O32" s="11" t="inlineStr"/>
    </row>
    <row r="33">
      <c r="A33" s="7" t="inlineStr">
        <is>
          <t>D3</t>
        </is>
      </c>
      <c r="B33" s="7" t="inlineStr">
        <is>
          <t>3.1</t>
        </is>
      </c>
      <c r="C33" s="8" t="inlineStr">
        <is>
          <t>Data Governance &amp; Stewardship for AI</t>
        </is>
      </c>
      <c r="D33" s="7" t="inlineStr">
        <is>
          <t>S26</t>
        </is>
      </c>
      <c r="E33" s="7" t="inlineStr">
        <is>
          <t>EDM Council ADAC</t>
        </is>
      </c>
      <c r="F33" s="7" t="inlineStr">
        <is>
          <t>EDM Council DCAM/ADAC  (second artifact named in the same string)</t>
        </is>
      </c>
      <c r="G33" s="7" t="inlineStr"/>
      <c r="H33" s="17" t="inlineStr">
        <is>
          <t>NOT PINNED</t>
        </is>
      </c>
      <c r="I33" s="15" t="inlineStr">
        <is>
          <t>Unsupported</t>
        </is>
      </c>
      <c r="J33" s="16" t="inlineStr">
        <is>
          <t>D</t>
        </is>
      </c>
      <c r="K33" s="7" t="inlineStr">
        <is>
          <t>Not a publication</t>
        </is>
      </c>
      <c r="L33" s="7" t="inlineStr">
        <is>
          <t>n/a</t>
        </is>
      </c>
      <c r="M33" s="11" t="inlineStr"/>
      <c r="N33" s="11" t="inlineStr"/>
      <c r="O33" s="11" t="inlineStr"/>
    </row>
    <row r="34">
      <c r="A34" s="7" t="inlineStr">
        <is>
          <t>D3</t>
        </is>
      </c>
      <c r="B34" s="7" t="inlineStr">
        <is>
          <t>3.1</t>
        </is>
      </c>
      <c r="C34" s="8" t="inlineStr">
        <is>
          <t>Data Governance &amp; Stewardship for AI</t>
        </is>
      </c>
      <c r="D34" s="7" t="inlineStr">
        <is>
          <t>S01</t>
        </is>
      </c>
      <c r="E34" s="7" t="inlineStr">
        <is>
          <t>ISO/IEC 42001</t>
        </is>
      </c>
      <c r="F34" s="7" t="inlineStr">
        <is>
          <t>ISO/IEC 42001</t>
        </is>
      </c>
      <c r="G34" s="7" t="inlineStr">
        <is>
          <t>A.7 Data for AI systems</t>
        </is>
      </c>
      <c r="H34" s="7" t="inlineStr">
        <is>
          <t>candidate - unverified</t>
        </is>
      </c>
      <c r="I34" s="7" t="inlineStr">
        <is>
          <t>Corroborating</t>
        </is>
      </c>
      <c r="J34" s="10" t="inlineStr">
        <is>
          <t>C</t>
        </is>
      </c>
      <c r="K34" s="7" t="inlineStr">
        <is>
          <t>Current</t>
        </is>
      </c>
      <c r="L34" s="7" t="inlineStr">
        <is>
          <t>Paid — CHF 225; free contents preview</t>
        </is>
      </c>
      <c r="M34" s="11" t="inlineStr"/>
      <c r="N34" s="11" t="inlineStr"/>
      <c r="O34" s="11" t="inlineStr"/>
    </row>
    <row r="35">
      <c r="A35" s="7" t="inlineStr">
        <is>
          <t>D3</t>
        </is>
      </c>
      <c r="B35" s="7" t="inlineStr">
        <is>
          <t>3.2</t>
        </is>
      </c>
      <c r="C35" s="8" t="inlineStr">
        <is>
          <t>Data Sourcing, Licensing &amp; Provenance</t>
        </is>
      </c>
      <c r="D35" s="7" t="inlineStr">
        <is>
          <t>S08</t>
        </is>
      </c>
      <c r="E35" s="7" t="inlineStr">
        <is>
          <t>NIST AI RMF</t>
        </is>
      </c>
      <c r="F35" s="7" t="inlineStr">
        <is>
          <t>NIST AI RMF - Map</t>
        </is>
      </c>
      <c r="G35" s="7" t="inlineStr">
        <is>
          <t>MAP</t>
        </is>
      </c>
      <c r="H35" s="7" t="inlineStr">
        <is>
          <t>stated in our own citation</t>
        </is>
      </c>
      <c r="I35" s="7" t="inlineStr">
        <is>
          <t>Adapted</t>
        </is>
      </c>
      <c r="J35" s="12" t="inlineStr">
        <is>
          <t>A</t>
        </is>
      </c>
      <c r="K35" s="7" t="inlineStr">
        <is>
          <t>Current</t>
        </is>
      </c>
      <c r="L35" s="7" t="inlineStr">
        <is>
          <t>Free — no registration</t>
        </is>
      </c>
      <c r="M35" s="11" t="inlineStr"/>
      <c r="N35" s="11" t="inlineStr"/>
      <c r="O35" s="11" t="inlineStr"/>
    </row>
    <row r="36">
      <c r="A36" s="7" t="inlineStr">
        <is>
          <t>D3</t>
        </is>
      </c>
      <c r="B36" s="7" t="inlineStr">
        <is>
          <t>3.2</t>
        </is>
      </c>
      <c r="C36" s="8" t="inlineStr">
        <is>
          <t>Data Sourcing, Licensing &amp; Provenance</t>
        </is>
      </c>
      <c r="D36" s="7" t="inlineStr">
        <is>
          <t>S25</t>
        </is>
      </c>
      <c r="E36" s="7" t="inlineStr">
        <is>
          <t>EDM Council DCAM</t>
        </is>
      </c>
      <c r="F36" s="7" t="inlineStr">
        <is>
          <t>EDM Council DCAM/ADAC</t>
        </is>
      </c>
      <c r="G36" s="7" t="inlineStr">
        <is>
          <t>Data Quality Management; Govern Data &amp; Data Management Program</t>
        </is>
      </c>
      <c r="H36" s="7" t="inlineStr">
        <is>
          <t>candidate - unverified</t>
        </is>
      </c>
      <c r="I36" s="7" t="inlineStr">
        <is>
          <t>Corroborating</t>
        </is>
      </c>
      <c r="J36" s="10" t="inlineStr">
        <is>
          <t>C</t>
        </is>
      </c>
      <c r="K36" s="7" t="inlineStr">
        <is>
          <t>Current but members-only</t>
        </is>
      </c>
      <c r="L36" s="7" t="inlineStr">
        <is>
          <t>Members only</t>
        </is>
      </c>
      <c r="M36" s="11" t="inlineStr"/>
      <c r="N36" s="11" t="inlineStr"/>
      <c r="O36" s="11" t="inlineStr"/>
    </row>
    <row r="37">
      <c r="A37" s="7" t="inlineStr">
        <is>
          <t>D3</t>
        </is>
      </c>
      <c r="B37" s="7" t="inlineStr">
        <is>
          <t>3.2</t>
        </is>
      </c>
      <c r="C37" s="8" t="inlineStr">
        <is>
          <t>Data Sourcing, Licensing &amp; Provenance</t>
        </is>
      </c>
      <c r="D37" s="7" t="inlineStr">
        <is>
          <t>S26</t>
        </is>
      </c>
      <c r="E37" s="7" t="inlineStr">
        <is>
          <t>EDM Council ADAC</t>
        </is>
      </c>
      <c r="F37" s="7" t="inlineStr">
        <is>
          <t>EDM Council DCAM/ADAC  (second artifact named in the same string)</t>
        </is>
      </c>
      <c r="G37" s="7" t="inlineStr"/>
      <c r="H37" s="17" t="inlineStr">
        <is>
          <t>NOT PINNED</t>
        </is>
      </c>
      <c r="I37" s="15" t="inlineStr">
        <is>
          <t>Unsupported</t>
        </is>
      </c>
      <c r="J37" s="16" t="inlineStr">
        <is>
          <t>D</t>
        </is>
      </c>
      <c r="K37" s="7" t="inlineStr">
        <is>
          <t>Not a publication</t>
        </is>
      </c>
      <c r="L37" s="7" t="inlineStr">
        <is>
          <t>n/a</t>
        </is>
      </c>
      <c r="M37" s="11" t="inlineStr"/>
      <c r="N37" s="11" t="inlineStr"/>
      <c r="O37" s="11" t="inlineStr"/>
    </row>
    <row r="38">
      <c r="A38" s="7" t="inlineStr">
        <is>
          <t>D3</t>
        </is>
      </c>
      <c r="B38" s="7" t="inlineStr">
        <is>
          <t>3.3</t>
        </is>
      </c>
      <c r="C38" s="8" t="inlineStr">
        <is>
          <t>Data Quality &amp; Preparation for AI</t>
        </is>
      </c>
      <c r="D38" s="7" t="inlineStr">
        <is>
          <t>S02</t>
        </is>
      </c>
      <c r="E38" s="7" t="inlineStr">
        <is>
          <t>ISO/IEC 5338</t>
        </is>
      </c>
      <c r="F38" s="7" t="inlineStr">
        <is>
          <t>ISO/IEC 5338</t>
        </is>
      </c>
      <c r="G38" s="7" t="inlineStr">
        <is>
          <t>6.4.8 AI data engineering</t>
        </is>
      </c>
      <c r="H38" s="7" t="inlineStr">
        <is>
          <t>candidate - unverified</t>
        </is>
      </c>
      <c r="I38" s="7" t="inlineStr">
        <is>
          <t>Adapted</t>
        </is>
      </c>
      <c r="J38" s="10" t="inlineStr">
        <is>
          <t>C</t>
        </is>
      </c>
      <c r="K38" s="7" t="inlineStr">
        <is>
          <t>Current</t>
        </is>
      </c>
      <c r="L38" s="7" t="inlineStr">
        <is>
          <t>Paid</t>
        </is>
      </c>
      <c r="M38" s="11" t="inlineStr"/>
      <c r="N38" s="11" t="inlineStr"/>
      <c r="O38" s="11" t="inlineStr"/>
    </row>
    <row r="39">
      <c r="A39" s="7" t="inlineStr">
        <is>
          <t>D3</t>
        </is>
      </c>
      <c r="B39" s="7" t="inlineStr">
        <is>
          <t>3.3</t>
        </is>
      </c>
      <c r="C39" s="8" t="inlineStr">
        <is>
          <t>Data Quality &amp; Preparation for AI</t>
        </is>
      </c>
      <c r="D39" s="7" t="inlineStr">
        <is>
          <t>S25</t>
        </is>
      </c>
      <c r="E39" s="7" t="inlineStr">
        <is>
          <t>EDM Council DCAM</t>
        </is>
      </c>
      <c r="F39" s="7" t="inlineStr">
        <is>
          <t>EDM Council DCAM/ADAC</t>
        </is>
      </c>
      <c r="G39" s="7" t="inlineStr">
        <is>
          <t>Data Quality Management; Govern Data &amp; Data Management Program</t>
        </is>
      </c>
      <c r="H39" s="7" t="inlineStr">
        <is>
          <t>candidate - unverified</t>
        </is>
      </c>
      <c r="I39" s="7" t="inlineStr">
        <is>
          <t>Corroborating</t>
        </is>
      </c>
      <c r="J39" s="10" t="inlineStr">
        <is>
          <t>C</t>
        </is>
      </c>
      <c r="K39" s="7" t="inlineStr">
        <is>
          <t>Current but members-only</t>
        </is>
      </c>
      <c r="L39" s="7" t="inlineStr">
        <is>
          <t>Members only</t>
        </is>
      </c>
      <c r="M39" s="11" t="inlineStr"/>
      <c r="N39" s="11" t="inlineStr"/>
      <c r="O39" s="11" t="inlineStr"/>
    </row>
    <row r="40">
      <c r="A40" s="7" t="inlineStr">
        <is>
          <t>D3</t>
        </is>
      </c>
      <c r="B40" s="7" t="inlineStr">
        <is>
          <t>3.3</t>
        </is>
      </c>
      <c r="C40" s="8" t="inlineStr">
        <is>
          <t>Data Quality &amp; Preparation for AI</t>
        </is>
      </c>
      <c r="D40" s="7" t="inlineStr">
        <is>
          <t>S26</t>
        </is>
      </c>
      <c r="E40" s="7" t="inlineStr">
        <is>
          <t>EDM Council ADAC</t>
        </is>
      </c>
      <c r="F40" s="7" t="inlineStr">
        <is>
          <t>EDM Council DCAM/ADAC  (second artifact named in the same string)</t>
        </is>
      </c>
      <c r="G40" s="7" t="inlineStr"/>
      <c r="H40" s="17" t="inlineStr">
        <is>
          <t>NOT PINNED</t>
        </is>
      </c>
      <c r="I40" s="15" t="inlineStr">
        <is>
          <t>Unsupported</t>
        </is>
      </c>
      <c r="J40" s="16" t="inlineStr">
        <is>
          <t>D</t>
        </is>
      </c>
      <c r="K40" s="7" t="inlineStr">
        <is>
          <t>Not a publication</t>
        </is>
      </c>
      <c r="L40" s="7" t="inlineStr">
        <is>
          <t>n/a</t>
        </is>
      </c>
      <c r="M40" s="11" t="inlineStr"/>
      <c r="N40" s="11" t="inlineStr"/>
      <c r="O40" s="11" t="inlineStr"/>
    </row>
    <row r="41">
      <c r="A41" s="7" t="inlineStr">
        <is>
          <t>D3</t>
        </is>
      </c>
      <c r="B41" s="7" t="inlineStr">
        <is>
          <t>3.4</t>
        </is>
      </c>
      <c r="C41" s="8" t="inlineStr">
        <is>
          <t>Metadata, Lineage &amp; Cataloging for AI</t>
        </is>
      </c>
      <c r="D41" s="7" t="inlineStr">
        <is>
          <t>S25</t>
        </is>
      </c>
      <c r="E41" s="7" t="inlineStr">
        <is>
          <t>EDM Council DCAM</t>
        </is>
      </c>
      <c r="F41" s="7" t="inlineStr">
        <is>
          <t>EDM Council DCAM/ADAC</t>
        </is>
      </c>
      <c r="G41" s="7" t="inlineStr">
        <is>
          <t>Data Quality Management; Govern Data &amp; Data Management Program</t>
        </is>
      </c>
      <c r="H41" s="7" t="inlineStr">
        <is>
          <t>candidate - unverified</t>
        </is>
      </c>
      <c r="I41" s="7" t="inlineStr">
        <is>
          <t>Adapted</t>
        </is>
      </c>
      <c r="J41" s="10" t="inlineStr">
        <is>
          <t>C</t>
        </is>
      </c>
      <c r="K41" s="7" t="inlineStr">
        <is>
          <t>Current but members-only</t>
        </is>
      </c>
      <c r="L41" s="7" t="inlineStr">
        <is>
          <t>Members only</t>
        </is>
      </c>
      <c r="M41" s="11" t="inlineStr"/>
      <c r="N41" s="11" t="inlineStr"/>
      <c r="O41" s="11" t="inlineStr"/>
    </row>
    <row r="42">
      <c r="A42" s="7" t="inlineStr">
        <is>
          <t>D3</t>
        </is>
      </c>
      <c r="B42" s="7" t="inlineStr">
        <is>
          <t>3.4</t>
        </is>
      </c>
      <c r="C42" s="8" t="inlineStr">
        <is>
          <t>Metadata, Lineage &amp; Cataloging for AI</t>
        </is>
      </c>
      <c r="D42" s="7" t="inlineStr">
        <is>
          <t>S26</t>
        </is>
      </c>
      <c r="E42" s="7" t="inlineStr">
        <is>
          <t>EDM Council ADAC</t>
        </is>
      </c>
      <c r="F42" s="7" t="inlineStr">
        <is>
          <t>EDM Council DCAM/ADAC  (second artifact named in the same string)</t>
        </is>
      </c>
      <c r="G42" s="7" t="inlineStr"/>
      <c r="H42" s="17" t="inlineStr">
        <is>
          <t>NOT PINNED</t>
        </is>
      </c>
      <c r="I42" s="15" t="inlineStr">
        <is>
          <t>Unsupported</t>
        </is>
      </c>
      <c r="J42" s="16" t="inlineStr">
        <is>
          <t>D</t>
        </is>
      </c>
      <c r="K42" s="7" t="inlineStr">
        <is>
          <t>Not a publication</t>
        </is>
      </c>
      <c r="L42" s="7" t="inlineStr">
        <is>
          <t>n/a</t>
        </is>
      </c>
      <c r="M42" s="11" t="inlineStr"/>
      <c r="N42" s="11" t="inlineStr"/>
      <c r="O42" s="11" t="inlineStr"/>
    </row>
    <row r="43">
      <c r="A43" s="7" t="inlineStr">
        <is>
          <t>D3</t>
        </is>
      </c>
      <c r="B43" s="7" t="inlineStr">
        <is>
          <t>3.4</t>
        </is>
      </c>
      <c r="C43" s="8" t="inlineStr">
        <is>
          <t>Metadata, Lineage &amp; Cataloging for AI</t>
        </is>
      </c>
      <c r="D43" s="7" t="inlineStr">
        <is>
          <t>S02</t>
        </is>
      </c>
      <c r="E43" s="7" t="inlineStr">
        <is>
          <t>ISO/IEC 5338</t>
        </is>
      </c>
      <c r="F43" s="7" t="inlineStr">
        <is>
          <t>ISO/IEC 5338</t>
        </is>
      </c>
      <c r="G43" s="7" t="inlineStr">
        <is>
          <t>6.4.8 AI data engineering</t>
        </is>
      </c>
      <c r="H43" s="7" t="inlineStr">
        <is>
          <t>candidate - unverified</t>
        </is>
      </c>
      <c r="I43" s="7" t="inlineStr">
        <is>
          <t>Corroborating</t>
        </is>
      </c>
      <c r="J43" s="10" t="inlineStr">
        <is>
          <t>C</t>
        </is>
      </c>
      <c r="K43" s="7" t="inlineStr">
        <is>
          <t>Current</t>
        </is>
      </c>
      <c r="L43" s="7" t="inlineStr">
        <is>
          <t>Paid</t>
        </is>
      </c>
      <c r="M43" s="11" t="inlineStr"/>
      <c r="N43" s="11" t="inlineStr"/>
      <c r="O43" s="11" t="inlineStr"/>
    </row>
    <row r="44">
      <c r="A44" s="7" t="inlineStr">
        <is>
          <t>D3</t>
        </is>
      </c>
      <c r="B44" s="7" t="inlineStr">
        <is>
          <t>3.5</t>
        </is>
      </c>
      <c r="C44" s="8" t="inlineStr">
        <is>
          <t>Knowledge Corpus &amp; Content Management</t>
        </is>
      </c>
      <c r="D44" s="7" t="inlineStr">
        <is>
          <t>S15</t>
        </is>
      </c>
      <c r="E44" s="7" t="inlineStr">
        <is>
          <t>IBM GenAI Capability Model</t>
        </is>
      </c>
      <c r="F44" s="7" t="inlineStr">
        <is>
          <t>IBM GenAI Capability Model</t>
        </is>
      </c>
      <c r="G44" s="7" t="inlineStr">
        <is>
          <t>Data Management</t>
        </is>
      </c>
      <c r="H44" s="7" t="inlineStr">
        <is>
          <t>candidate - unverified</t>
        </is>
      </c>
      <c r="I44" s="7" t="inlineStr">
        <is>
          <t>Adapted</t>
        </is>
      </c>
      <c r="J44" s="13" t="inlineStr">
        <is>
          <t>B</t>
        </is>
      </c>
      <c r="K44" s="7" t="inlineStr">
        <is>
          <t>Current</t>
        </is>
      </c>
      <c r="L44" s="7" t="inlineStr">
        <is>
          <t>Free</t>
        </is>
      </c>
      <c r="M44" s="11" t="inlineStr"/>
      <c r="N44" s="11" t="inlineStr"/>
      <c r="O44" s="11" t="inlineStr"/>
    </row>
    <row r="45">
      <c r="A45" s="7" t="inlineStr">
        <is>
          <t>D3</t>
        </is>
      </c>
      <c r="B45" s="7" t="inlineStr">
        <is>
          <t>3.6</t>
        </is>
      </c>
      <c r="C45" s="8" t="inlineStr">
        <is>
          <t>Knowledge Access &amp; Retrieval</t>
        </is>
      </c>
      <c r="D45" s="7" t="inlineStr">
        <is>
          <t>S15</t>
        </is>
      </c>
      <c r="E45" s="7" t="inlineStr">
        <is>
          <t>IBM GenAI Capability Model</t>
        </is>
      </c>
      <c r="F45" s="7" t="inlineStr">
        <is>
          <t>IBM GenAI Capability Model</t>
        </is>
      </c>
      <c r="G45" s="7" t="inlineStr">
        <is>
          <t>Data Management</t>
        </is>
      </c>
      <c r="H45" s="7" t="inlineStr">
        <is>
          <t>candidate - unverified</t>
        </is>
      </c>
      <c r="I45" s="17" t="inlineStr">
        <is>
          <t>Synthesized</t>
        </is>
      </c>
      <c r="J45" s="13" t="inlineStr">
        <is>
          <t>B</t>
        </is>
      </c>
      <c r="K45" s="7" t="inlineStr">
        <is>
          <t>Current</t>
        </is>
      </c>
      <c r="L45" s="7" t="inlineStr">
        <is>
          <t>Free</t>
        </is>
      </c>
      <c r="M45" s="11" t="inlineStr"/>
      <c r="N45" s="11" t="inlineStr"/>
      <c r="O45" s="11" t="inlineStr"/>
    </row>
    <row r="46">
      <c r="A46" s="7" t="inlineStr">
        <is>
          <t>D3</t>
        </is>
      </c>
      <c r="B46" s="7" t="inlineStr">
        <is>
          <t>3.6</t>
        </is>
      </c>
      <c r="C46" s="8" t="inlineStr">
        <is>
          <t>Knowledge Access &amp; Retrieval</t>
        </is>
      </c>
      <c r="D46" s="7" t="inlineStr">
        <is>
          <t>S09</t>
        </is>
      </c>
      <c r="E46" s="7" t="inlineStr">
        <is>
          <t>NIST AI 600-1</t>
        </is>
      </c>
      <c r="F46" s="7" t="inlineStr">
        <is>
          <t>NIST AI 600-1 Generative AI Profile</t>
        </is>
      </c>
      <c r="G46" s="7" t="inlineStr">
        <is>
          <t>Information Integrity; Data Privacy</t>
        </is>
      </c>
      <c r="H46" s="7" t="inlineStr">
        <is>
          <t>candidate - unverified</t>
        </is>
      </c>
      <c r="I46" s="17" t="inlineStr">
        <is>
          <t>Synthesized</t>
        </is>
      </c>
      <c r="J46" s="12" t="inlineStr">
        <is>
          <t>A</t>
        </is>
      </c>
      <c r="K46" s="7" t="inlineStr">
        <is>
          <t>Current</t>
        </is>
      </c>
      <c r="L46" s="7" t="inlineStr">
        <is>
          <t>Free — no registration</t>
        </is>
      </c>
      <c r="M46" s="11" t="inlineStr"/>
      <c r="N46" s="11" t="inlineStr"/>
      <c r="O46" s="11" t="inlineStr"/>
    </row>
    <row r="47">
      <c r="A47" s="7" t="inlineStr">
        <is>
          <t>D3</t>
        </is>
      </c>
      <c r="B47" s="7" t="inlineStr">
        <is>
          <t>3.7</t>
        </is>
      </c>
      <c r="C47" s="8" t="inlineStr">
        <is>
          <t>Derived Representation Management</t>
        </is>
      </c>
      <c r="D47" s="7" t="inlineStr">
        <is>
          <t>S15</t>
        </is>
      </c>
      <c r="E47" s="7" t="inlineStr">
        <is>
          <t>IBM GenAI Capability Model</t>
        </is>
      </c>
      <c r="F47" s="7" t="inlineStr">
        <is>
          <t>IBM GenAI Capability Model</t>
        </is>
      </c>
      <c r="G47" s="7" t="inlineStr">
        <is>
          <t>Data Management</t>
        </is>
      </c>
      <c r="H47" s="7" t="inlineStr">
        <is>
          <t>candidate - unverified</t>
        </is>
      </c>
      <c r="I47" s="17" t="inlineStr">
        <is>
          <t>Synthesized</t>
        </is>
      </c>
      <c r="J47" s="13" t="inlineStr">
        <is>
          <t>B</t>
        </is>
      </c>
      <c r="K47" s="7" t="inlineStr">
        <is>
          <t>Current</t>
        </is>
      </c>
      <c r="L47" s="7" t="inlineStr">
        <is>
          <t>Free</t>
        </is>
      </c>
      <c r="M47" s="11" t="inlineStr"/>
      <c r="N47" s="11" t="inlineStr"/>
      <c r="O47" s="11" t="inlineStr"/>
    </row>
    <row r="48">
      <c r="A48" s="7" t="inlineStr">
        <is>
          <t>D3</t>
        </is>
      </c>
      <c r="B48" s="7" t="inlineStr">
        <is>
          <t>3.7</t>
        </is>
      </c>
      <c r="C48" s="8" t="inlineStr">
        <is>
          <t>Derived Representation Management</t>
        </is>
      </c>
      <c r="D48" s="7" t="inlineStr">
        <is>
          <t>S02</t>
        </is>
      </c>
      <c r="E48" s="7" t="inlineStr">
        <is>
          <t>ISO/IEC 5338</t>
        </is>
      </c>
      <c r="F48" s="7" t="inlineStr">
        <is>
          <t>ISO/IEC 5338</t>
        </is>
      </c>
      <c r="G48" s="7" t="inlineStr">
        <is>
          <t>6.4.8 AI data engineering</t>
        </is>
      </c>
      <c r="H48" s="7" t="inlineStr">
        <is>
          <t>candidate - unverified</t>
        </is>
      </c>
      <c r="I48" s="17" t="inlineStr">
        <is>
          <t>Synthesized</t>
        </is>
      </c>
      <c r="J48" s="10" t="inlineStr">
        <is>
          <t>C</t>
        </is>
      </c>
      <c r="K48" s="7" t="inlineStr">
        <is>
          <t>Current</t>
        </is>
      </c>
      <c r="L48" s="7" t="inlineStr">
        <is>
          <t>Paid</t>
        </is>
      </c>
      <c r="M48" s="11" t="inlineStr"/>
      <c r="N48" s="11" t="inlineStr"/>
      <c r="O48" s="11" t="inlineStr"/>
    </row>
    <row r="49">
      <c r="A49" s="7" t="inlineStr">
        <is>
          <t>D4</t>
        </is>
      </c>
      <c r="B49" s="7" t="inlineStr">
        <is>
          <t>4.1</t>
        </is>
      </c>
      <c r="C49" s="8" t="inlineStr">
        <is>
          <t>AI Architecture Management &amp; Solution Governance</t>
        </is>
      </c>
      <c r="D49" s="7" t="inlineStr">
        <is>
          <t>S20</t>
        </is>
      </c>
      <c r="E49" s="7" t="inlineStr">
        <is>
          <t>TOGAF Standard</t>
        </is>
      </c>
      <c r="F49" s="7" t="inlineStr">
        <is>
          <t>The Open Group TOGAF</t>
        </is>
      </c>
      <c r="G49" s="7" t="inlineStr">
        <is>
          <t>Architecture Content; ADM Techniques</t>
        </is>
      </c>
      <c r="H49" s="7" t="inlineStr">
        <is>
          <t>candidate - unverified</t>
        </is>
      </c>
      <c r="I49" s="7" t="inlineStr">
        <is>
          <t>Adapted</t>
        </is>
      </c>
      <c r="J49" s="13" t="inlineStr">
        <is>
          <t>B</t>
        </is>
      </c>
      <c r="K49" s="7" t="inlineStr">
        <is>
          <t>Current</t>
        </is>
      </c>
      <c r="L49" s="7" t="inlineStr">
        <is>
          <t>Free for non-commercial after registration; paid for commercial</t>
        </is>
      </c>
      <c r="M49" s="11" t="inlineStr"/>
      <c r="N49" s="11" t="inlineStr"/>
      <c r="O49" s="11" t="inlineStr"/>
    </row>
    <row r="50">
      <c r="A50" s="7" t="inlineStr">
        <is>
          <t>D4</t>
        </is>
      </c>
      <c r="B50" s="7" t="inlineStr">
        <is>
          <t>4.1</t>
        </is>
      </c>
      <c r="C50" s="8" t="inlineStr">
        <is>
          <t>AI Architecture Management &amp; Solution Governance</t>
        </is>
      </c>
      <c r="D50" s="7" t="inlineStr">
        <is>
          <t>S17</t>
        </is>
      </c>
      <c r="E50" s="7" t="inlineStr">
        <is>
          <t>SAP AI-native North Star</t>
        </is>
      </c>
      <c r="F50" s="7" t="inlineStr">
        <is>
          <t>SAP AI-native North Star architecture</t>
        </is>
      </c>
      <c r="G50" s="7" t="inlineStr">
        <is>
          <t>Process Layer</t>
        </is>
      </c>
      <c r="H50" s="7" t="inlineStr">
        <is>
          <t>candidate - unverified</t>
        </is>
      </c>
      <c r="I50" s="7" t="inlineStr">
        <is>
          <t>Corroborating</t>
        </is>
      </c>
      <c r="J50" s="13" t="inlineStr">
        <is>
          <t>B</t>
        </is>
      </c>
      <c r="K50" s="7" t="inlineStr">
        <is>
          <t>Current</t>
        </is>
      </c>
      <c r="L50" s="7" t="inlineStr">
        <is>
          <t>Free</t>
        </is>
      </c>
      <c r="M50" s="11" t="inlineStr"/>
      <c r="N50" s="11" t="inlineStr"/>
      <c r="O50" s="11" t="inlineStr"/>
    </row>
    <row r="51">
      <c r="A51" s="7" t="inlineStr">
        <is>
          <t>D4</t>
        </is>
      </c>
      <c r="B51" s="7" t="inlineStr">
        <is>
          <t>4.1</t>
        </is>
      </c>
      <c r="C51" s="8" t="inlineStr">
        <is>
          <t>AI Architecture Management &amp; Solution Governance</t>
        </is>
      </c>
      <c r="D51" s="7" t="inlineStr">
        <is>
          <t>S16</t>
        </is>
      </c>
      <c r="E51" s="7" t="inlineStr">
        <is>
          <t>NVIDIA Enterprise AI Factory</t>
        </is>
      </c>
      <c r="F51" s="7" t="inlineStr">
        <is>
          <t>NVIDIA Enterprise AI Factory</t>
        </is>
      </c>
      <c r="G51" s="7" t="inlineStr">
        <is>
          <t>Agentic AI in the Factory</t>
        </is>
      </c>
      <c r="H51" s="7" t="inlineStr">
        <is>
          <t>candidate - unverified</t>
        </is>
      </c>
      <c r="I51" s="7" t="inlineStr">
        <is>
          <t>Corroborating</t>
        </is>
      </c>
      <c r="J51" s="13" t="inlineStr">
        <is>
          <t>B</t>
        </is>
      </c>
      <c r="K51" s="7" t="inlineStr">
        <is>
          <t>Current</t>
        </is>
      </c>
      <c r="L51" s="7" t="inlineStr">
        <is>
          <t>Free</t>
        </is>
      </c>
      <c r="M51" s="11" t="inlineStr"/>
      <c r="N51" s="11" t="inlineStr"/>
      <c r="O51" s="11" t="inlineStr"/>
    </row>
    <row r="52">
      <c r="A52" s="7" t="inlineStr">
        <is>
          <t>D4</t>
        </is>
      </c>
      <c r="B52" s="7" t="inlineStr">
        <is>
          <t>4.2</t>
        </is>
      </c>
      <c r="C52" s="8" t="inlineStr">
        <is>
          <t>Model Selection, Customization &amp; Tuning</t>
        </is>
      </c>
      <c r="D52" s="7" t="inlineStr">
        <is>
          <t>S15</t>
        </is>
      </c>
      <c r="E52" s="7" t="inlineStr">
        <is>
          <t>IBM GenAI Capability Model</t>
        </is>
      </c>
      <c r="F52" s="7" t="inlineStr">
        <is>
          <t>IBM GenAI Capability Model</t>
        </is>
      </c>
      <c r="G52" s="7" t="inlineStr">
        <is>
          <t>GenAI Application Development</t>
        </is>
      </c>
      <c r="H52" s="7" t="inlineStr">
        <is>
          <t>candidate - unverified</t>
        </is>
      </c>
      <c r="I52" s="7" t="inlineStr">
        <is>
          <t>Adapted</t>
        </is>
      </c>
      <c r="J52" s="13" t="inlineStr">
        <is>
          <t>B</t>
        </is>
      </c>
      <c r="K52" s="7" t="inlineStr">
        <is>
          <t>Current</t>
        </is>
      </c>
      <c r="L52" s="7" t="inlineStr">
        <is>
          <t>Free</t>
        </is>
      </c>
      <c r="M52" s="11" t="inlineStr"/>
      <c r="N52" s="11" t="inlineStr"/>
      <c r="O52" s="11" t="inlineStr"/>
    </row>
    <row r="53">
      <c r="A53" s="7" t="inlineStr">
        <is>
          <t>D4</t>
        </is>
      </c>
      <c r="B53" s="7" t="inlineStr">
        <is>
          <t>4.2</t>
        </is>
      </c>
      <c r="C53" s="8" t="inlineStr">
        <is>
          <t>Model Selection, Customization &amp; Tuning</t>
        </is>
      </c>
      <c r="D53" s="7" t="inlineStr">
        <is>
          <t>S02</t>
        </is>
      </c>
      <c r="E53" s="7" t="inlineStr">
        <is>
          <t>ISO/IEC 5338</t>
        </is>
      </c>
      <c r="F53" s="7" t="inlineStr">
        <is>
          <t>ISO/IEC 5338</t>
        </is>
      </c>
      <c r="G53" s="7" t="inlineStr">
        <is>
          <t>6.4.3 System requirements definition to 6.4.13 Validation</t>
        </is>
      </c>
      <c r="H53" s="7" t="inlineStr">
        <is>
          <t>candidate - unverified</t>
        </is>
      </c>
      <c r="I53" s="7" t="inlineStr">
        <is>
          <t>Corroborating</t>
        </is>
      </c>
      <c r="J53" s="10" t="inlineStr">
        <is>
          <t>C</t>
        </is>
      </c>
      <c r="K53" s="7" t="inlineStr">
        <is>
          <t>Current</t>
        </is>
      </c>
      <c r="L53" s="7" t="inlineStr">
        <is>
          <t>Paid</t>
        </is>
      </c>
      <c r="M53" s="11" t="inlineStr"/>
      <c r="N53" s="11" t="inlineStr"/>
      <c r="O53" s="11" t="inlineStr"/>
    </row>
    <row r="54">
      <c r="A54" s="7" t="inlineStr">
        <is>
          <t>D4</t>
        </is>
      </c>
      <c r="B54" s="7" t="inlineStr">
        <is>
          <t>4.2</t>
        </is>
      </c>
      <c r="C54" s="8" t="inlineStr">
        <is>
          <t>Model Selection, Customization &amp; Tuning</t>
        </is>
      </c>
      <c r="D54" s="7" t="inlineStr">
        <is>
          <t>S09</t>
        </is>
      </c>
      <c r="E54" s="7" t="inlineStr">
        <is>
          <t>NIST AI 600-1</t>
        </is>
      </c>
      <c r="F54" s="7" t="inlineStr">
        <is>
          <t>NIST AI 600-1 Generative AI Profile</t>
        </is>
      </c>
      <c r="G54" s="7" t="inlineStr">
        <is>
          <t>Confabulation; Human-AI Configuration</t>
        </is>
      </c>
      <c r="H54" s="7" t="inlineStr">
        <is>
          <t>candidate - unverified</t>
        </is>
      </c>
      <c r="I54" s="7" t="inlineStr">
        <is>
          <t>Corroborating</t>
        </is>
      </c>
      <c r="J54" s="12" t="inlineStr">
        <is>
          <t>A</t>
        </is>
      </c>
      <c r="K54" s="7" t="inlineStr">
        <is>
          <t>Current</t>
        </is>
      </c>
      <c r="L54" s="7" t="inlineStr">
        <is>
          <t>Free — no registration</t>
        </is>
      </c>
      <c r="M54" s="11" t="inlineStr"/>
      <c r="N54" s="11" t="inlineStr"/>
      <c r="O54" s="11" t="inlineStr"/>
    </row>
    <row r="55">
      <c r="A55" s="7" t="inlineStr">
        <is>
          <t>D4</t>
        </is>
      </c>
      <c r="B55" s="7" t="inlineStr">
        <is>
          <t>4.3</t>
        </is>
      </c>
      <c r="C55" s="8" t="inlineStr">
        <is>
          <t>Prompt &amp; Context Engineering</t>
        </is>
      </c>
      <c r="D55" s="7" t="inlineStr">
        <is>
          <t>S15</t>
        </is>
      </c>
      <c r="E55" s="7" t="inlineStr">
        <is>
          <t>IBM GenAI Capability Model</t>
        </is>
      </c>
      <c r="F55" s="7" t="inlineStr">
        <is>
          <t>IBM GenAI Capability Model</t>
        </is>
      </c>
      <c r="G55" s="7" t="inlineStr">
        <is>
          <t>GenAI Application Development</t>
        </is>
      </c>
      <c r="H55" s="7" t="inlineStr">
        <is>
          <t>candidate - unverified</t>
        </is>
      </c>
      <c r="I55" s="17" t="inlineStr">
        <is>
          <t>Synthesized</t>
        </is>
      </c>
      <c r="J55" s="13" t="inlineStr">
        <is>
          <t>B</t>
        </is>
      </c>
      <c r="K55" s="7" t="inlineStr">
        <is>
          <t>Current</t>
        </is>
      </c>
      <c r="L55" s="7" t="inlineStr">
        <is>
          <t>Free</t>
        </is>
      </c>
      <c r="M55" s="11" t="inlineStr"/>
      <c r="N55" s="11" t="inlineStr"/>
      <c r="O55" s="11" t="inlineStr"/>
    </row>
    <row r="56">
      <c r="A56" s="7" t="inlineStr">
        <is>
          <t>D4</t>
        </is>
      </c>
      <c r="B56" s="7" t="inlineStr">
        <is>
          <t>4.3</t>
        </is>
      </c>
      <c r="C56" s="8" t="inlineStr">
        <is>
          <t>Prompt &amp; Context Engineering</t>
        </is>
      </c>
      <c r="D56" s="7" t="inlineStr">
        <is>
          <t>S09</t>
        </is>
      </c>
      <c r="E56" s="7" t="inlineStr">
        <is>
          <t>NIST AI 600-1</t>
        </is>
      </c>
      <c r="F56" s="7" t="inlineStr">
        <is>
          <t>NIST AI 600-1 Generative AI Profile</t>
        </is>
      </c>
      <c r="G56" s="7" t="inlineStr">
        <is>
          <t>Confabulation; Human-AI Configuration</t>
        </is>
      </c>
      <c r="H56" s="7" t="inlineStr">
        <is>
          <t>candidate - unverified</t>
        </is>
      </c>
      <c r="I56" s="17" t="inlineStr">
        <is>
          <t>Synthesized</t>
        </is>
      </c>
      <c r="J56" s="12" t="inlineStr">
        <is>
          <t>A</t>
        </is>
      </c>
      <c r="K56" s="7" t="inlineStr">
        <is>
          <t>Current</t>
        </is>
      </c>
      <c r="L56" s="7" t="inlineStr">
        <is>
          <t>Free — no registration</t>
        </is>
      </c>
      <c r="M56" s="11" t="inlineStr"/>
      <c r="N56" s="11" t="inlineStr"/>
      <c r="O56" s="11" t="inlineStr"/>
    </row>
    <row r="57">
      <c r="A57" s="7" t="inlineStr">
        <is>
          <t>D4</t>
        </is>
      </c>
      <c r="B57" s="7" t="inlineStr">
        <is>
          <t>4.3</t>
        </is>
      </c>
      <c r="C57" s="8" t="inlineStr">
        <is>
          <t>Prompt &amp; Context Engineering</t>
        </is>
      </c>
      <c r="D57" s="7" t="inlineStr">
        <is>
          <t>S32</t>
        </is>
      </c>
      <c r="E57" s="7" t="inlineStr">
        <is>
          <t>OWASP GenAI Security Project</t>
        </is>
      </c>
      <c r="F57" s="7" t="inlineStr">
        <is>
          <t>OWASP GenAI Security Project</t>
        </is>
      </c>
      <c r="G57" s="7" t="inlineStr">
        <is>
          <t>By entry name only - e.g. Improper Output Handling</t>
        </is>
      </c>
      <c r="H57" s="7" t="inlineStr">
        <is>
          <t>candidate - unverified</t>
        </is>
      </c>
      <c r="I57" s="17" t="inlineStr">
        <is>
          <t>Synthesized</t>
        </is>
      </c>
      <c r="J57" s="12" t="inlineStr">
        <is>
          <t>A</t>
        </is>
      </c>
      <c r="K57" s="7" t="inlineStr">
        <is>
          <t>Current</t>
        </is>
      </c>
      <c r="L57" s="7" t="inlineStr">
        <is>
          <t>Free, open source</t>
        </is>
      </c>
      <c r="M57" s="11" t="inlineStr"/>
      <c r="N57" s="11" t="inlineStr"/>
      <c r="O57" s="11" t="inlineStr"/>
    </row>
    <row r="58">
      <c r="A58" s="7" t="inlineStr">
        <is>
          <t>D4</t>
        </is>
      </c>
      <c r="B58" s="7" t="inlineStr">
        <is>
          <t>4.4</t>
        </is>
      </c>
      <c r="C58" s="8" t="inlineStr">
        <is>
          <t>Agent &amp; Workflow Orchestration Design</t>
        </is>
      </c>
      <c r="D58" s="7" t="inlineStr">
        <is>
          <t>S18</t>
        </is>
      </c>
      <c r="E58" s="7" t="inlineStr">
        <is>
          <t>Salesforce ADLC</t>
        </is>
      </c>
      <c r="F58" s="7" t="inlineStr">
        <is>
          <t>Salesforce Agent Development Lifecycle</t>
        </is>
      </c>
      <c r="G58" s="7" t="inlineStr">
        <is>
          <t>Development; Testing and Validation</t>
        </is>
      </c>
      <c r="H58" s="7" t="inlineStr">
        <is>
          <t>candidate - unverified</t>
        </is>
      </c>
      <c r="I58" s="17" t="inlineStr">
        <is>
          <t>Synthesized</t>
        </is>
      </c>
      <c r="J58" s="10" t="inlineStr">
        <is>
          <t>C</t>
        </is>
      </c>
      <c r="K58" s="7" t="inlineStr">
        <is>
          <t>Undated</t>
        </is>
      </c>
      <c r="L58" s="7" t="inlineStr">
        <is>
          <t>Free</t>
        </is>
      </c>
      <c r="M58" s="11" t="inlineStr"/>
      <c r="N58" s="11" t="inlineStr"/>
      <c r="O58" s="11" t="inlineStr"/>
    </row>
    <row r="59">
      <c r="A59" s="7" t="inlineStr">
        <is>
          <t>D4</t>
        </is>
      </c>
      <c r="B59" s="7" t="inlineStr">
        <is>
          <t>4.4</t>
        </is>
      </c>
      <c r="C59" s="8" t="inlineStr">
        <is>
          <t>Agent &amp; Workflow Orchestration Design</t>
        </is>
      </c>
      <c r="D59" s="7" t="inlineStr">
        <is>
          <t>S17</t>
        </is>
      </c>
      <c r="E59" s="7" t="inlineStr">
        <is>
          <t>SAP AI-native North Star</t>
        </is>
      </c>
      <c r="F59" s="7" t="inlineStr">
        <is>
          <t>SAP AI-native North Star architecture</t>
        </is>
      </c>
      <c r="G59" s="7" t="inlineStr">
        <is>
          <t>Process Layer</t>
        </is>
      </c>
      <c r="H59" s="7" t="inlineStr">
        <is>
          <t>candidate - unverified</t>
        </is>
      </c>
      <c r="I59" s="17" t="inlineStr">
        <is>
          <t>Synthesized</t>
        </is>
      </c>
      <c r="J59" s="13" t="inlineStr">
        <is>
          <t>B</t>
        </is>
      </c>
      <c r="K59" s="7" t="inlineStr">
        <is>
          <t>Current</t>
        </is>
      </c>
      <c r="L59" s="7" t="inlineStr">
        <is>
          <t>Free</t>
        </is>
      </c>
      <c r="M59" s="11" t="inlineStr"/>
      <c r="N59" s="11" t="inlineStr"/>
      <c r="O59" s="11" t="inlineStr"/>
    </row>
    <row r="60">
      <c r="A60" s="7" t="inlineStr">
        <is>
          <t>D4</t>
        </is>
      </c>
      <c r="B60" s="7" t="inlineStr">
        <is>
          <t>4.4</t>
        </is>
      </c>
      <c r="C60" s="8" t="inlineStr">
        <is>
          <t>Agent &amp; Workflow Orchestration Design</t>
        </is>
      </c>
      <c r="D60" s="7" t="inlineStr">
        <is>
          <t>S15</t>
        </is>
      </c>
      <c r="E60" s="7" t="inlineStr">
        <is>
          <t>IBM GenAI Capability Model</t>
        </is>
      </c>
      <c r="F60" s="7" t="inlineStr">
        <is>
          <t>IBM Generative AI Capability Model</t>
        </is>
      </c>
      <c r="G60" s="7" t="inlineStr">
        <is>
          <t>GenAI Application Development</t>
        </is>
      </c>
      <c r="H60" s="7" t="inlineStr">
        <is>
          <t>candidate - unverified</t>
        </is>
      </c>
      <c r="I60" s="17" t="inlineStr">
        <is>
          <t>Synthesized</t>
        </is>
      </c>
      <c r="J60" s="13" t="inlineStr">
        <is>
          <t>B</t>
        </is>
      </c>
      <c r="K60" s="7" t="inlineStr">
        <is>
          <t>Current</t>
        </is>
      </c>
      <c r="L60" s="7" t="inlineStr">
        <is>
          <t>Free</t>
        </is>
      </c>
      <c r="M60" s="11" t="inlineStr"/>
      <c r="N60" s="11" t="inlineStr"/>
      <c r="O60" s="11" t="inlineStr"/>
    </row>
    <row r="61">
      <c r="A61" s="7" t="inlineStr">
        <is>
          <t>D4</t>
        </is>
      </c>
      <c r="B61" s="7" t="inlineStr">
        <is>
          <t>4.4</t>
        </is>
      </c>
      <c r="C61" s="8" t="inlineStr">
        <is>
          <t>Agent &amp; Workflow Orchestration Design</t>
        </is>
      </c>
      <c r="D61" s="7" t="inlineStr">
        <is>
          <t>S31</t>
        </is>
      </c>
      <c r="E61" s="7" t="inlineStr">
        <is>
          <t>IMDA Model AI Governance Framework</t>
        </is>
      </c>
      <c r="F61" s="7" t="inlineStr">
        <is>
          <t>IMDA Model AI Governance Framework</t>
        </is>
      </c>
      <c r="G61" s="7" t="inlineStr">
        <is>
          <t>Trusted Development and Deployment</t>
        </is>
      </c>
      <c r="H61" s="7" t="inlineStr">
        <is>
          <t>candidate - unverified</t>
        </is>
      </c>
      <c r="I61" s="17" t="inlineStr">
        <is>
          <t>Synthesized</t>
        </is>
      </c>
      <c r="J61" s="12" t="inlineStr">
        <is>
          <t>A</t>
        </is>
      </c>
      <c r="K61" s="7" t="inlineStr">
        <is>
          <t>Current — but our citation was ambiguous</t>
        </is>
      </c>
      <c r="L61" s="7" t="inlineStr">
        <is>
          <t>Free</t>
        </is>
      </c>
      <c r="M61" s="11" t="inlineStr"/>
      <c r="N61" s="11" t="inlineStr"/>
      <c r="O61" s="11" t="inlineStr"/>
    </row>
    <row r="62">
      <c r="A62" s="7" t="inlineStr">
        <is>
          <t>D4</t>
        </is>
      </c>
      <c r="B62" s="7" t="inlineStr">
        <is>
          <t>4.5</t>
        </is>
      </c>
      <c r="C62" s="8" t="inlineStr">
        <is>
          <t>Integration &amp; Tool Enablement</t>
        </is>
      </c>
      <c r="D62" s="7" t="inlineStr">
        <is>
          <t>S15</t>
        </is>
      </c>
      <c r="E62" s="7" t="inlineStr">
        <is>
          <t>IBM GenAI Capability Model</t>
        </is>
      </c>
      <c r="F62" s="7" t="inlineStr">
        <is>
          <t>IBM Generative AI Capability Model</t>
        </is>
      </c>
      <c r="G62" s="7" t="inlineStr">
        <is>
          <t>GenAI Application Development</t>
        </is>
      </c>
      <c r="H62" s="7" t="inlineStr">
        <is>
          <t>candidate - unverified</t>
        </is>
      </c>
      <c r="I62" s="7" t="inlineStr">
        <is>
          <t>Adapted</t>
        </is>
      </c>
      <c r="J62" s="13" t="inlineStr">
        <is>
          <t>B</t>
        </is>
      </c>
      <c r="K62" s="7" t="inlineStr">
        <is>
          <t>Current</t>
        </is>
      </c>
      <c r="L62" s="7" t="inlineStr">
        <is>
          <t>Free</t>
        </is>
      </c>
      <c r="M62" s="11" t="inlineStr"/>
      <c r="N62" s="11" t="inlineStr"/>
      <c r="O62" s="11" t="inlineStr"/>
    </row>
    <row r="63">
      <c r="A63" s="7" t="inlineStr">
        <is>
          <t>D4</t>
        </is>
      </c>
      <c r="B63" s="7" t="inlineStr">
        <is>
          <t>4.5</t>
        </is>
      </c>
      <c r="C63" s="8" t="inlineStr">
        <is>
          <t>Integration &amp; Tool Enablement</t>
        </is>
      </c>
      <c r="D63" s="7" t="inlineStr">
        <is>
          <t>S33</t>
        </is>
      </c>
      <c r="E63" s="7" t="inlineStr">
        <is>
          <t>MCP specification</t>
        </is>
      </c>
      <c r="F63" s="7" t="inlineStr">
        <is>
          <t>Model Context Protocol specification</t>
        </is>
      </c>
      <c r="G63" s="7" t="inlineStr">
        <is>
          <t>2026-07-28, Server Features</t>
        </is>
      </c>
      <c r="H63" s="7" t="inlineStr">
        <is>
          <t>candidate - unverified</t>
        </is>
      </c>
      <c r="I63" s="7" t="inlineStr">
        <is>
          <t>Corroborating</t>
        </is>
      </c>
      <c r="J63" s="12" t="inlineStr">
        <is>
          <t>A</t>
        </is>
      </c>
      <c r="K63" s="7" t="inlineStr">
        <is>
          <t>Current</t>
        </is>
      </c>
      <c r="L63" s="7" t="inlineStr">
        <is>
          <t>Free, open source</t>
        </is>
      </c>
      <c r="M63" s="11" t="inlineStr"/>
      <c r="N63" s="11" t="inlineStr"/>
      <c r="O63" s="11" t="inlineStr"/>
    </row>
    <row r="64">
      <c r="A64" s="7" t="inlineStr">
        <is>
          <t>D4</t>
        </is>
      </c>
      <c r="B64" s="7" t="inlineStr">
        <is>
          <t>4.5</t>
        </is>
      </c>
      <c r="C64" s="8" t="inlineStr">
        <is>
          <t>Integration &amp; Tool Enablement</t>
        </is>
      </c>
      <c r="D64" s="7" t="inlineStr">
        <is>
          <t>S17</t>
        </is>
      </c>
      <c r="E64" s="7" t="inlineStr">
        <is>
          <t>SAP AI-native North Star</t>
        </is>
      </c>
      <c r="F64" s="7" t="inlineStr">
        <is>
          <t>SAP AI-native North Star architecture</t>
        </is>
      </c>
      <c r="G64" s="7" t="inlineStr">
        <is>
          <t>Process Layer</t>
        </is>
      </c>
      <c r="H64" s="7" t="inlineStr">
        <is>
          <t>candidate - unverified</t>
        </is>
      </c>
      <c r="I64" s="7" t="inlineStr">
        <is>
          <t>Corroborating</t>
        </is>
      </c>
      <c r="J64" s="13" t="inlineStr">
        <is>
          <t>B</t>
        </is>
      </c>
      <c r="K64" s="7" t="inlineStr">
        <is>
          <t>Current</t>
        </is>
      </c>
      <c r="L64" s="7" t="inlineStr">
        <is>
          <t>Free</t>
        </is>
      </c>
      <c r="M64" s="11" t="inlineStr"/>
      <c r="N64" s="11" t="inlineStr"/>
      <c r="O64" s="11" t="inlineStr"/>
    </row>
    <row r="65">
      <c r="A65" s="7" t="inlineStr">
        <is>
          <t>D4</t>
        </is>
      </c>
      <c r="B65" s="7" t="inlineStr">
        <is>
          <t>4.5</t>
        </is>
      </c>
      <c r="C65" s="8" t="inlineStr">
        <is>
          <t>Integration &amp; Tool Enablement</t>
        </is>
      </c>
      <c r="D65" s="7" t="inlineStr">
        <is>
          <t>S31</t>
        </is>
      </c>
      <c r="E65" s="7" t="inlineStr">
        <is>
          <t>IMDA Model AI Governance Framework</t>
        </is>
      </c>
      <c r="F65" s="7" t="inlineStr">
        <is>
          <t>IMDA Model AI Governance Framework</t>
        </is>
      </c>
      <c r="G65" s="7" t="inlineStr">
        <is>
          <t>Trusted Development and Deployment</t>
        </is>
      </c>
      <c r="H65" s="7" t="inlineStr">
        <is>
          <t>candidate - unverified</t>
        </is>
      </c>
      <c r="I65" s="7" t="inlineStr">
        <is>
          <t>Corroborating</t>
        </is>
      </c>
      <c r="J65" s="12" t="inlineStr">
        <is>
          <t>A</t>
        </is>
      </c>
      <c r="K65" s="7" t="inlineStr">
        <is>
          <t>Current — but our citation was ambiguous</t>
        </is>
      </c>
      <c r="L65" s="7" t="inlineStr">
        <is>
          <t>Free</t>
        </is>
      </c>
      <c r="M65" s="11" t="inlineStr"/>
      <c r="N65" s="11" t="inlineStr"/>
      <c r="O65" s="11" t="inlineStr"/>
    </row>
    <row r="66">
      <c r="A66" s="7" t="inlineStr">
        <is>
          <t>D4</t>
        </is>
      </c>
      <c r="B66" s="7" t="inlineStr">
        <is>
          <t>4.6</t>
        </is>
      </c>
      <c r="C66" s="8" t="inlineStr">
        <is>
          <t>AI Evaluation &amp; Testing</t>
        </is>
      </c>
      <c r="D66" s="7" t="inlineStr">
        <is>
          <t>S09</t>
        </is>
      </c>
      <c r="E66" s="7" t="inlineStr">
        <is>
          <t>NIST AI 600-1</t>
        </is>
      </c>
      <c r="F66" s="7" t="inlineStr">
        <is>
          <t>NIST AI 600-1 Generative AI Profile</t>
        </is>
      </c>
      <c r="G66" s="7" t="inlineStr">
        <is>
          <t>Confabulation; Human-AI Configuration</t>
        </is>
      </c>
      <c r="H66" s="7" t="inlineStr">
        <is>
          <t>candidate - unverified</t>
        </is>
      </c>
      <c r="I66" s="7" t="inlineStr">
        <is>
          <t>Adapted</t>
        </is>
      </c>
      <c r="J66" s="12" t="inlineStr">
        <is>
          <t>A</t>
        </is>
      </c>
      <c r="K66" s="7" t="inlineStr">
        <is>
          <t>Current</t>
        </is>
      </c>
      <c r="L66" s="7" t="inlineStr">
        <is>
          <t>Free — no registration</t>
        </is>
      </c>
      <c r="M66" s="11" t="inlineStr"/>
      <c r="N66" s="11" t="inlineStr"/>
      <c r="O66" s="11" t="inlineStr"/>
    </row>
    <row r="67">
      <c r="A67" s="7" t="inlineStr">
        <is>
          <t>D4</t>
        </is>
      </c>
      <c r="B67" s="7" t="inlineStr">
        <is>
          <t>4.6</t>
        </is>
      </c>
      <c r="C67" s="8" t="inlineStr">
        <is>
          <t>AI Evaluation &amp; Testing</t>
        </is>
      </c>
      <c r="D67" s="7" t="inlineStr">
        <is>
          <t>S02</t>
        </is>
      </c>
      <c r="E67" s="7" t="inlineStr">
        <is>
          <t>ISO/IEC 5338</t>
        </is>
      </c>
      <c r="F67" s="7" t="inlineStr">
        <is>
          <t>ISO/IEC 5338</t>
        </is>
      </c>
      <c r="G67" s="7" t="inlineStr">
        <is>
          <t>6.4.3 System requirements definition to 6.4.13 Validation</t>
        </is>
      </c>
      <c r="H67" s="7" t="inlineStr">
        <is>
          <t>candidate - unverified</t>
        </is>
      </c>
      <c r="I67" s="7" t="inlineStr">
        <is>
          <t>Corroborating</t>
        </is>
      </c>
      <c r="J67" s="10" t="inlineStr">
        <is>
          <t>C</t>
        </is>
      </c>
      <c r="K67" s="7" t="inlineStr">
        <is>
          <t>Current</t>
        </is>
      </c>
      <c r="L67" s="7" t="inlineStr">
        <is>
          <t>Paid</t>
        </is>
      </c>
      <c r="M67" s="11" t="inlineStr"/>
      <c r="N67" s="11" t="inlineStr"/>
      <c r="O67" s="11" t="inlineStr"/>
    </row>
    <row r="68">
      <c r="A68" s="7" t="inlineStr">
        <is>
          <t>D4</t>
        </is>
      </c>
      <c r="B68" s="7" t="inlineStr">
        <is>
          <t>4.7</t>
        </is>
      </c>
      <c r="C68" s="8" t="inlineStr">
        <is>
          <t>AI Release &amp; Change Management</t>
        </is>
      </c>
      <c r="D68" s="7" t="inlineStr">
        <is>
          <t>S24</t>
        </is>
      </c>
      <c r="E68" s="7" t="inlineStr">
        <is>
          <t>ITIL 4</t>
        </is>
      </c>
      <c r="F68" s="7" t="inlineStr">
        <is>
          <t>ITIL 4</t>
        </is>
      </c>
      <c r="G68" s="7" t="inlineStr"/>
      <c r="H68" s="17" t="inlineStr">
        <is>
          <t>NOT PINNED</t>
        </is>
      </c>
      <c r="I68" s="7" t="inlineStr">
        <is>
          <t>Adapted</t>
        </is>
      </c>
      <c r="J68" s="10" t="inlineStr">
        <is>
          <t>C</t>
        </is>
      </c>
      <c r="K68" s="7" t="inlineStr">
        <is>
          <t>Superseded in part</t>
        </is>
      </c>
      <c r="L68" s="7" t="inlineStr">
        <is>
          <t>Paid — publications or certification/membership</t>
        </is>
      </c>
      <c r="M68" s="11" t="inlineStr"/>
      <c r="N68" s="11" t="inlineStr"/>
      <c r="O68" s="11" t="inlineStr"/>
    </row>
    <row r="69">
      <c r="A69" s="7" t="inlineStr">
        <is>
          <t>D4</t>
        </is>
      </c>
      <c r="B69" s="7" t="inlineStr">
        <is>
          <t>4.7</t>
        </is>
      </c>
      <c r="C69" s="8" t="inlineStr">
        <is>
          <t>AI Release &amp; Change Management</t>
        </is>
      </c>
      <c r="D69" s="7" t="inlineStr">
        <is>
          <t>S23</t>
        </is>
      </c>
      <c r="E69" s="7" t="inlineStr">
        <is>
          <t>IT4IT Standard</t>
        </is>
      </c>
      <c r="F69" s="7" t="inlineStr">
        <is>
          <t>The Open Group IT4IT</t>
        </is>
      </c>
      <c r="G69" s="7" t="inlineStr">
        <is>
          <t>Integrate value stream</t>
        </is>
      </c>
      <c r="H69" s="7" t="inlineStr">
        <is>
          <t>candidate - unverified</t>
        </is>
      </c>
      <c r="I69" s="7" t="inlineStr">
        <is>
          <t>Corroborating</t>
        </is>
      </c>
      <c r="J69" s="13" t="inlineStr">
        <is>
          <t>B</t>
        </is>
      </c>
      <c r="K69" s="7" t="inlineStr">
        <is>
          <t>Current</t>
        </is>
      </c>
      <c r="L69" s="7" t="inlineStr">
        <is>
          <t>Free to read</t>
        </is>
      </c>
      <c r="M69" s="11" t="inlineStr"/>
      <c r="N69" s="11" t="inlineStr"/>
      <c r="O69" s="11" t="inlineStr"/>
    </row>
    <row r="70">
      <c r="A70" s="7" t="inlineStr">
        <is>
          <t>D4</t>
        </is>
      </c>
      <c r="B70" s="7" t="inlineStr">
        <is>
          <t>4.7</t>
        </is>
      </c>
      <c r="C70" s="8" t="inlineStr">
        <is>
          <t>AI Release &amp; Change Management</t>
        </is>
      </c>
      <c r="D70" s="7" t="inlineStr">
        <is>
          <t>S02</t>
        </is>
      </c>
      <c r="E70" s="7" t="inlineStr">
        <is>
          <t>ISO/IEC 5338</t>
        </is>
      </c>
      <c r="F70" s="7" t="inlineStr">
        <is>
          <t>ISO/IEC 5338</t>
        </is>
      </c>
      <c r="G70" s="7" t="inlineStr">
        <is>
          <t>6.4.3 System requirements definition to 6.4.13 Validation</t>
        </is>
      </c>
      <c r="H70" s="7" t="inlineStr">
        <is>
          <t>candidate - unverified</t>
        </is>
      </c>
      <c r="I70" s="7" t="inlineStr">
        <is>
          <t>Corroborating</t>
        </is>
      </c>
      <c r="J70" s="10" t="inlineStr">
        <is>
          <t>C</t>
        </is>
      </c>
      <c r="K70" s="7" t="inlineStr">
        <is>
          <t>Current</t>
        </is>
      </c>
      <c r="L70" s="7" t="inlineStr">
        <is>
          <t>Paid</t>
        </is>
      </c>
      <c r="M70" s="11" t="inlineStr"/>
      <c r="N70" s="11" t="inlineStr"/>
      <c r="O70" s="11" t="inlineStr"/>
    </row>
    <row r="71">
      <c r="A71" s="7" t="inlineStr">
        <is>
          <t>D5</t>
        </is>
      </c>
      <c r="B71" s="7" t="inlineStr">
        <is>
          <t>5.1</t>
        </is>
      </c>
      <c r="C71" s="8" t="inlineStr">
        <is>
          <t>AI Platform Service Provisioning</t>
        </is>
      </c>
      <c r="D71" s="7" t="inlineStr">
        <is>
          <t>S12</t>
        </is>
      </c>
      <c r="E71" s="7" t="inlineStr">
        <is>
          <t>AWS CAF-AI</t>
        </is>
      </c>
      <c r="F71" s="7" t="inlineStr">
        <is>
          <t>AWS CAF-AI - Platform perspective</t>
        </is>
      </c>
      <c r="G71" s="7" t="inlineStr">
        <is>
          <t>Platform perspective</t>
        </is>
      </c>
      <c r="H71" s="7" t="inlineStr">
        <is>
          <t>stated in our own citation</t>
        </is>
      </c>
      <c r="I71" s="7" t="inlineStr">
        <is>
          <t>Adapted</t>
        </is>
      </c>
      <c r="J71" s="10" t="inlineStr">
        <is>
          <t>C</t>
        </is>
      </c>
      <c r="K71" s="7" t="inlineStr">
        <is>
          <t>Flagged historical by AWS</t>
        </is>
      </c>
      <c r="L71" s="7" t="inlineStr">
        <is>
          <t>Free</t>
        </is>
      </c>
      <c r="M71" s="11" t="inlineStr"/>
      <c r="N71" s="11" t="inlineStr"/>
      <c r="O71" s="11" t="inlineStr"/>
    </row>
    <row r="72">
      <c r="A72" s="7" t="inlineStr">
        <is>
          <t>D5</t>
        </is>
      </c>
      <c r="B72" s="7" t="inlineStr">
        <is>
          <t>5.1</t>
        </is>
      </c>
      <c r="C72" s="8" t="inlineStr">
        <is>
          <t>AI Platform Service Provisioning</t>
        </is>
      </c>
      <c r="D72" s="7" t="inlineStr">
        <is>
          <t>S13</t>
        </is>
      </c>
      <c r="E72" s="7" t="inlineStr">
        <is>
          <t>Microsoft CAF for AI</t>
        </is>
      </c>
      <c r="F72" s="7" t="inlineStr">
        <is>
          <t>Microsoft Cloud Adoption Framework for AI</t>
        </is>
      </c>
      <c r="G72" s="7" t="inlineStr">
        <is>
          <t>Ready phase</t>
        </is>
      </c>
      <c r="H72" s="7" t="inlineStr">
        <is>
          <t>candidate - unverified</t>
        </is>
      </c>
      <c r="I72" s="7" t="inlineStr">
        <is>
          <t>Corroborating</t>
        </is>
      </c>
      <c r="J72" s="13" t="inlineStr">
        <is>
          <t>B</t>
        </is>
      </c>
      <c r="K72" s="7" t="inlineStr">
        <is>
          <t>Current</t>
        </is>
      </c>
      <c r="L72" s="7" t="inlineStr">
        <is>
          <t>Free</t>
        </is>
      </c>
      <c r="M72" s="11" t="inlineStr"/>
      <c r="N72" s="11" t="inlineStr"/>
      <c r="O72" s="11" t="inlineStr"/>
    </row>
    <row r="73">
      <c r="A73" s="7" t="inlineStr">
        <is>
          <t>D5</t>
        </is>
      </c>
      <c r="B73" s="7" t="inlineStr">
        <is>
          <t>5.1</t>
        </is>
      </c>
      <c r="C73" s="8" t="inlineStr">
        <is>
          <t>AI Platform Service Provisioning</t>
        </is>
      </c>
      <c r="D73" s="7" t="inlineStr">
        <is>
          <t>S16</t>
        </is>
      </c>
      <c r="E73" s="7" t="inlineStr">
        <is>
          <t>NVIDIA Enterprise AI Factory</t>
        </is>
      </c>
      <c r="F73" s="7" t="inlineStr">
        <is>
          <t>NVIDIA Enterprise AI Factory</t>
        </is>
      </c>
      <c r="G73" s="7" t="inlineStr">
        <is>
          <t>Ecosystem Architecture; Validated Full Stack AI Factories</t>
        </is>
      </c>
      <c r="H73" s="7" t="inlineStr">
        <is>
          <t>candidate - unverified</t>
        </is>
      </c>
      <c r="I73" s="7" t="inlineStr">
        <is>
          <t>Corroborating</t>
        </is>
      </c>
      <c r="J73" s="13" t="inlineStr">
        <is>
          <t>B</t>
        </is>
      </c>
      <c r="K73" s="7" t="inlineStr">
        <is>
          <t>Current</t>
        </is>
      </c>
      <c r="L73" s="7" t="inlineStr">
        <is>
          <t>Free</t>
        </is>
      </c>
      <c r="M73" s="11" t="inlineStr"/>
      <c r="N73" s="11" t="inlineStr"/>
      <c r="O73" s="11" t="inlineStr"/>
    </row>
    <row r="74">
      <c r="A74" s="7" t="inlineStr">
        <is>
          <t>D5</t>
        </is>
      </c>
      <c r="B74" s="7" t="inlineStr">
        <is>
          <t>5.2</t>
        </is>
      </c>
      <c r="C74" s="8" t="inlineStr">
        <is>
          <t>Model Access &amp; Traffic Management</t>
        </is>
      </c>
      <c r="D74" s="7" t="inlineStr">
        <is>
          <t>S15</t>
        </is>
      </c>
      <c r="E74" s="7" t="inlineStr">
        <is>
          <t>IBM GenAI Capability Model</t>
        </is>
      </c>
      <c r="F74" s="7" t="inlineStr">
        <is>
          <t>IBM Generative AI Capability Model</t>
        </is>
      </c>
      <c r="G74" s="7" t="inlineStr">
        <is>
          <t>GenAI Operations</t>
        </is>
      </c>
      <c r="H74" s="7" t="inlineStr">
        <is>
          <t>candidate - unverified</t>
        </is>
      </c>
      <c r="I74" s="17" t="inlineStr">
        <is>
          <t>Synthesized</t>
        </is>
      </c>
      <c r="J74" s="13" t="inlineStr">
        <is>
          <t>B</t>
        </is>
      </c>
      <c r="K74" s="7" t="inlineStr">
        <is>
          <t>Current</t>
        </is>
      </c>
      <c r="L74" s="7" t="inlineStr">
        <is>
          <t>Free</t>
        </is>
      </c>
      <c r="M74" s="11" t="inlineStr"/>
      <c r="N74" s="11" t="inlineStr"/>
      <c r="O74" s="11" t="inlineStr"/>
    </row>
    <row r="75">
      <c r="A75" s="7" t="inlineStr">
        <is>
          <t>D5</t>
        </is>
      </c>
      <c r="B75" s="7" t="inlineStr">
        <is>
          <t>5.2</t>
        </is>
      </c>
      <c r="C75" s="8" t="inlineStr">
        <is>
          <t>Model Access &amp; Traffic Management</t>
        </is>
      </c>
      <c r="D75" s="7" t="inlineStr">
        <is>
          <t>S13</t>
        </is>
      </c>
      <c r="E75" s="7" t="inlineStr">
        <is>
          <t>Microsoft CAF for AI</t>
        </is>
      </c>
      <c r="F75" s="7" t="inlineStr">
        <is>
          <t>Microsoft Cloud Adoption Framework for AI</t>
        </is>
      </c>
      <c r="G75" s="7" t="inlineStr">
        <is>
          <t>Ready phase</t>
        </is>
      </c>
      <c r="H75" s="7" t="inlineStr">
        <is>
          <t>candidate - unverified</t>
        </is>
      </c>
      <c r="I75" s="17" t="inlineStr">
        <is>
          <t>Synthesized</t>
        </is>
      </c>
      <c r="J75" s="13" t="inlineStr">
        <is>
          <t>B</t>
        </is>
      </c>
      <c r="K75" s="7" t="inlineStr">
        <is>
          <t>Current</t>
        </is>
      </c>
      <c r="L75" s="7" t="inlineStr">
        <is>
          <t>Free</t>
        </is>
      </c>
      <c r="M75" s="11" t="inlineStr"/>
      <c r="N75" s="11" t="inlineStr"/>
      <c r="O75" s="11" t="inlineStr"/>
    </row>
    <row r="76">
      <c r="A76" s="7" t="inlineStr">
        <is>
          <t>D5</t>
        </is>
      </c>
      <c r="B76" s="7" t="inlineStr">
        <is>
          <t>5.2</t>
        </is>
      </c>
      <c r="C76" s="8" t="inlineStr">
        <is>
          <t>Model Access &amp; Traffic Management</t>
        </is>
      </c>
      <c r="D76" s="7" t="inlineStr">
        <is>
          <t>S01</t>
        </is>
      </c>
      <c r="E76" s="7" t="inlineStr">
        <is>
          <t>ISO/IEC 42001</t>
        </is>
      </c>
      <c r="F76" s="7" t="inlineStr">
        <is>
          <t>ISO/IEC 42001</t>
        </is>
      </c>
      <c r="G76" s="7" t="inlineStr">
        <is>
          <t>A.4 Resources for AI systems</t>
        </is>
      </c>
      <c r="H76" s="7" t="inlineStr">
        <is>
          <t>candidate - unverified</t>
        </is>
      </c>
      <c r="I76" s="17" t="inlineStr">
        <is>
          <t>Synthesized</t>
        </is>
      </c>
      <c r="J76" s="10" t="inlineStr">
        <is>
          <t>C</t>
        </is>
      </c>
      <c r="K76" s="7" t="inlineStr">
        <is>
          <t>Current</t>
        </is>
      </c>
      <c r="L76" s="7" t="inlineStr">
        <is>
          <t>Paid — CHF 225; free contents preview</t>
        </is>
      </c>
      <c r="M76" s="11" t="inlineStr"/>
      <c r="N76" s="11" t="inlineStr"/>
      <c r="O76" s="11" t="inlineStr"/>
    </row>
    <row r="77">
      <c r="A77" s="7" t="inlineStr">
        <is>
          <t>D5</t>
        </is>
      </c>
      <c r="B77" s="7" t="inlineStr">
        <is>
          <t>5.3</t>
        </is>
      </c>
      <c r="C77" s="8" t="inlineStr">
        <is>
          <t>AI Environment &amp; Workspace Management</t>
        </is>
      </c>
      <c r="D77" s="7" t="inlineStr">
        <is>
          <t>S13</t>
        </is>
      </c>
      <c r="E77" s="7" t="inlineStr">
        <is>
          <t>Microsoft CAF for AI</t>
        </is>
      </c>
      <c r="F77" s="7" t="inlineStr">
        <is>
          <t>Microsoft Cloud Adoption Framework for AI</t>
        </is>
      </c>
      <c r="G77" s="7" t="inlineStr">
        <is>
          <t>Ready phase</t>
        </is>
      </c>
      <c r="H77" s="7" t="inlineStr">
        <is>
          <t>candidate - unverified</t>
        </is>
      </c>
      <c r="I77" s="7" t="inlineStr">
        <is>
          <t>Adapted</t>
        </is>
      </c>
      <c r="J77" s="13" t="inlineStr">
        <is>
          <t>B</t>
        </is>
      </c>
      <c r="K77" s="7" t="inlineStr">
        <is>
          <t>Current</t>
        </is>
      </c>
      <c r="L77" s="7" t="inlineStr">
        <is>
          <t>Free</t>
        </is>
      </c>
      <c r="M77" s="11" t="inlineStr"/>
      <c r="N77" s="11" t="inlineStr"/>
      <c r="O77" s="11" t="inlineStr"/>
    </row>
    <row r="78">
      <c r="A78" s="7" t="inlineStr">
        <is>
          <t>D5</t>
        </is>
      </c>
      <c r="B78" s="7" t="inlineStr">
        <is>
          <t>5.3</t>
        </is>
      </c>
      <c r="C78" s="8" t="inlineStr">
        <is>
          <t>AI Environment &amp; Workspace Management</t>
        </is>
      </c>
      <c r="D78" s="7" t="inlineStr">
        <is>
          <t>S06</t>
        </is>
      </c>
      <c r="E78" s="7" t="inlineStr">
        <is>
          <t>ISO/IEC 27001</t>
        </is>
      </c>
      <c r="F78" s="7" t="inlineStr">
        <is>
          <t>ISO/IEC 27001</t>
        </is>
      </c>
      <c r="G78" s="7" t="inlineStr"/>
      <c r="H78" s="17" t="inlineStr">
        <is>
          <t>NOT PINNED</t>
        </is>
      </c>
      <c r="I78" s="7" t="inlineStr">
        <is>
          <t>Corroborating</t>
        </is>
      </c>
      <c r="J78" s="10" t="inlineStr">
        <is>
          <t>C</t>
        </is>
      </c>
      <c r="K78" s="7" t="inlineStr">
        <is>
          <t>Current</t>
        </is>
      </c>
      <c r="L78" s="7" t="inlineStr">
        <is>
          <t>Paid — CHF 155; the 2024 climate amendment is free</t>
        </is>
      </c>
      <c r="M78" s="11" t="inlineStr"/>
      <c r="N78" s="11" t="inlineStr"/>
      <c r="O78" s="11" t="inlineStr"/>
    </row>
    <row r="79">
      <c r="A79" s="7" t="inlineStr">
        <is>
          <t>D5</t>
        </is>
      </c>
      <c r="B79" s="7" t="inlineStr">
        <is>
          <t>5.4</t>
        </is>
      </c>
      <c r="C79" s="8" t="inlineStr">
        <is>
          <t>AI Compute &amp; Capacity Management</t>
        </is>
      </c>
      <c r="D79" s="7" t="inlineStr">
        <is>
          <t>S16</t>
        </is>
      </c>
      <c r="E79" s="7" t="inlineStr">
        <is>
          <t>NVIDIA Enterprise AI Factory</t>
        </is>
      </c>
      <c r="F79" s="7" t="inlineStr">
        <is>
          <t>NVIDIA Enterprise AI Factory</t>
        </is>
      </c>
      <c r="G79" s="7" t="inlineStr">
        <is>
          <t>Ecosystem Architecture; Validated Full Stack AI Factories</t>
        </is>
      </c>
      <c r="H79" s="7" t="inlineStr">
        <is>
          <t>candidate - unverified</t>
        </is>
      </c>
      <c r="I79" s="7" t="inlineStr">
        <is>
          <t>Adapted</t>
        </is>
      </c>
      <c r="J79" s="13" t="inlineStr">
        <is>
          <t>B</t>
        </is>
      </c>
      <c r="K79" s="7" t="inlineStr">
        <is>
          <t>Current</t>
        </is>
      </c>
      <c r="L79" s="7" t="inlineStr">
        <is>
          <t>Free</t>
        </is>
      </c>
      <c r="M79" s="11" t="inlineStr"/>
      <c r="N79" s="11" t="inlineStr"/>
      <c r="O79" s="11" t="inlineStr"/>
    </row>
    <row r="80">
      <c r="A80" s="7" t="inlineStr">
        <is>
          <t>D5</t>
        </is>
      </c>
      <c r="B80" s="7" t="inlineStr">
        <is>
          <t>5.4</t>
        </is>
      </c>
      <c r="C80" s="8" t="inlineStr">
        <is>
          <t>AI Compute &amp; Capacity Management</t>
        </is>
      </c>
      <c r="D80" s="7" t="inlineStr">
        <is>
          <t>S13</t>
        </is>
      </c>
      <c r="E80" s="7" t="inlineStr">
        <is>
          <t>Microsoft CAF for AI</t>
        </is>
      </c>
      <c r="F80" s="7" t="inlineStr">
        <is>
          <t>Microsoft Cloud Adoption Framework for AI</t>
        </is>
      </c>
      <c r="G80" s="7" t="inlineStr">
        <is>
          <t>Ready phase</t>
        </is>
      </c>
      <c r="H80" s="7" t="inlineStr">
        <is>
          <t>candidate - unverified</t>
        </is>
      </c>
      <c r="I80" s="7" t="inlineStr">
        <is>
          <t>Corroborating</t>
        </is>
      </c>
      <c r="J80" s="13" t="inlineStr">
        <is>
          <t>B</t>
        </is>
      </c>
      <c r="K80" s="7" t="inlineStr">
        <is>
          <t>Current</t>
        </is>
      </c>
      <c r="L80" s="7" t="inlineStr">
        <is>
          <t>Free</t>
        </is>
      </c>
      <c r="M80" s="11" t="inlineStr"/>
      <c r="N80" s="11" t="inlineStr"/>
      <c r="O80" s="11" t="inlineStr"/>
    </row>
    <row r="81">
      <c r="A81" s="7" t="inlineStr">
        <is>
          <t>D5</t>
        </is>
      </c>
      <c r="B81" s="7" t="inlineStr">
        <is>
          <t>5.4</t>
        </is>
      </c>
      <c r="C81" s="8" t="inlineStr">
        <is>
          <t>AI Compute &amp; Capacity Management</t>
        </is>
      </c>
      <c r="D81" s="7" t="inlineStr">
        <is>
          <t>S27</t>
        </is>
      </c>
      <c r="E81" s="7" t="inlineStr">
        <is>
          <t>FinOps Framework</t>
        </is>
      </c>
      <c r="F81" s="7" t="inlineStr">
        <is>
          <t>FinOps Foundation</t>
        </is>
      </c>
      <c r="G81" s="7" t="inlineStr">
        <is>
          <t>Optimize Usage &amp; Cost - Architecting &amp; Workload Placement</t>
        </is>
      </c>
      <c r="H81" s="7" t="inlineStr">
        <is>
          <t>candidate - unverified</t>
        </is>
      </c>
      <c r="I81" s="7" t="inlineStr">
        <is>
          <t>Corroborating</t>
        </is>
      </c>
      <c r="J81" s="12" t="inlineStr">
        <is>
          <t>A</t>
        </is>
      </c>
      <c r="K81" s="7" t="inlineStr">
        <is>
          <t>Current</t>
        </is>
      </c>
      <c r="L81" s="7" t="inlineStr">
        <is>
          <t>Free</t>
        </is>
      </c>
      <c r="M81" s="11" t="inlineStr"/>
      <c r="N81" s="11" t="inlineStr"/>
      <c r="O81" s="11" t="inlineStr"/>
    </row>
    <row r="82">
      <c r="A82" s="7" t="inlineStr">
        <is>
          <t>D5</t>
        </is>
      </c>
      <c r="B82" s="7" t="inlineStr">
        <is>
          <t>5.5</t>
        </is>
      </c>
      <c r="C82" s="8" t="inlineStr">
        <is>
          <t>Tool &amp; Connector Catalog Management</t>
        </is>
      </c>
      <c r="D82" s="7" t="inlineStr">
        <is>
          <t>S17</t>
        </is>
      </c>
      <c r="E82" s="7" t="inlineStr">
        <is>
          <t>SAP AI-native North Star</t>
        </is>
      </c>
      <c r="F82" s="7" t="inlineStr">
        <is>
          <t>SAP AI-native North Star architecture</t>
        </is>
      </c>
      <c r="G82" s="7" t="inlineStr">
        <is>
          <t>Platform Layer</t>
        </is>
      </c>
      <c r="H82" s="7" t="inlineStr">
        <is>
          <t>candidate - unverified</t>
        </is>
      </c>
      <c r="I82" s="17" t="inlineStr">
        <is>
          <t>Synthesized</t>
        </is>
      </c>
      <c r="J82" s="13" t="inlineStr">
        <is>
          <t>B</t>
        </is>
      </c>
      <c r="K82" s="7" t="inlineStr">
        <is>
          <t>Current</t>
        </is>
      </c>
      <c r="L82" s="7" t="inlineStr">
        <is>
          <t>Free</t>
        </is>
      </c>
      <c r="M82" s="11" t="inlineStr"/>
      <c r="N82" s="11" t="inlineStr"/>
      <c r="O82" s="11" t="inlineStr"/>
    </row>
    <row r="83">
      <c r="A83" s="7" t="inlineStr">
        <is>
          <t>D5</t>
        </is>
      </c>
      <c r="B83" s="7" t="inlineStr">
        <is>
          <t>5.5</t>
        </is>
      </c>
      <c r="C83" s="8" t="inlineStr">
        <is>
          <t>Tool &amp; Connector Catalog Management</t>
        </is>
      </c>
      <c r="D83" s="7" t="inlineStr">
        <is>
          <t>S31</t>
        </is>
      </c>
      <c r="E83" s="7" t="inlineStr">
        <is>
          <t>IMDA Model AI Governance Framework</t>
        </is>
      </c>
      <c r="F83" s="7" t="inlineStr">
        <is>
          <t>IMDA Model AI Governance Framework</t>
        </is>
      </c>
      <c r="G83" s="7" t="inlineStr">
        <is>
          <t>Security</t>
        </is>
      </c>
      <c r="H83" s="7" t="inlineStr">
        <is>
          <t>candidate - unverified</t>
        </is>
      </c>
      <c r="I83" s="17" t="inlineStr">
        <is>
          <t>Synthesized</t>
        </is>
      </c>
      <c r="J83" s="12" t="inlineStr">
        <is>
          <t>A</t>
        </is>
      </c>
      <c r="K83" s="7" t="inlineStr">
        <is>
          <t>Current — but our citation was ambiguous</t>
        </is>
      </c>
      <c r="L83" s="7" t="inlineStr">
        <is>
          <t>Free</t>
        </is>
      </c>
      <c r="M83" s="11" t="inlineStr"/>
      <c r="N83" s="11" t="inlineStr"/>
      <c r="O83" s="11" t="inlineStr"/>
    </row>
    <row r="84">
      <c r="A84" s="7" t="inlineStr">
        <is>
          <t>D5</t>
        </is>
      </c>
      <c r="B84" s="7" t="inlineStr">
        <is>
          <t>5.5</t>
        </is>
      </c>
      <c r="C84" s="8" t="inlineStr">
        <is>
          <t>Tool &amp; Connector Catalog Management</t>
        </is>
      </c>
      <c r="D84" s="7" t="inlineStr">
        <is>
          <t>S33</t>
        </is>
      </c>
      <c r="E84" s="7" t="inlineStr">
        <is>
          <t>MCP specification</t>
        </is>
      </c>
      <c r="F84" s="7" t="inlineStr">
        <is>
          <t>Model Context Protocol specification</t>
        </is>
      </c>
      <c r="G84" s="7" t="inlineStr">
        <is>
          <t>2026-07-28, Architecture</t>
        </is>
      </c>
      <c r="H84" s="7" t="inlineStr">
        <is>
          <t>candidate - unverified</t>
        </is>
      </c>
      <c r="I84" s="17" t="inlineStr">
        <is>
          <t>Synthesized</t>
        </is>
      </c>
      <c r="J84" s="12" t="inlineStr">
        <is>
          <t>A</t>
        </is>
      </c>
      <c r="K84" s="7" t="inlineStr">
        <is>
          <t>Current</t>
        </is>
      </c>
      <c r="L84" s="7" t="inlineStr">
        <is>
          <t>Free, open source</t>
        </is>
      </c>
      <c r="M84" s="11" t="inlineStr"/>
      <c r="N84" s="11" t="inlineStr"/>
      <c r="O84" s="11" t="inlineStr"/>
    </row>
    <row r="85">
      <c r="A85" s="7" t="inlineStr">
        <is>
          <t>D5</t>
        </is>
      </c>
      <c r="B85" s="7" t="inlineStr">
        <is>
          <t>5.6</t>
        </is>
      </c>
      <c r="C85" s="8" t="inlineStr">
        <is>
          <t>AI Developer Experience &amp; Reuse Assets</t>
        </is>
      </c>
      <c r="D85" s="7" t="inlineStr">
        <is>
          <t>S23</t>
        </is>
      </c>
      <c r="E85" s="7" t="inlineStr">
        <is>
          <t>IT4IT Standard</t>
        </is>
      </c>
      <c r="F85" s="7" t="inlineStr">
        <is>
          <t>The Open Group IT4IT</t>
        </is>
      </c>
      <c r="G85" s="7" t="inlineStr">
        <is>
          <t>Deploy value stream</t>
        </is>
      </c>
      <c r="H85" s="7" t="inlineStr">
        <is>
          <t>candidate - unverified</t>
        </is>
      </c>
      <c r="I85" s="17" t="inlineStr">
        <is>
          <t>Synthesized</t>
        </is>
      </c>
      <c r="J85" s="13" t="inlineStr">
        <is>
          <t>B</t>
        </is>
      </c>
      <c r="K85" s="7" t="inlineStr">
        <is>
          <t>Current</t>
        </is>
      </c>
      <c r="L85" s="7" t="inlineStr">
        <is>
          <t>Free to read</t>
        </is>
      </c>
      <c r="M85" s="11" t="inlineStr"/>
      <c r="N85" s="11" t="inlineStr"/>
      <c r="O85" s="11" t="inlineStr"/>
    </row>
    <row r="86">
      <c r="A86" s="7" t="inlineStr">
        <is>
          <t>D5</t>
        </is>
      </c>
      <c r="B86" s="7" t="inlineStr">
        <is>
          <t>5.6</t>
        </is>
      </c>
      <c r="C86" s="8" t="inlineStr">
        <is>
          <t>AI Developer Experience &amp; Reuse Assets</t>
        </is>
      </c>
      <c r="D86" s="7" t="inlineStr">
        <is>
          <t>S22</t>
        </is>
      </c>
      <c r="E86" s="7" t="inlineStr">
        <is>
          <t>Open Agile Architecture</t>
        </is>
      </c>
      <c r="F86" s="7" t="inlineStr">
        <is>
          <t>The Open Group Open Agile Architecture</t>
        </is>
      </c>
      <c r="G86" s="7" t="inlineStr">
        <is>
          <t>Part 4 The Ways of Supporting</t>
        </is>
      </c>
      <c r="H86" s="7" t="inlineStr">
        <is>
          <t>candidate - unverified</t>
        </is>
      </c>
      <c r="I86" s="17" t="inlineStr">
        <is>
          <t>Synthesized</t>
        </is>
      </c>
      <c r="J86" s="13" t="inlineStr">
        <is>
          <t>B</t>
        </is>
      </c>
      <c r="K86" s="7" t="inlineStr">
        <is>
          <t>Current</t>
        </is>
      </c>
      <c r="L86" s="7" t="inlineStr">
        <is>
          <t>Free perpetual non-commercial licence; paid commercial</t>
        </is>
      </c>
      <c r="M86" s="11" t="inlineStr"/>
      <c r="N86" s="11" t="inlineStr"/>
      <c r="O86" s="11" t="inlineStr"/>
    </row>
    <row r="87">
      <c r="A87" s="7" t="inlineStr">
        <is>
          <t>D5</t>
        </is>
      </c>
      <c r="B87" s="7" t="inlineStr">
        <is>
          <t>5.6</t>
        </is>
      </c>
      <c r="C87" s="8" t="inlineStr">
        <is>
          <t>AI Developer Experience &amp; Reuse Assets</t>
        </is>
      </c>
      <c r="D87" s="7" t="inlineStr">
        <is>
          <t>S12</t>
        </is>
      </c>
      <c r="E87" s="7" t="inlineStr">
        <is>
          <t>AWS CAF-AI</t>
        </is>
      </c>
      <c r="F87" s="7" t="inlineStr">
        <is>
          <t>AWS CAF-AI</t>
        </is>
      </c>
      <c r="G87" s="7" t="inlineStr">
        <is>
          <t>Platform perspective - Platform Architecture, Platform Engineering</t>
        </is>
      </c>
      <c r="H87" s="7" t="inlineStr">
        <is>
          <t>candidate - unverified</t>
        </is>
      </c>
      <c r="I87" s="17" t="inlineStr">
        <is>
          <t>Synthesized</t>
        </is>
      </c>
      <c r="J87" s="10" t="inlineStr">
        <is>
          <t>C</t>
        </is>
      </c>
      <c r="K87" s="7" t="inlineStr">
        <is>
          <t>Flagged historical by AWS</t>
        </is>
      </c>
      <c r="L87" s="7" t="inlineStr">
        <is>
          <t>Free</t>
        </is>
      </c>
      <c r="M87" s="11" t="inlineStr"/>
      <c r="N87" s="11" t="inlineStr"/>
      <c r="O87" s="11" t="inlineStr"/>
    </row>
    <row r="88">
      <c r="A88" s="7" t="inlineStr">
        <is>
          <t>D6</t>
        </is>
      </c>
      <c r="B88" s="7" t="inlineStr">
        <is>
          <t>6.1</t>
        </is>
      </c>
      <c r="C88" s="8" t="inlineStr">
        <is>
          <t>AI Deployment &amp; Serving Operations</t>
        </is>
      </c>
      <c r="D88" s="7" t="inlineStr">
        <is>
          <t>S15</t>
        </is>
      </c>
      <c r="E88" s="7" t="inlineStr">
        <is>
          <t>IBM GenAI Capability Model</t>
        </is>
      </c>
      <c r="F88" s="7" t="inlineStr">
        <is>
          <t>IBM Generative AI Capability Model</t>
        </is>
      </c>
      <c r="G88" s="7" t="inlineStr">
        <is>
          <t>GenAI Operations</t>
        </is>
      </c>
      <c r="H88" s="7" t="inlineStr">
        <is>
          <t>candidate - unverified</t>
        </is>
      </c>
      <c r="I88" s="7" t="inlineStr">
        <is>
          <t>Adapted</t>
        </is>
      </c>
      <c r="J88" s="13" t="inlineStr">
        <is>
          <t>B</t>
        </is>
      </c>
      <c r="K88" s="7" t="inlineStr">
        <is>
          <t>Current</t>
        </is>
      </c>
      <c r="L88" s="7" t="inlineStr">
        <is>
          <t>Free</t>
        </is>
      </c>
      <c r="M88" s="11" t="inlineStr"/>
      <c r="N88" s="11" t="inlineStr"/>
      <c r="O88" s="11" t="inlineStr"/>
    </row>
    <row r="89">
      <c r="A89" s="7" t="inlineStr">
        <is>
          <t>D6</t>
        </is>
      </c>
      <c r="B89" s="7" t="inlineStr">
        <is>
          <t>6.1</t>
        </is>
      </c>
      <c r="C89" s="8" t="inlineStr">
        <is>
          <t>AI Deployment &amp; Serving Operations</t>
        </is>
      </c>
      <c r="D89" s="7" t="inlineStr">
        <is>
          <t>S24</t>
        </is>
      </c>
      <c r="E89" s="7" t="inlineStr">
        <is>
          <t>ITIL 4</t>
        </is>
      </c>
      <c r="F89" s="7" t="inlineStr">
        <is>
          <t>ITIL 4</t>
        </is>
      </c>
      <c r="G89" s="7" t="inlineStr">
        <is>
          <t>Service management practices - incident, problem, monitoring</t>
        </is>
      </c>
      <c r="H89" s="7" t="inlineStr">
        <is>
          <t>candidate - unverified</t>
        </is>
      </c>
      <c r="I89" s="7" t="inlineStr">
        <is>
          <t>Corroborating</t>
        </is>
      </c>
      <c r="J89" s="10" t="inlineStr">
        <is>
          <t>C</t>
        </is>
      </c>
      <c r="K89" s="7" t="inlineStr">
        <is>
          <t>Superseded in part</t>
        </is>
      </c>
      <c r="L89" s="7" t="inlineStr">
        <is>
          <t>Paid — publications or certification/membership</t>
        </is>
      </c>
      <c r="M89" s="11" t="inlineStr"/>
      <c r="N89" s="11" t="inlineStr"/>
      <c r="O89" s="11" t="inlineStr"/>
    </row>
    <row r="90">
      <c r="A90" s="7" t="inlineStr">
        <is>
          <t>D6</t>
        </is>
      </c>
      <c r="B90" s="7" t="inlineStr">
        <is>
          <t>6.1</t>
        </is>
      </c>
      <c r="C90" s="8" t="inlineStr">
        <is>
          <t>AI Deployment &amp; Serving Operations</t>
        </is>
      </c>
      <c r="D90" s="7" t="inlineStr">
        <is>
          <t>S02</t>
        </is>
      </c>
      <c r="E90" s="7" t="inlineStr">
        <is>
          <t>ISO/IEC 5338</t>
        </is>
      </c>
      <c r="F90" s="7" t="inlineStr">
        <is>
          <t>ISO/IEC 5338</t>
        </is>
      </c>
      <c r="G90" s="7" t="inlineStr">
        <is>
          <t>6.4.15 Operation; 6.4.16 Maintenance</t>
        </is>
      </c>
      <c r="H90" s="7" t="inlineStr">
        <is>
          <t>candidate - unverified</t>
        </is>
      </c>
      <c r="I90" s="7" t="inlineStr">
        <is>
          <t>Corroborating</t>
        </is>
      </c>
      <c r="J90" s="10" t="inlineStr">
        <is>
          <t>C</t>
        </is>
      </c>
      <c r="K90" s="7" t="inlineStr">
        <is>
          <t>Current</t>
        </is>
      </c>
      <c r="L90" s="7" t="inlineStr">
        <is>
          <t>Paid</t>
        </is>
      </c>
      <c r="M90" s="11" t="inlineStr"/>
      <c r="N90" s="11" t="inlineStr"/>
      <c r="O90" s="11" t="inlineStr"/>
    </row>
    <row r="91">
      <c r="A91" s="7" t="inlineStr">
        <is>
          <t>D6</t>
        </is>
      </c>
      <c r="B91" s="7" t="inlineStr">
        <is>
          <t>6.2</t>
        </is>
      </c>
      <c r="C91" s="8" t="inlineStr">
        <is>
          <t>AI Monitoring &amp; Observability</t>
        </is>
      </c>
      <c r="D91" s="7" t="inlineStr">
        <is>
          <t>S15</t>
        </is>
      </c>
      <c r="E91" s="7" t="inlineStr">
        <is>
          <t>IBM GenAI Capability Model</t>
        </is>
      </c>
      <c r="F91" s="7" t="inlineStr">
        <is>
          <t>IBM Generative AI Capability Model</t>
        </is>
      </c>
      <c r="G91" s="7" t="inlineStr">
        <is>
          <t>GenAI Operations</t>
        </is>
      </c>
      <c r="H91" s="7" t="inlineStr">
        <is>
          <t>candidate - unverified</t>
        </is>
      </c>
      <c r="I91" s="7" t="inlineStr">
        <is>
          <t>Adapted</t>
        </is>
      </c>
      <c r="J91" s="13" t="inlineStr">
        <is>
          <t>B</t>
        </is>
      </c>
      <c r="K91" s="7" t="inlineStr">
        <is>
          <t>Current</t>
        </is>
      </c>
      <c r="L91" s="7" t="inlineStr">
        <is>
          <t>Free</t>
        </is>
      </c>
      <c r="M91" s="11" t="inlineStr"/>
      <c r="N91" s="11" t="inlineStr"/>
      <c r="O91" s="11" t="inlineStr"/>
    </row>
    <row r="92">
      <c r="A92" s="7" t="inlineStr">
        <is>
          <t>D6</t>
        </is>
      </c>
      <c r="B92" s="7" t="inlineStr">
        <is>
          <t>6.2</t>
        </is>
      </c>
      <c r="C92" s="8" t="inlineStr">
        <is>
          <t>AI Monitoring &amp; Observability</t>
        </is>
      </c>
      <c r="D92" s="7" t="inlineStr">
        <is>
          <t>S16</t>
        </is>
      </c>
      <c r="E92" s="7" t="inlineStr">
        <is>
          <t>NVIDIA Enterprise AI Factory</t>
        </is>
      </c>
      <c r="F92" s="7" t="inlineStr">
        <is>
          <t>NVIDIA Enterprise AI Factory</t>
        </is>
      </c>
      <c r="G92" s="7" t="inlineStr">
        <is>
          <t>Deployment Strategies</t>
        </is>
      </c>
      <c r="H92" s="7" t="inlineStr">
        <is>
          <t>candidate - unverified</t>
        </is>
      </c>
      <c r="I92" s="7" t="inlineStr">
        <is>
          <t>Corroborating</t>
        </is>
      </c>
      <c r="J92" s="13" t="inlineStr">
        <is>
          <t>B</t>
        </is>
      </c>
      <c r="K92" s="7" t="inlineStr">
        <is>
          <t>Current</t>
        </is>
      </c>
      <c r="L92" s="7" t="inlineStr">
        <is>
          <t>Free</t>
        </is>
      </c>
      <c r="M92" s="11" t="inlineStr"/>
      <c r="N92" s="11" t="inlineStr"/>
      <c r="O92" s="11" t="inlineStr"/>
    </row>
    <row r="93">
      <c r="A93" s="7" t="inlineStr">
        <is>
          <t>D6</t>
        </is>
      </c>
      <c r="B93" s="7" t="inlineStr">
        <is>
          <t>6.2</t>
        </is>
      </c>
      <c r="C93" s="8" t="inlineStr">
        <is>
          <t>AI Monitoring &amp; Observability</t>
        </is>
      </c>
      <c r="D93" s="7" t="inlineStr">
        <is>
          <t>S08</t>
        </is>
      </c>
      <c r="E93" s="7" t="inlineStr">
        <is>
          <t>NIST AI RMF</t>
        </is>
      </c>
      <c r="F93" s="7" t="inlineStr">
        <is>
          <t>NIST AI RMF - Measure</t>
        </is>
      </c>
      <c r="G93" s="7" t="inlineStr">
        <is>
          <t>MEASURE</t>
        </is>
      </c>
      <c r="H93" s="7" t="inlineStr">
        <is>
          <t>stated in our own citation</t>
        </is>
      </c>
      <c r="I93" s="7" t="inlineStr">
        <is>
          <t>Corroborating</t>
        </is>
      </c>
      <c r="J93" s="12" t="inlineStr">
        <is>
          <t>A</t>
        </is>
      </c>
      <c r="K93" s="7" t="inlineStr">
        <is>
          <t>Current</t>
        </is>
      </c>
      <c r="L93" s="7" t="inlineStr">
        <is>
          <t>Free — no registration</t>
        </is>
      </c>
      <c r="M93" s="11" t="inlineStr"/>
      <c r="N93" s="11" t="inlineStr"/>
      <c r="O93" s="11" t="inlineStr"/>
    </row>
    <row r="94">
      <c r="A94" s="7" t="inlineStr">
        <is>
          <t>D6</t>
        </is>
      </c>
      <c r="B94" s="7" t="inlineStr">
        <is>
          <t>6.3</t>
        </is>
      </c>
      <c r="C94" s="8" t="inlineStr">
        <is>
          <t>Continuous Evaluation, Drift &amp; Quality Management</t>
        </is>
      </c>
      <c r="D94" s="7" t="inlineStr">
        <is>
          <t>S08</t>
        </is>
      </c>
      <c r="E94" s="7" t="inlineStr">
        <is>
          <t>NIST AI RMF</t>
        </is>
      </c>
      <c r="F94" s="7" t="inlineStr">
        <is>
          <t>NIST AI RMF - Measure</t>
        </is>
      </c>
      <c r="G94" s="7" t="inlineStr">
        <is>
          <t>MEASURE</t>
        </is>
      </c>
      <c r="H94" s="7" t="inlineStr">
        <is>
          <t>stated in our own citation</t>
        </is>
      </c>
      <c r="I94" s="7" t="inlineStr">
        <is>
          <t>Adapted</t>
        </is>
      </c>
      <c r="J94" s="12" t="inlineStr">
        <is>
          <t>A</t>
        </is>
      </c>
      <c r="K94" s="7" t="inlineStr">
        <is>
          <t>Current</t>
        </is>
      </c>
      <c r="L94" s="7" t="inlineStr">
        <is>
          <t>Free — no registration</t>
        </is>
      </c>
      <c r="M94" s="11" t="inlineStr"/>
      <c r="N94" s="11" t="inlineStr"/>
      <c r="O94" s="11" t="inlineStr"/>
    </row>
    <row r="95">
      <c r="A95" s="7" t="inlineStr">
        <is>
          <t>D6</t>
        </is>
      </c>
      <c r="B95" s="7" t="inlineStr">
        <is>
          <t>6.3</t>
        </is>
      </c>
      <c r="C95" s="8" t="inlineStr">
        <is>
          <t>Continuous Evaluation, Drift &amp; Quality Management</t>
        </is>
      </c>
      <c r="D95" s="7" t="inlineStr">
        <is>
          <t>S02</t>
        </is>
      </c>
      <c r="E95" s="7" t="inlineStr">
        <is>
          <t>ISO/IEC 5338</t>
        </is>
      </c>
      <c r="F95" s="7" t="inlineStr">
        <is>
          <t>ISO/IEC 5338</t>
        </is>
      </c>
      <c r="G95" s="7" t="inlineStr">
        <is>
          <t>6.4.15 Operation; 6.4.16 Maintenance</t>
        </is>
      </c>
      <c r="H95" s="7" t="inlineStr">
        <is>
          <t>candidate - unverified</t>
        </is>
      </c>
      <c r="I95" s="7" t="inlineStr">
        <is>
          <t>Corroborating</t>
        </is>
      </c>
      <c r="J95" s="10" t="inlineStr">
        <is>
          <t>C</t>
        </is>
      </c>
      <c r="K95" s="7" t="inlineStr">
        <is>
          <t>Current</t>
        </is>
      </c>
      <c r="L95" s="7" t="inlineStr">
        <is>
          <t>Paid</t>
        </is>
      </c>
      <c r="M95" s="11" t="inlineStr"/>
      <c r="N95" s="11" t="inlineStr"/>
      <c r="O95" s="11" t="inlineStr"/>
    </row>
    <row r="96">
      <c r="A96" s="7" t="inlineStr">
        <is>
          <t>D6</t>
        </is>
      </c>
      <c r="B96" s="7" t="inlineStr">
        <is>
          <t>6.4</t>
        </is>
      </c>
      <c r="C96" s="8" t="inlineStr">
        <is>
          <t>AI Incident &amp; Problem Management</t>
        </is>
      </c>
      <c r="D96" s="7" t="inlineStr">
        <is>
          <t>S01</t>
        </is>
      </c>
      <c r="E96" s="7" t="inlineStr">
        <is>
          <t>ISO/IEC 42001</t>
        </is>
      </c>
      <c r="F96" s="7" t="inlineStr">
        <is>
          <t>ISO/IEC 42001</t>
        </is>
      </c>
      <c r="G96" s="7" t="inlineStr">
        <is>
          <t>A.6 AI system life cycle</t>
        </is>
      </c>
      <c r="H96" s="7" t="inlineStr">
        <is>
          <t>candidate - unverified</t>
        </is>
      </c>
      <c r="I96" s="7" t="inlineStr">
        <is>
          <t>Adapted</t>
        </is>
      </c>
      <c r="J96" s="10" t="inlineStr">
        <is>
          <t>C</t>
        </is>
      </c>
      <c r="K96" s="7" t="inlineStr">
        <is>
          <t>Current</t>
        </is>
      </c>
      <c r="L96" s="7" t="inlineStr">
        <is>
          <t>Paid — CHF 225; free contents preview</t>
        </is>
      </c>
      <c r="M96" s="11" t="inlineStr"/>
      <c r="N96" s="11" t="inlineStr"/>
      <c r="O96" s="11" t="inlineStr"/>
    </row>
    <row r="97">
      <c r="A97" s="7" t="inlineStr">
        <is>
          <t>D6</t>
        </is>
      </c>
      <c r="B97" s="7" t="inlineStr">
        <is>
          <t>6.4</t>
        </is>
      </c>
      <c r="C97" s="8" t="inlineStr">
        <is>
          <t>AI Incident &amp; Problem Management</t>
        </is>
      </c>
      <c r="D97" s="7" t="inlineStr">
        <is>
          <t>S08</t>
        </is>
      </c>
      <c r="E97" s="7" t="inlineStr">
        <is>
          <t>NIST AI RMF</t>
        </is>
      </c>
      <c r="F97" s="7" t="inlineStr">
        <is>
          <t>NIST AI RMF - Manage</t>
        </is>
      </c>
      <c r="G97" s="7" t="inlineStr">
        <is>
          <t>MANAGE</t>
        </is>
      </c>
      <c r="H97" s="7" t="inlineStr">
        <is>
          <t>stated in our own citation</t>
        </is>
      </c>
      <c r="I97" s="7" t="inlineStr">
        <is>
          <t>Corroborating</t>
        </is>
      </c>
      <c r="J97" s="12" t="inlineStr">
        <is>
          <t>A</t>
        </is>
      </c>
      <c r="K97" s="7" t="inlineStr">
        <is>
          <t>Current</t>
        </is>
      </c>
      <c r="L97" s="7" t="inlineStr">
        <is>
          <t>Free — no registration</t>
        </is>
      </c>
      <c r="M97" s="11" t="inlineStr"/>
      <c r="N97" s="11" t="inlineStr"/>
      <c r="O97" s="11" t="inlineStr"/>
    </row>
    <row r="98">
      <c r="A98" s="7" t="inlineStr">
        <is>
          <t>D6</t>
        </is>
      </c>
      <c r="B98" s="7" t="inlineStr">
        <is>
          <t>6.4</t>
        </is>
      </c>
      <c r="C98" s="8" t="inlineStr">
        <is>
          <t>AI Incident &amp; Problem Management</t>
        </is>
      </c>
      <c r="D98" s="7" t="inlineStr">
        <is>
          <t>S24</t>
        </is>
      </c>
      <c r="E98" s="7" t="inlineStr">
        <is>
          <t>ITIL 4</t>
        </is>
      </c>
      <c r="F98" s="7" t="inlineStr">
        <is>
          <t>ITIL 4</t>
        </is>
      </c>
      <c r="G98" s="7" t="inlineStr">
        <is>
          <t>Service management practices - incident, problem, monitoring</t>
        </is>
      </c>
      <c r="H98" s="7" t="inlineStr">
        <is>
          <t>candidate - unverified</t>
        </is>
      </c>
      <c r="I98" s="7" t="inlineStr">
        <is>
          <t>Corroborating</t>
        </is>
      </c>
      <c r="J98" s="10" t="inlineStr">
        <is>
          <t>C</t>
        </is>
      </c>
      <c r="K98" s="7" t="inlineStr">
        <is>
          <t>Superseded in part</t>
        </is>
      </c>
      <c r="L98" s="7" t="inlineStr">
        <is>
          <t>Paid — publications or certification/membership</t>
        </is>
      </c>
      <c r="M98" s="11" t="inlineStr"/>
      <c r="N98" s="11" t="inlineStr"/>
      <c r="O98" s="11" t="inlineStr"/>
    </row>
    <row r="99">
      <c r="A99" s="7" t="inlineStr">
        <is>
          <t>D6</t>
        </is>
      </c>
      <c r="B99" s="7" t="inlineStr">
        <is>
          <t>6.5</t>
        </is>
      </c>
      <c r="C99" s="8" t="inlineStr">
        <is>
          <t>AI Cost Management</t>
        </is>
      </c>
      <c r="D99" s="7" t="inlineStr">
        <is>
          <t>S27</t>
        </is>
      </c>
      <c r="E99" s="7" t="inlineStr">
        <is>
          <t>FinOps Framework</t>
        </is>
      </c>
      <c r="F99" s="7" t="inlineStr">
        <is>
          <t>FinOps Foundation</t>
        </is>
      </c>
      <c r="G99" s="7" t="inlineStr">
        <is>
          <t>Optimize Usage &amp; Cost; Quantify Business Value</t>
        </is>
      </c>
      <c r="H99" s="7" t="inlineStr">
        <is>
          <t>candidate - unverified</t>
        </is>
      </c>
      <c r="I99" s="7" t="inlineStr">
        <is>
          <t>Adapted</t>
        </is>
      </c>
      <c r="J99" s="12" t="inlineStr">
        <is>
          <t>A</t>
        </is>
      </c>
      <c r="K99" s="7" t="inlineStr">
        <is>
          <t>Current</t>
        </is>
      </c>
      <c r="L99" s="7" t="inlineStr">
        <is>
          <t>Free</t>
        </is>
      </c>
      <c r="M99" s="11" t="inlineStr"/>
      <c r="N99" s="11" t="inlineStr"/>
      <c r="O99" s="11" t="inlineStr"/>
    </row>
    <row r="100">
      <c r="A100" s="7" t="inlineStr">
        <is>
          <t>D6</t>
        </is>
      </c>
      <c r="B100" s="7" t="inlineStr">
        <is>
          <t>6.5</t>
        </is>
      </c>
      <c r="C100" s="8" t="inlineStr">
        <is>
          <t>AI Cost Management</t>
        </is>
      </c>
      <c r="D100" s="7" t="inlineStr">
        <is>
          <t>S13</t>
        </is>
      </c>
      <c r="E100" s="7" t="inlineStr">
        <is>
          <t>Microsoft CAF for AI</t>
        </is>
      </c>
      <c r="F100" s="7" t="inlineStr">
        <is>
          <t>Microsoft Cloud Adoption Framework for AI</t>
        </is>
      </c>
      <c r="G100" s="7" t="inlineStr">
        <is>
          <t>Manage phase</t>
        </is>
      </c>
      <c r="H100" s="7" t="inlineStr">
        <is>
          <t>candidate - unverified</t>
        </is>
      </c>
      <c r="I100" s="7" t="inlineStr">
        <is>
          <t>Corroborating</t>
        </is>
      </c>
      <c r="J100" s="13" t="inlineStr">
        <is>
          <t>B</t>
        </is>
      </c>
      <c r="K100" s="7" t="inlineStr">
        <is>
          <t>Current</t>
        </is>
      </c>
      <c r="L100" s="7" t="inlineStr">
        <is>
          <t>Free</t>
        </is>
      </c>
      <c r="M100" s="11" t="inlineStr"/>
      <c r="N100" s="11" t="inlineStr"/>
      <c r="O100" s="11" t="inlineStr"/>
    </row>
    <row r="101">
      <c r="A101" s="7" t="inlineStr">
        <is>
          <t>D6</t>
        </is>
      </c>
      <c r="B101" s="7" t="inlineStr">
        <is>
          <t>6.5</t>
        </is>
      </c>
      <c r="C101" s="8" t="inlineStr">
        <is>
          <t>AI Cost Management</t>
        </is>
      </c>
      <c r="D101" s="7" t="inlineStr">
        <is>
          <t>S34</t>
        </is>
      </c>
      <c r="E101" s="7" t="inlineStr">
        <is>
          <t>Gartner</t>
        </is>
      </c>
      <c r="F101" s="7" t="inlineStr">
        <is>
          <t>Gartner (analyst, non-public)</t>
        </is>
      </c>
      <c r="G101" s="7" t="inlineStr"/>
      <c r="H101" s="17" t="inlineStr">
        <is>
          <t>NOT PINNED</t>
        </is>
      </c>
      <c r="I101" s="15" t="inlineStr">
        <is>
          <t>Unsupported</t>
        </is>
      </c>
      <c r="J101" s="16" t="inlineStr">
        <is>
          <t>D</t>
        </is>
      </c>
      <c r="K101" s="7" t="inlineStr">
        <is>
          <t>Non-public</t>
        </is>
      </c>
      <c r="L101" s="7" t="inlineStr">
        <is>
          <t>Subscription — non-public</t>
        </is>
      </c>
      <c r="M101" s="11" t="inlineStr"/>
      <c r="N101" s="11" t="inlineStr"/>
      <c r="O101" s="11" t="inlineStr"/>
    </row>
    <row r="102">
      <c r="A102" s="7" t="inlineStr">
        <is>
          <t>D6</t>
        </is>
      </c>
      <c r="B102" s="7" t="inlineStr">
        <is>
          <t>6.6</t>
        </is>
      </c>
      <c r="C102" s="8" t="inlineStr">
        <is>
          <t>AI Asset Retirement &amp; Evidence Preservation</t>
        </is>
      </c>
      <c r="D102" s="7" t="inlineStr">
        <is>
          <t>S02</t>
        </is>
      </c>
      <c r="E102" s="7" t="inlineStr">
        <is>
          <t>ISO/IEC 5338</t>
        </is>
      </c>
      <c r="F102" s="7" t="inlineStr">
        <is>
          <t>ISO/IEC 5338 - retirement processes</t>
        </is>
      </c>
      <c r="G102" s="7" t="inlineStr">
        <is>
          <t>6.4.17 Disposal</t>
        </is>
      </c>
      <c r="H102" s="7" t="inlineStr">
        <is>
          <t>stated in our own citation</t>
        </is>
      </c>
      <c r="I102" s="17" t="inlineStr">
        <is>
          <t>Synthesized</t>
        </is>
      </c>
      <c r="J102" s="10" t="inlineStr">
        <is>
          <t>C</t>
        </is>
      </c>
      <c r="K102" s="7" t="inlineStr">
        <is>
          <t>Current</t>
        </is>
      </c>
      <c r="L102" s="7" t="inlineStr">
        <is>
          <t>Paid</t>
        </is>
      </c>
      <c r="M102" s="11" t="inlineStr"/>
      <c r="N102" s="11" t="inlineStr"/>
      <c r="O102" s="11" t="inlineStr"/>
    </row>
    <row r="103">
      <c r="A103" s="7" t="inlineStr">
        <is>
          <t>D6</t>
        </is>
      </c>
      <c r="B103" s="7" t="inlineStr">
        <is>
          <t>6.6</t>
        </is>
      </c>
      <c r="C103" s="8" t="inlineStr">
        <is>
          <t>AI Asset Retirement &amp; Evidence Preservation</t>
        </is>
      </c>
      <c r="D103" s="7" t="inlineStr">
        <is>
          <t>S01</t>
        </is>
      </c>
      <c r="E103" s="7" t="inlineStr">
        <is>
          <t>ISO/IEC 42001</t>
        </is>
      </c>
      <c r="F103" s="7" t="inlineStr">
        <is>
          <t>ISO/IEC 42001</t>
        </is>
      </c>
      <c r="G103" s="7" t="inlineStr">
        <is>
          <t>A.6 AI system life cycle</t>
        </is>
      </c>
      <c r="H103" s="7" t="inlineStr">
        <is>
          <t>candidate - unverified</t>
        </is>
      </c>
      <c r="I103" s="17" t="inlineStr">
        <is>
          <t>Synthesized</t>
        </is>
      </c>
      <c r="J103" s="10" t="inlineStr">
        <is>
          <t>C</t>
        </is>
      </c>
      <c r="K103" s="7" t="inlineStr">
        <is>
          <t>Current</t>
        </is>
      </c>
      <c r="L103" s="7" t="inlineStr">
        <is>
          <t>Paid — CHF 225; free contents preview</t>
        </is>
      </c>
      <c r="M103" s="11" t="inlineStr"/>
      <c r="N103" s="11" t="inlineStr"/>
      <c r="O103" s="11" t="inlineStr"/>
    </row>
    <row r="104">
      <c r="A104" s="7" t="inlineStr">
        <is>
          <t>D6</t>
        </is>
      </c>
      <c r="B104" s="7" t="inlineStr">
        <is>
          <t>6.6</t>
        </is>
      </c>
      <c r="C104" s="8" t="inlineStr">
        <is>
          <t>AI Asset Retirement &amp; Evidence Preservation</t>
        </is>
      </c>
      <c r="D104" s="7" t="inlineStr">
        <is>
          <t>S11</t>
        </is>
      </c>
      <c r="E104" s="7" t="inlineStr">
        <is>
          <t>GAO AI Accountability Framework</t>
        </is>
      </c>
      <c r="F104" s="7" t="inlineStr">
        <is>
          <t>GAO AI Accountability Framework</t>
        </is>
      </c>
      <c r="G104" s="7" t="inlineStr">
        <is>
          <t>Monitoring principle</t>
        </is>
      </c>
      <c r="H104" s="7" t="inlineStr">
        <is>
          <t>candidate - unverified</t>
        </is>
      </c>
      <c r="I104" s="17" t="inlineStr">
        <is>
          <t>Synthesized</t>
        </is>
      </c>
      <c r="J104" s="12" t="inlineStr">
        <is>
          <t>A</t>
        </is>
      </c>
      <c r="K104" s="7" t="inlineStr">
        <is>
          <t>Current</t>
        </is>
      </c>
      <c r="L104" s="7" t="inlineStr">
        <is>
          <t>Free</t>
        </is>
      </c>
      <c r="M104" s="11" t="inlineStr"/>
      <c r="N104" s="11" t="inlineStr"/>
      <c r="O104" s="11" t="inlineStr"/>
    </row>
    <row r="105">
      <c r="A105" s="7" t="inlineStr">
        <is>
          <t>D7</t>
        </is>
      </c>
      <c r="B105" s="7" t="inlineStr">
        <is>
          <t>7.1</t>
        </is>
      </c>
      <c r="C105" s="8" t="inlineStr">
        <is>
          <t>AI Policy, Standards &amp; Management System</t>
        </is>
      </c>
      <c r="D105" s="7" t="inlineStr">
        <is>
          <t>S01</t>
        </is>
      </c>
      <c r="E105" s="7" t="inlineStr">
        <is>
          <t>ISO/IEC 42001</t>
        </is>
      </c>
      <c r="F105" s="7" t="inlineStr">
        <is>
          <t>ISO/IEC 42001 - AI management system</t>
        </is>
      </c>
      <c r="G105" s="7" t="inlineStr">
        <is>
          <t>Clauses 4-10 (the management system)</t>
        </is>
      </c>
      <c r="H105" s="7" t="inlineStr">
        <is>
          <t>stated in our own citation</t>
        </is>
      </c>
      <c r="I105" s="7" t="inlineStr">
        <is>
          <t>Adapted</t>
        </is>
      </c>
      <c r="J105" s="10" t="inlineStr">
        <is>
          <t>C</t>
        </is>
      </c>
      <c r="K105" s="7" t="inlineStr">
        <is>
          <t>Current</t>
        </is>
      </c>
      <c r="L105" s="7" t="inlineStr">
        <is>
          <t>Paid — CHF 225; free contents preview</t>
        </is>
      </c>
      <c r="M105" s="11" t="inlineStr"/>
      <c r="N105" s="11" t="inlineStr"/>
      <c r="O105" s="11" t="inlineStr"/>
    </row>
    <row r="106">
      <c r="A106" s="7" t="inlineStr">
        <is>
          <t>D7</t>
        </is>
      </c>
      <c r="B106" s="7" t="inlineStr">
        <is>
          <t>7.1</t>
        </is>
      </c>
      <c r="C106" s="8" t="inlineStr">
        <is>
          <t>AI Policy, Standards &amp; Management System</t>
        </is>
      </c>
      <c r="D106" s="7" t="inlineStr">
        <is>
          <t>S03</t>
        </is>
      </c>
      <c r="E106" s="7" t="inlineStr">
        <is>
          <t>ISO/IEC 38507</t>
        </is>
      </c>
      <c r="F106" s="7" t="inlineStr">
        <is>
          <t>ISO/IEC 38507</t>
        </is>
      </c>
      <c r="G106" s="7" t="inlineStr">
        <is>
          <t>6.6 Compliance; 6.7 Risk</t>
        </is>
      </c>
      <c r="H106" s="7" t="inlineStr">
        <is>
          <t>candidate - unverified</t>
        </is>
      </c>
      <c r="I106" s="7" t="inlineStr">
        <is>
          <t>Corroborating</t>
        </is>
      </c>
      <c r="J106" s="10" t="inlineStr">
        <is>
          <t>C</t>
        </is>
      </c>
      <c r="K106" s="7" t="inlineStr">
        <is>
          <t>Current</t>
        </is>
      </c>
      <c r="L106" s="7" t="inlineStr">
        <is>
          <t>Paid</t>
        </is>
      </c>
      <c r="M106" s="11" t="inlineStr"/>
      <c r="N106" s="11" t="inlineStr"/>
      <c r="O106" s="11" t="inlineStr"/>
    </row>
    <row r="107">
      <c r="A107" s="7" t="inlineStr">
        <is>
          <t>D7</t>
        </is>
      </c>
      <c r="B107" s="7" t="inlineStr">
        <is>
          <t>7.1</t>
        </is>
      </c>
      <c r="C107" s="8" t="inlineStr">
        <is>
          <t>AI Policy, Standards &amp; Management System</t>
        </is>
      </c>
      <c r="D107" s="7" t="inlineStr">
        <is>
          <t>S11</t>
        </is>
      </c>
      <c r="E107" s="7" t="inlineStr">
        <is>
          <t>GAO AI Accountability Framework</t>
        </is>
      </c>
      <c r="F107" s="7" t="inlineStr">
        <is>
          <t>GAO AI Accountability Framework</t>
        </is>
      </c>
      <c r="G107" s="7" t="inlineStr">
        <is>
          <t>Governance principle - system level</t>
        </is>
      </c>
      <c r="H107" s="7" t="inlineStr">
        <is>
          <t>candidate - unverified</t>
        </is>
      </c>
      <c r="I107" s="7" t="inlineStr">
        <is>
          <t>Corroborating</t>
        </is>
      </c>
      <c r="J107" s="12" t="inlineStr">
        <is>
          <t>A</t>
        </is>
      </c>
      <c r="K107" s="7" t="inlineStr">
        <is>
          <t>Current</t>
        </is>
      </c>
      <c r="L107" s="7" t="inlineStr">
        <is>
          <t>Free</t>
        </is>
      </c>
      <c r="M107" s="11" t="inlineStr"/>
      <c r="N107" s="11" t="inlineStr"/>
      <c r="O107" s="11" t="inlineStr"/>
    </row>
    <row r="108">
      <c r="A108" s="7" t="inlineStr">
        <is>
          <t>D7</t>
        </is>
      </c>
      <c r="B108" s="7" t="inlineStr">
        <is>
          <t>7.2</t>
        </is>
      </c>
      <c r="C108" s="8" t="inlineStr">
        <is>
          <t>Responsible &amp; Trustworthy AI Practice</t>
        </is>
      </c>
      <c r="D108" s="7" t="inlineStr">
        <is>
          <t>S08</t>
        </is>
      </c>
      <c r="E108" s="7" t="inlineStr">
        <is>
          <t>NIST AI RMF</t>
        </is>
      </c>
      <c r="F108" s="7" t="inlineStr">
        <is>
          <t>NIST AI RMF - Govern</t>
        </is>
      </c>
      <c r="G108" s="7" t="inlineStr">
        <is>
          <t>GOVERN</t>
        </is>
      </c>
      <c r="H108" s="7" t="inlineStr">
        <is>
          <t>stated in our own citation</t>
        </is>
      </c>
      <c r="I108" s="7" t="inlineStr">
        <is>
          <t>Adapted</t>
        </is>
      </c>
      <c r="J108" s="12" t="inlineStr">
        <is>
          <t>A</t>
        </is>
      </c>
      <c r="K108" s="7" t="inlineStr">
        <is>
          <t>Current</t>
        </is>
      </c>
      <c r="L108" s="7" t="inlineStr">
        <is>
          <t>Free — no registration</t>
        </is>
      </c>
      <c r="M108" s="11" t="inlineStr"/>
      <c r="N108" s="11" t="inlineStr"/>
      <c r="O108" s="11" t="inlineStr"/>
    </row>
    <row r="109">
      <c r="A109" s="7" t="inlineStr">
        <is>
          <t>D7</t>
        </is>
      </c>
      <c r="B109" s="7" t="inlineStr">
        <is>
          <t>7.2</t>
        </is>
      </c>
      <c r="C109" s="8" t="inlineStr">
        <is>
          <t>Responsible &amp; Trustworthy AI Practice</t>
        </is>
      </c>
      <c r="D109" s="7" t="inlineStr">
        <is>
          <t>S10</t>
        </is>
      </c>
      <c r="E109" s="7" t="inlineStr">
        <is>
          <t>OECD AI Principles</t>
        </is>
      </c>
      <c r="F109" s="7" t="inlineStr">
        <is>
          <t>OECD AI Principles</t>
        </is>
      </c>
      <c r="G109" s="7" t="inlineStr">
        <is>
          <t>1.3. Transparency and explainability; 1.5. Accountability</t>
        </is>
      </c>
      <c r="H109" s="7" t="inlineStr">
        <is>
          <t>candidate - unverified</t>
        </is>
      </c>
      <c r="I109" s="7" t="inlineStr">
        <is>
          <t>Corroborating</t>
        </is>
      </c>
      <c r="J109" s="12" t="inlineStr">
        <is>
          <t>A</t>
        </is>
      </c>
      <c r="K109" s="7" t="inlineStr">
        <is>
          <t>Current</t>
        </is>
      </c>
      <c r="L109" s="7" t="inlineStr">
        <is>
          <t>Free</t>
        </is>
      </c>
      <c r="M109" s="11" t="inlineStr"/>
      <c r="N109" s="11" t="inlineStr"/>
      <c r="O109" s="11" t="inlineStr"/>
    </row>
    <row r="110">
      <c r="A110" s="7" t="inlineStr">
        <is>
          <t>D7</t>
        </is>
      </c>
      <c r="B110" s="7" t="inlineStr">
        <is>
          <t>7.2</t>
        </is>
      </c>
      <c r="C110" s="8" t="inlineStr">
        <is>
          <t>Responsible &amp; Trustworthy AI Practice</t>
        </is>
      </c>
      <c r="D110" s="7" t="inlineStr">
        <is>
          <t>S01</t>
        </is>
      </c>
      <c r="E110" s="7" t="inlineStr">
        <is>
          <t>ISO/IEC 42001</t>
        </is>
      </c>
      <c r="F110" s="7" t="inlineStr">
        <is>
          <t>ISO/IEC 42001</t>
        </is>
      </c>
      <c r="G110" s="7" t="inlineStr">
        <is>
          <t>A.2 Policies related to AI; 8.2 AI risk assessment</t>
        </is>
      </c>
      <c r="H110" s="7" t="inlineStr">
        <is>
          <t>candidate - unverified</t>
        </is>
      </c>
      <c r="I110" s="7" t="inlineStr">
        <is>
          <t>Corroborating</t>
        </is>
      </c>
      <c r="J110" s="10" t="inlineStr">
        <is>
          <t>C</t>
        </is>
      </c>
      <c r="K110" s="7" t="inlineStr">
        <is>
          <t>Current</t>
        </is>
      </c>
      <c r="L110" s="7" t="inlineStr">
        <is>
          <t>Paid — CHF 225; free contents preview</t>
        </is>
      </c>
      <c r="M110" s="11" t="inlineStr"/>
      <c r="N110" s="11" t="inlineStr"/>
      <c r="O110" s="11" t="inlineStr"/>
    </row>
    <row r="111">
      <c r="A111" s="7" t="inlineStr">
        <is>
          <t>D7</t>
        </is>
      </c>
      <c r="B111" s="7" t="inlineStr">
        <is>
          <t>7.3</t>
        </is>
      </c>
      <c r="C111" s="8" t="inlineStr">
        <is>
          <t>AI Risk Management</t>
        </is>
      </c>
      <c r="D111" s="7" t="inlineStr">
        <is>
          <t>S08</t>
        </is>
      </c>
      <c r="E111" s="7" t="inlineStr">
        <is>
          <t>NIST AI RMF</t>
        </is>
      </c>
      <c r="F111" s="7" t="inlineStr">
        <is>
          <t>NIST AI RMF</t>
        </is>
      </c>
      <c r="G111" s="7" t="inlineStr">
        <is>
          <t>GOVERN</t>
        </is>
      </c>
      <c r="H111" s="7" t="inlineStr">
        <is>
          <t>candidate - unverified</t>
        </is>
      </c>
      <c r="I111" s="7" t="inlineStr">
        <is>
          <t>Adapted</t>
        </is>
      </c>
      <c r="J111" s="12" t="inlineStr">
        <is>
          <t>A</t>
        </is>
      </c>
      <c r="K111" s="7" t="inlineStr">
        <is>
          <t>Current</t>
        </is>
      </c>
      <c r="L111" s="7" t="inlineStr">
        <is>
          <t>Free — no registration</t>
        </is>
      </c>
      <c r="M111" s="11" t="inlineStr"/>
      <c r="N111" s="11" t="inlineStr"/>
      <c r="O111" s="11" t="inlineStr"/>
    </row>
    <row r="112">
      <c r="A112" s="7" t="inlineStr">
        <is>
          <t>D7</t>
        </is>
      </c>
      <c r="B112" s="7" t="inlineStr">
        <is>
          <t>7.3</t>
        </is>
      </c>
      <c r="C112" s="8" t="inlineStr">
        <is>
          <t>AI Risk Management</t>
        </is>
      </c>
      <c r="D112" s="7" t="inlineStr">
        <is>
          <t>S04</t>
        </is>
      </c>
      <c r="E112" s="7" t="inlineStr">
        <is>
          <t>ISO/IEC 23894</t>
        </is>
      </c>
      <c r="F112" s="7" t="inlineStr">
        <is>
          <t>ISO/IEC 23894</t>
        </is>
      </c>
      <c r="G112" s="7" t="inlineStr">
        <is>
          <t>6.4 Risk assessment</t>
        </is>
      </c>
      <c r="H112" s="7" t="inlineStr">
        <is>
          <t>candidate - unverified</t>
        </is>
      </c>
      <c r="I112" s="7" t="inlineStr">
        <is>
          <t>Corroborating</t>
        </is>
      </c>
      <c r="J112" s="10" t="inlineStr">
        <is>
          <t>C</t>
        </is>
      </c>
      <c r="K112" s="7" t="inlineStr">
        <is>
          <t>Current</t>
        </is>
      </c>
      <c r="L112" s="7" t="inlineStr">
        <is>
          <t>Paid — CHF 155</t>
        </is>
      </c>
      <c r="M112" s="11" t="inlineStr"/>
      <c r="N112" s="11" t="inlineStr"/>
      <c r="O112" s="11" t="inlineStr"/>
    </row>
    <row r="113">
      <c r="A113" s="7" t="inlineStr">
        <is>
          <t>D7</t>
        </is>
      </c>
      <c r="B113" s="7" t="inlineStr">
        <is>
          <t>7.3</t>
        </is>
      </c>
      <c r="C113" s="8" t="inlineStr">
        <is>
          <t>AI Risk Management</t>
        </is>
      </c>
      <c r="D113" s="7" t="inlineStr">
        <is>
          <t>S05</t>
        </is>
      </c>
      <c r="E113" s="7" t="inlineStr">
        <is>
          <t>ISO/IEC 42005</t>
        </is>
      </c>
      <c r="F113" s="7" t="inlineStr">
        <is>
          <t>ISO/IEC 42005</t>
        </is>
      </c>
      <c r="G113" s="7" t="inlineStr">
        <is>
          <t>Clause 5 Developing and implementing an AI system impact assessment process</t>
        </is>
      </c>
      <c r="H113" s="7" t="inlineStr">
        <is>
          <t>candidate - unverified</t>
        </is>
      </c>
      <c r="I113" s="7" t="inlineStr">
        <is>
          <t>Corroborating</t>
        </is>
      </c>
      <c r="J113" s="10" t="inlineStr">
        <is>
          <t>C</t>
        </is>
      </c>
      <c r="K113" s="7" t="inlineStr">
        <is>
          <t>Current</t>
        </is>
      </c>
      <c r="L113" s="7" t="inlineStr">
        <is>
          <t>Paid — CHF 181</t>
        </is>
      </c>
      <c r="M113" s="11" t="inlineStr"/>
      <c r="N113" s="11" t="inlineStr"/>
      <c r="O113" s="11" t="inlineStr"/>
    </row>
    <row r="114">
      <c r="A114" s="7" t="inlineStr">
        <is>
          <t>D7</t>
        </is>
      </c>
      <c r="B114" s="7" t="inlineStr">
        <is>
          <t>7.4</t>
        </is>
      </c>
      <c r="C114" s="8" t="inlineStr">
        <is>
          <t>AI Security &amp; Resilience</t>
        </is>
      </c>
      <c r="D114" s="7" t="inlineStr">
        <is>
          <t>S32</t>
        </is>
      </c>
      <c r="E114" s="7" t="inlineStr">
        <is>
          <t>OWASP GenAI Security Project</t>
        </is>
      </c>
      <c r="F114" s="7" t="inlineStr">
        <is>
          <t>OWASP GenAI Security Project</t>
        </is>
      </c>
      <c r="G114" s="7" t="inlineStr">
        <is>
          <t>By entry name only - e.g. Excessive Agency, Prompt Injection</t>
        </is>
      </c>
      <c r="H114" s="7" t="inlineStr">
        <is>
          <t>candidate - unverified</t>
        </is>
      </c>
      <c r="I114" s="7" t="inlineStr">
        <is>
          <t>Adapted</t>
        </is>
      </c>
      <c r="J114" s="12" t="inlineStr">
        <is>
          <t>A</t>
        </is>
      </c>
      <c r="K114" s="7" t="inlineStr">
        <is>
          <t>Current</t>
        </is>
      </c>
      <c r="L114" s="7" t="inlineStr">
        <is>
          <t>Free, open source</t>
        </is>
      </c>
      <c r="M114" s="11" t="inlineStr"/>
      <c r="N114" s="11" t="inlineStr"/>
      <c r="O114" s="11" t="inlineStr"/>
    </row>
    <row r="115">
      <c r="A115" s="7" t="inlineStr">
        <is>
          <t>D7</t>
        </is>
      </c>
      <c r="B115" s="7" t="inlineStr">
        <is>
          <t>7.4</t>
        </is>
      </c>
      <c r="C115" s="8" t="inlineStr">
        <is>
          <t>AI Security &amp; Resilience</t>
        </is>
      </c>
      <c r="D115" s="7" t="inlineStr">
        <is>
          <t>S06</t>
        </is>
      </c>
      <c r="E115" s="7" t="inlineStr">
        <is>
          <t>ISO/IEC 27001</t>
        </is>
      </c>
      <c r="F115" s="7" t="inlineStr">
        <is>
          <t>ISO/IEC 27001</t>
        </is>
      </c>
      <c r="G115" s="7" t="inlineStr">
        <is>
          <t>Annex A.5 Organizational; A.8 Technological controls</t>
        </is>
      </c>
      <c r="H115" s="7" t="inlineStr">
        <is>
          <t>candidate - unverified</t>
        </is>
      </c>
      <c r="I115" s="7" t="inlineStr">
        <is>
          <t>Corroborating</t>
        </is>
      </c>
      <c r="J115" s="10" t="inlineStr">
        <is>
          <t>C</t>
        </is>
      </c>
      <c r="K115" s="7" t="inlineStr">
        <is>
          <t>Current</t>
        </is>
      </c>
      <c r="L115" s="7" t="inlineStr">
        <is>
          <t>Paid — CHF 155; the 2024 climate amendment is free</t>
        </is>
      </c>
      <c r="M115" s="11" t="inlineStr"/>
      <c r="N115" s="11" t="inlineStr"/>
      <c r="O115" s="11" t="inlineStr"/>
    </row>
    <row r="116">
      <c r="A116" s="7" t="inlineStr">
        <is>
          <t>D7</t>
        </is>
      </c>
      <c r="B116" s="7" t="inlineStr">
        <is>
          <t>7.4</t>
        </is>
      </c>
      <c r="C116" s="8" t="inlineStr">
        <is>
          <t>AI Security &amp; Resilience</t>
        </is>
      </c>
      <c r="D116" s="7" t="inlineStr">
        <is>
          <t>S31</t>
        </is>
      </c>
      <c r="E116" s="7" t="inlineStr">
        <is>
          <t>IMDA Model AI Governance Framework</t>
        </is>
      </c>
      <c r="F116" s="7" t="inlineStr">
        <is>
          <t>IMDA Model AI Governance Framework</t>
        </is>
      </c>
      <c r="G116" s="7" t="inlineStr">
        <is>
          <t>Accountability; Testing and Assurance</t>
        </is>
      </c>
      <c r="H116" s="7" t="inlineStr">
        <is>
          <t>candidate - unverified</t>
        </is>
      </c>
      <c r="I116" s="7" t="inlineStr">
        <is>
          <t>Corroborating</t>
        </is>
      </c>
      <c r="J116" s="12" t="inlineStr">
        <is>
          <t>A</t>
        </is>
      </c>
      <c r="K116" s="7" t="inlineStr">
        <is>
          <t>Current — but our citation was ambiguous</t>
        </is>
      </c>
      <c r="L116" s="7" t="inlineStr">
        <is>
          <t>Free</t>
        </is>
      </c>
      <c r="M116" s="11" t="inlineStr"/>
      <c r="N116" s="11" t="inlineStr"/>
      <c r="O116" s="11" t="inlineStr"/>
    </row>
    <row r="117">
      <c r="A117" s="7" t="inlineStr">
        <is>
          <t>D7</t>
        </is>
      </c>
      <c r="B117" s="7" t="inlineStr">
        <is>
          <t>7.4</t>
        </is>
      </c>
      <c r="C117" s="8" t="inlineStr">
        <is>
          <t>AI Security &amp; Resilience</t>
        </is>
      </c>
      <c r="D117" s="7" t="inlineStr">
        <is>
          <t>S08</t>
        </is>
      </c>
      <c r="E117" s="7" t="inlineStr">
        <is>
          <t>NIST AI RMF</t>
        </is>
      </c>
      <c r="F117" s="7" t="inlineStr">
        <is>
          <t>NIST AI RMF</t>
        </is>
      </c>
      <c r="G117" s="7" t="inlineStr">
        <is>
          <t>GOVERN</t>
        </is>
      </c>
      <c r="H117" s="7" t="inlineStr">
        <is>
          <t>candidate - unverified</t>
        </is>
      </c>
      <c r="I117" s="7" t="inlineStr">
        <is>
          <t>Corroborating</t>
        </is>
      </c>
      <c r="J117" s="12" t="inlineStr">
        <is>
          <t>A</t>
        </is>
      </c>
      <c r="K117" s="7" t="inlineStr">
        <is>
          <t>Current</t>
        </is>
      </c>
      <c r="L117" s="7" t="inlineStr">
        <is>
          <t>Free — no registration</t>
        </is>
      </c>
      <c r="M117" s="11" t="inlineStr"/>
      <c r="N117" s="11" t="inlineStr"/>
      <c r="O117" s="11" t="inlineStr"/>
    </row>
    <row r="118">
      <c r="A118" s="7" t="inlineStr">
        <is>
          <t>D7</t>
        </is>
      </c>
      <c r="B118" s="7" t="inlineStr">
        <is>
          <t>7.5</t>
        </is>
      </c>
      <c r="C118" s="8" t="inlineStr">
        <is>
          <t>Privacy &amp; Data Protection for AI</t>
        </is>
      </c>
      <c r="D118" s="7" t="inlineStr">
        <is>
          <t>S07</t>
        </is>
      </c>
      <c r="E118" s="7" t="inlineStr">
        <is>
          <t>ISO/IEC 27701</t>
        </is>
      </c>
      <c r="F118" s="7" t="inlineStr">
        <is>
          <t>ISO/IEC 27701</t>
        </is>
      </c>
      <c r="G118" s="7" t="inlineStr">
        <is>
          <t>8.2 Privacy risk assessment</t>
        </is>
      </c>
      <c r="H118" s="7" t="inlineStr">
        <is>
          <t>candidate - unverified</t>
        </is>
      </c>
      <c r="I118" s="7" t="inlineStr">
        <is>
          <t>Adapted</t>
        </is>
      </c>
      <c r="J118" s="10" t="inlineStr">
        <is>
          <t>C</t>
        </is>
      </c>
      <c r="K118" s="7" t="inlineStr">
        <is>
          <t>Restructured — old loci invalid</t>
        </is>
      </c>
      <c r="L118" s="7" t="inlineStr">
        <is>
          <t>Paid — CHF 225</t>
        </is>
      </c>
      <c r="M118" s="11" t="inlineStr"/>
      <c r="N118" s="11" t="inlineStr"/>
      <c r="O118" s="11" t="inlineStr"/>
    </row>
    <row r="119">
      <c r="A119" s="7" t="inlineStr">
        <is>
          <t>D7</t>
        </is>
      </c>
      <c r="B119" s="7" t="inlineStr">
        <is>
          <t>7.5</t>
        </is>
      </c>
      <c r="C119" s="8" t="inlineStr">
        <is>
          <t>Privacy &amp; Data Protection for AI</t>
        </is>
      </c>
      <c r="D119" s="7" t="inlineStr">
        <is>
          <t>S01</t>
        </is>
      </c>
      <c r="E119" s="7" t="inlineStr">
        <is>
          <t>ISO/IEC 42001</t>
        </is>
      </c>
      <c r="F119" s="7" t="inlineStr">
        <is>
          <t>ISO/IEC 42001</t>
        </is>
      </c>
      <c r="G119" s="7" t="inlineStr">
        <is>
          <t>A.2 Policies related to AI; 8.2 AI risk assessment</t>
        </is>
      </c>
      <c r="H119" s="7" t="inlineStr">
        <is>
          <t>candidate - unverified</t>
        </is>
      </c>
      <c r="I119" s="7" t="inlineStr">
        <is>
          <t>Corroborating</t>
        </is>
      </c>
      <c r="J119" s="10" t="inlineStr">
        <is>
          <t>C</t>
        </is>
      </c>
      <c r="K119" s="7" t="inlineStr">
        <is>
          <t>Current</t>
        </is>
      </c>
      <c r="L119" s="7" t="inlineStr">
        <is>
          <t>Paid — CHF 225; free contents preview</t>
        </is>
      </c>
      <c r="M119" s="11" t="inlineStr"/>
      <c r="N119" s="11" t="inlineStr"/>
      <c r="O119" s="11" t="inlineStr"/>
    </row>
    <row r="120">
      <c r="A120" s="7" t="inlineStr">
        <is>
          <t>D7</t>
        </is>
      </c>
      <c r="B120" s="7" t="inlineStr">
        <is>
          <t>7.5</t>
        </is>
      </c>
      <c r="C120" s="8" t="inlineStr">
        <is>
          <t>Privacy &amp; Data Protection for AI</t>
        </is>
      </c>
      <c r="D120" s="7" t="inlineStr">
        <is>
          <t>S37</t>
        </is>
      </c>
      <c r="E120" s="7" t="inlineStr">
        <is>
          <t>IDB data protection framework</t>
        </is>
      </c>
      <c r="F120" s="7" t="inlineStr">
        <is>
          <t>Institutional data protection framework</t>
        </is>
      </c>
      <c r="G120" s="7" t="inlineStr"/>
      <c r="H120" s="17" t="inlineStr">
        <is>
          <t>NOT PINNED</t>
        </is>
      </c>
      <c r="I120" s="7" t="inlineStr">
        <is>
          <t>Institutional</t>
        </is>
      </c>
      <c r="J120" s="16" t="inlineStr">
        <is>
          <t>D</t>
        </is>
      </c>
      <c r="K120" s="7" t="inlineStr">
        <is>
          <t>Needs pinning</t>
        </is>
      </c>
      <c r="L120" s="7" t="inlineStr">
        <is>
          <t>Internal</t>
        </is>
      </c>
      <c r="M120" s="11" t="inlineStr"/>
      <c r="N120" s="11" t="inlineStr"/>
      <c r="O120" s="11" t="inlineStr"/>
    </row>
    <row r="121">
      <c r="A121" s="7" t="inlineStr">
        <is>
          <t>D7</t>
        </is>
      </c>
      <c r="B121" s="7" t="inlineStr">
        <is>
          <t>7.6</t>
        </is>
      </c>
      <c r="C121" s="8" t="inlineStr">
        <is>
          <t>Legal, Regulatory &amp; Contractual Compliance for AI</t>
        </is>
      </c>
      <c r="D121" s="7" t="inlineStr">
        <is>
          <t>S01</t>
        </is>
      </c>
      <c r="E121" s="7" t="inlineStr">
        <is>
          <t>ISO/IEC 42001</t>
        </is>
      </c>
      <c r="F121" s="7" t="inlineStr">
        <is>
          <t>ISO/IEC 42001</t>
        </is>
      </c>
      <c r="G121" s="7" t="inlineStr">
        <is>
          <t>A.2 Policies related to AI; 8.2 AI risk assessment</t>
        </is>
      </c>
      <c r="H121" s="7" t="inlineStr">
        <is>
          <t>candidate - unverified</t>
        </is>
      </c>
      <c r="I121" s="7" t="inlineStr">
        <is>
          <t>Adapted</t>
        </is>
      </c>
      <c r="J121" s="10" t="inlineStr">
        <is>
          <t>C</t>
        </is>
      </c>
      <c r="K121" s="7" t="inlineStr">
        <is>
          <t>Current</t>
        </is>
      </c>
      <c r="L121" s="7" t="inlineStr">
        <is>
          <t>Paid — CHF 225; free contents preview</t>
        </is>
      </c>
      <c r="M121" s="11" t="inlineStr"/>
      <c r="N121" s="11" t="inlineStr"/>
      <c r="O121" s="11" t="inlineStr"/>
    </row>
    <row r="122">
      <c r="A122" s="7" t="inlineStr">
        <is>
          <t>D7</t>
        </is>
      </c>
      <c r="B122" s="7" t="inlineStr">
        <is>
          <t>7.6</t>
        </is>
      </c>
      <c r="C122" s="8" t="inlineStr">
        <is>
          <t>Legal, Regulatory &amp; Contractual Compliance for AI</t>
        </is>
      </c>
      <c r="D122" s="7" t="inlineStr">
        <is>
          <t>S38</t>
        </is>
      </c>
      <c r="E122" s="7" t="inlineStr">
        <is>
          <t>IDB legal framework</t>
        </is>
      </c>
      <c r="F122" s="7" t="inlineStr">
        <is>
          <t>Institutional legal framework</t>
        </is>
      </c>
      <c r="G122" s="7" t="inlineStr"/>
      <c r="H122" s="17" t="inlineStr">
        <is>
          <t>NOT PINNED</t>
        </is>
      </c>
      <c r="I122" s="7" t="inlineStr">
        <is>
          <t>Institutional</t>
        </is>
      </c>
      <c r="J122" s="16" t="inlineStr">
        <is>
          <t>D</t>
        </is>
      </c>
      <c r="K122" s="7" t="inlineStr">
        <is>
          <t>Needs pinning</t>
        </is>
      </c>
      <c r="L122" s="7" t="inlineStr">
        <is>
          <t>Internal</t>
        </is>
      </c>
      <c r="M122" s="11" t="inlineStr"/>
      <c r="N122" s="11" t="inlineStr"/>
      <c r="O122" s="11" t="inlineStr"/>
    </row>
    <row r="123">
      <c r="A123" s="7" t="inlineStr">
        <is>
          <t>D7</t>
        </is>
      </c>
      <c r="B123" s="7" t="inlineStr">
        <is>
          <t>7.7</t>
        </is>
      </c>
      <c r="C123" s="8" t="inlineStr">
        <is>
          <t>AI System &amp; Agent Inventory Management</t>
        </is>
      </c>
      <c r="D123" s="7" t="inlineStr">
        <is>
          <t>S01</t>
        </is>
      </c>
      <c r="E123" s="7" t="inlineStr">
        <is>
          <t>ISO/IEC 42001</t>
        </is>
      </c>
      <c r="F123" s="7" t="inlineStr">
        <is>
          <t>ISO/IEC 42001</t>
        </is>
      </c>
      <c r="G123" s="7" t="inlineStr">
        <is>
          <t>A.2 Policies related to AI; 8.2 AI risk assessment</t>
        </is>
      </c>
      <c r="H123" s="7" t="inlineStr">
        <is>
          <t>candidate - unverified</t>
        </is>
      </c>
      <c r="I123" s="17" t="inlineStr">
        <is>
          <t>Synthesized</t>
        </is>
      </c>
      <c r="J123" s="10" t="inlineStr">
        <is>
          <t>C</t>
        </is>
      </c>
      <c r="K123" s="7" t="inlineStr">
        <is>
          <t>Current</t>
        </is>
      </c>
      <c r="L123" s="7" t="inlineStr">
        <is>
          <t>Paid — CHF 225; free contents preview</t>
        </is>
      </c>
      <c r="M123" s="11" t="inlineStr"/>
      <c r="N123" s="11" t="inlineStr"/>
      <c r="O123" s="11" t="inlineStr"/>
    </row>
    <row r="124">
      <c r="A124" s="7" t="inlineStr">
        <is>
          <t>D7</t>
        </is>
      </c>
      <c r="B124" s="7" t="inlineStr">
        <is>
          <t>7.7</t>
        </is>
      </c>
      <c r="C124" s="8" t="inlineStr">
        <is>
          <t>AI System &amp; Agent Inventory Management</t>
        </is>
      </c>
      <c r="D124" s="7" t="inlineStr">
        <is>
          <t>S11</t>
        </is>
      </c>
      <c r="E124" s="7" t="inlineStr">
        <is>
          <t>GAO AI Accountability Framework</t>
        </is>
      </c>
      <c r="F124" s="7" t="inlineStr">
        <is>
          <t>GAO AI Accountability Framework</t>
        </is>
      </c>
      <c r="G124" s="7" t="inlineStr">
        <is>
          <t>Governance principle - system level</t>
        </is>
      </c>
      <c r="H124" s="7" t="inlineStr">
        <is>
          <t>candidate - unverified</t>
        </is>
      </c>
      <c r="I124" s="17" t="inlineStr">
        <is>
          <t>Synthesized</t>
        </is>
      </c>
      <c r="J124" s="12" t="inlineStr">
        <is>
          <t>A</t>
        </is>
      </c>
      <c r="K124" s="7" t="inlineStr">
        <is>
          <t>Current</t>
        </is>
      </c>
      <c r="L124" s="7" t="inlineStr">
        <is>
          <t>Free</t>
        </is>
      </c>
      <c r="M124" s="11" t="inlineStr"/>
      <c r="N124" s="11" t="inlineStr"/>
      <c r="O124" s="11" t="inlineStr"/>
    </row>
    <row r="125">
      <c r="A125" s="7" t="inlineStr">
        <is>
          <t>D7</t>
        </is>
      </c>
      <c r="B125" s="7" t="inlineStr">
        <is>
          <t>7.8</t>
        </is>
      </c>
      <c r="C125" s="8" t="inlineStr">
        <is>
          <t>AI Assurance &amp; Evidence Management</t>
        </is>
      </c>
      <c r="D125" s="7" t="inlineStr">
        <is>
          <t>S11</t>
        </is>
      </c>
      <c r="E125" s="7" t="inlineStr">
        <is>
          <t>GAO AI Accountability Framework</t>
        </is>
      </c>
      <c r="F125" s="7" t="inlineStr">
        <is>
          <t>GAO AI Accountability Framework</t>
        </is>
      </c>
      <c r="G125" s="7" t="inlineStr">
        <is>
          <t>Governance principle - system level</t>
        </is>
      </c>
      <c r="H125" s="7" t="inlineStr">
        <is>
          <t>candidate - unverified</t>
        </is>
      </c>
      <c r="I125" s="17" t="inlineStr">
        <is>
          <t>Synthesized</t>
        </is>
      </c>
      <c r="J125" s="12" t="inlineStr">
        <is>
          <t>A</t>
        </is>
      </c>
      <c r="K125" s="7" t="inlineStr">
        <is>
          <t>Current</t>
        </is>
      </c>
      <c r="L125" s="7" t="inlineStr">
        <is>
          <t>Free</t>
        </is>
      </c>
      <c r="M125" s="11" t="inlineStr"/>
      <c r="N125" s="11" t="inlineStr"/>
      <c r="O125" s="11" t="inlineStr"/>
    </row>
    <row r="126">
      <c r="A126" s="7" t="inlineStr">
        <is>
          <t>D7</t>
        </is>
      </c>
      <c r="B126" s="7" t="inlineStr">
        <is>
          <t>7.8</t>
        </is>
      </c>
      <c r="C126" s="8" t="inlineStr">
        <is>
          <t>AI Assurance &amp; Evidence Management</t>
        </is>
      </c>
      <c r="D126" s="7" t="inlineStr">
        <is>
          <t>S01</t>
        </is>
      </c>
      <c r="E126" s="7" t="inlineStr">
        <is>
          <t>ISO/IEC 42001</t>
        </is>
      </c>
      <c r="F126" s="7" t="inlineStr">
        <is>
          <t>ISO/IEC 42001</t>
        </is>
      </c>
      <c r="G126" s="7" t="inlineStr">
        <is>
          <t>A.2 Policies related to AI; 8.2 AI risk assessment</t>
        </is>
      </c>
      <c r="H126" s="7" t="inlineStr">
        <is>
          <t>candidate - unverified</t>
        </is>
      </c>
      <c r="I126" s="17" t="inlineStr">
        <is>
          <t>Synthesized</t>
        </is>
      </c>
      <c r="J126" s="10" t="inlineStr">
        <is>
          <t>C</t>
        </is>
      </c>
      <c r="K126" s="7" t="inlineStr">
        <is>
          <t>Current</t>
        </is>
      </c>
      <c r="L126" s="7" t="inlineStr">
        <is>
          <t>Paid — CHF 225; free contents preview</t>
        </is>
      </c>
      <c r="M126" s="11" t="inlineStr"/>
      <c r="N126" s="11" t="inlineStr"/>
      <c r="O126" s="11" t="inlineStr"/>
    </row>
    <row r="127">
      <c r="A127" s="7" t="inlineStr">
        <is>
          <t>D7</t>
        </is>
      </c>
      <c r="B127" s="7" t="inlineStr">
        <is>
          <t>7.8</t>
        </is>
      </c>
      <c r="C127" s="8" t="inlineStr">
        <is>
          <t>AI Assurance &amp; Evidence Management</t>
        </is>
      </c>
      <c r="D127" s="7" t="inlineStr">
        <is>
          <t>S39</t>
        </is>
      </c>
      <c r="E127" s="7" t="inlineStr">
        <is>
          <t>IDB internal audit standards</t>
        </is>
      </c>
      <c r="F127" s="7" t="inlineStr">
        <is>
          <t>Institutional internal audit standards</t>
        </is>
      </c>
      <c r="G127" s="7" t="inlineStr"/>
      <c r="H127" s="17" t="inlineStr">
        <is>
          <t>NOT PINNED</t>
        </is>
      </c>
      <c r="I127" s="7" t="inlineStr">
        <is>
          <t>Institutional</t>
        </is>
      </c>
      <c r="J127" s="16" t="inlineStr">
        <is>
          <t>D</t>
        </is>
      </c>
      <c r="K127" s="7" t="inlineStr">
        <is>
          <t>Needs pinning</t>
        </is>
      </c>
      <c r="L127" s="7" t="inlineStr">
        <is>
          <t>Internal</t>
        </is>
      </c>
      <c r="M127" s="11" t="inlineStr"/>
      <c r="N127" s="11" t="inlineStr"/>
      <c r="O127" s="11" t="inlineStr"/>
    </row>
    <row r="128">
      <c r="A128" s="7" t="inlineStr">
        <is>
          <t>D7</t>
        </is>
      </c>
      <c r="B128" s="7" t="inlineStr">
        <is>
          <t>7.9</t>
        </is>
      </c>
      <c r="C128" s="8" t="inlineStr">
        <is>
          <t>AI Impact Assessment &amp; Risk Classification</t>
        </is>
      </c>
      <c r="D128" s="7" t="inlineStr">
        <is>
          <t>S05</t>
        </is>
      </c>
      <c r="E128" s="7" t="inlineStr">
        <is>
          <t>ISO/IEC 42005</t>
        </is>
      </c>
      <c r="F128" s="7" t="inlineStr">
        <is>
          <t>ISO/IEC 42005</t>
        </is>
      </c>
      <c r="G128" s="7" t="inlineStr">
        <is>
          <t>Clause 5 Developing and implementing an AI system impact assessment process</t>
        </is>
      </c>
      <c r="H128" s="7" t="inlineStr">
        <is>
          <t>candidate - unverified</t>
        </is>
      </c>
      <c r="I128" s="17" t="inlineStr">
        <is>
          <t>Synthesized</t>
        </is>
      </c>
      <c r="J128" s="10" t="inlineStr">
        <is>
          <t>C</t>
        </is>
      </c>
      <c r="K128" s="7" t="inlineStr">
        <is>
          <t>Current</t>
        </is>
      </c>
      <c r="L128" s="7" t="inlineStr">
        <is>
          <t>Paid — CHF 181</t>
        </is>
      </c>
      <c r="M128" s="11" t="inlineStr"/>
      <c r="N128" s="11" t="inlineStr"/>
      <c r="O128" s="11" t="inlineStr"/>
    </row>
    <row r="129">
      <c r="A129" s="7" t="inlineStr">
        <is>
          <t>D7</t>
        </is>
      </c>
      <c r="B129" s="7" t="inlineStr">
        <is>
          <t>7.9</t>
        </is>
      </c>
      <c r="C129" s="8" t="inlineStr">
        <is>
          <t>AI Impact Assessment &amp; Risk Classification</t>
        </is>
      </c>
      <c r="D129" s="7" t="inlineStr">
        <is>
          <t>S04</t>
        </is>
      </c>
      <c r="E129" s="7" t="inlineStr">
        <is>
          <t>ISO/IEC 23894</t>
        </is>
      </c>
      <c r="F129" s="7" t="inlineStr">
        <is>
          <t>ISO/IEC 23894</t>
        </is>
      </c>
      <c r="G129" s="7" t="inlineStr">
        <is>
          <t>6.4 Risk assessment</t>
        </is>
      </c>
      <c r="H129" s="7" t="inlineStr">
        <is>
          <t>candidate - unverified</t>
        </is>
      </c>
      <c r="I129" s="17" t="inlineStr">
        <is>
          <t>Synthesized</t>
        </is>
      </c>
      <c r="J129" s="10" t="inlineStr">
        <is>
          <t>C</t>
        </is>
      </c>
      <c r="K129" s="7" t="inlineStr">
        <is>
          <t>Current</t>
        </is>
      </c>
      <c r="L129" s="7" t="inlineStr">
        <is>
          <t>Paid — CHF 155</t>
        </is>
      </c>
      <c r="M129" s="11" t="inlineStr"/>
      <c r="N129" s="11" t="inlineStr"/>
      <c r="O129" s="11" t="inlineStr"/>
    </row>
    <row r="130">
      <c r="A130" s="7" t="inlineStr">
        <is>
          <t>D7</t>
        </is>
      </c>
      <c r="B130" s="7" t="inlineStr">
        <is>
          <t>7.9</t>
        </is>
      </c>
      <c r="C130" s="8" t="inlineStr">
        <is>
          <t>AI Impact Assessment &amp; Risk Classification</t>
        </is>
      </c>
      <c r="D130" s="7" t="inlineStr">
        <is>
          <t>S08</t>
        </is>
      </c>
      <c r="E130" s="7" t="inlineStr">
        <is>
          <t>NIST AI RMF</t>
        </is>
      </c>
      <c r="F130" s="7" t="inlineStr">
        <is>
          <t>NIST AI RMF - Map</t>
        </is>
      </c>
      <c r="G130" s="7" t="inlineStr">
        <is>
          <t>MAP</t>
        </is>
      </c>
      <c r="H130" s="7" t="inlineStr">
        <is>
          <t>stated in our own citation</t>
        </is>
      </c>
      <c r="I130" s="17" t="inlineStr">
        <is>
          <t>Synthesized</t>
        </is>
      </c>
      <c r="J130" s="12" t="inlineStr">
        <is>
          <t>A</t>
        </is>
      </c>
      <c r="K130" s="7" t="inlineStr">
        <is>
          <t>Current</t>
        </is>
      </c>
      <c r="L130" s="7" t="inlineStr">
        <is>
          <t>Free — no registration</t>
        </is>
      </c>
      <c r="M130" s="11" t="inlineStr"/>
      <c r="N130" s="11" t="inlineStr"/>
      <c r="O130" s="11" t="inlineStr"/>
    </row>
    <row r="131">
      <c r="A131" s="7" t="inlineStr">
        <is>
          <t>D7</t>
        </is>
      </c>
      <c r="B131" s="7" t="inlineStr">
        <is>
          <t>7.9</t>
        </is>
      </c>
      <c r="C131" s="8" t="inlineStr">
        <is>
          <t>AI Impact Assessment &amp; Risk Classification</t>
        </is>
      </c>
      <c r="D131" s="7" t="inlineStr">
        <is>
          <t>S28</t>
        </is>
      </c>
      <c r="E131" s="7" t="inlineStr">
        <is>
          <t>IIA Three Lines Model</t>
        </is>
      </c>
      <c r="F131" s="7" t="inlineStr">
        <is>
          <t>IIA Three Lines Model</t>
        </is>
      </c>
      <c r="G131" s="7" t="inlineStr">
        <is>
          <t>Principle 4 - distinct sources of assurance</t>
        </is>
      </c>
      <c r="H131" s="7" t="inlineStr">
        <is>
          <t>candidate - unverified</t>
        </is>
      </c>
      <c r="I131" s="17" t="inlineStr">
        <is>
          <t>Synthesized</t>
        </is>
      </c>
      <c r="J131" s="12" t="inlineStr">
        <is>
          <t>A</t>
        </is>
      </c>
      <c r="K131" s="7" t="inlineStr">
        <is>
          <t>Current</t>
        </is>
      </c>
      <c r="L131" s="7" t="inlineStr">
        <is>
          <t>Free</t>
        </is>
      </c>
      <c r="M131" s="11" t="inlineStr"/>
      <c r="N131" s="11" t="inlineStr"/>
      <c r="O131" s="11" t="inlineStr"/>
    </row>
    <row r="132">
      <c r="A132" s="7" t="inlineStr">
        <is>
          <t>D8</t>
        </is>
      </c>
      <c r="B132" s="7" t="inlineStr">
        <is>
          <t>8.1</t>
        </is>
      </c>
      <c r="C132" s="8" t="inlineStr">
        <is>
          <t>AI Operating Model &amp; Decision Rights</t>
        </is>
      </c>
      <c r="D132" s="7" t="inlineStr">
        <is>
          <t>S19</t>
        </is>
      </c>
      <c r="E132" s="7" t="inlineStr">
        <is>
          <t>WEF AI-First Operating System</t>
        </is>
      </c>
      <c r="F132" s="7" t="inlineStr">
        <is>
          <t>WEF AI-First Operating System</t>
        </is>
      </c>
      <c r="G132" s="7" t="inlineStr">
        <is>
          <t>Human-AI teaming</t>
        </is>
      </c>
      <c r="H132" s="7" t="inlineStr">
        <is>
          <t>candidate - unverified</t>
        </is>
      </c>
      <c r="I132" s="7" t="inlineStr">
        <is>
          <t>Adapted</t>
        </is>
      </c>
      <c r="J132" s="13" t="inlineStr">
        <is>
          <t>B</t>
        </is>
      </c>
      <c r="K132" s="7" t="inlineStr">
        <is>
          <t>Current</t>
        </is>
      </c>
      <c r="L132" s="7" t="inlineStr">
        <is>
          <t>Free</t>
        </is>
      </c>
      <c r="M132" s="11" t="inlineStr"/>
      <c r="N132" s="11" t="inlineStr"/>
      <c r="O132" s="11" t="inlineStr"/>
    </row>
    <row r="133">
      <c r="A133" s="7" t="inlineStr">
        <is>
          <t>D8</t>
        </is>
      </c>
      <c r="B133" s="7" t="inlineStr">
        <is>
          <t>8.1</t>
        </is>
      </c>
      <c r="C133" s="8" t="inlineStr">
        <is>
          <t>AI Operating Model &amp; Decision Rights</t>
        </is>
      </c>
      <c r="D133" s="7" t="inlineStr">
        <is>
          <t>S29</t>
        </is>
      </c>
      <c r="E133" s="7" t="inlineStr">
        <is>
          <t>MITRE AI Maturity Model</t>
        </is>
      </c>
      <c r="F133" s="7" t="inlineStr">
        <is>
          <t>MITRE AI Maturity Model</t>
        </is>
      </c>
      <c r="G133" s="7" t="inlineStr">
        <is>
          <t>Organization pillar</t>
        </is>
      </c>
      <c r="H133" s="7" t="inlineStr">
        <is>
          <t>candidate - unverified</t>
        </is>
      </c>
      <c r="I133" s="7" t="inlineStr">
        <is>
          <t>Corroborating</t>
        </is>
      </c>
      <c r="J133" s="13" t="inlineStr">
        <is>
          <t>B</t>
        </is>
      </c>
      <c r="K133" s="7" t="inlineStr">
        <is>
          <t>Ageing</t>
        </is>
      </c>
      <c r="L133" s="7" t="inlineStr">
        <is>
          <t>Free — guide only; assessment tool on request</t>
        </is>
      </c>
      <c r="M133" s="11" t="inlineStr"/>
      <c r="N133" s="11" t="inlineStr"/>
      <c r="O133" s="11" t="inlineStr"/>
    </row>
    <row r="134">
      <c r="A134" s="7" t="inlineStr">
        <is>
          <t>D8</t>
        </is>
      </c>
      <c r="B134" s="7" t="inlineStr">
        <is>
          <t>8.1</t>
        </is>
      </c>
      <c r="C134" s="8" t="inlineStr">
        <is>
          <t>AI Operating Model &amp; Decision Rights</t>
        </is>
      </c>
      <c r="D134" s="7" t="inlineStr">
        <is>
          <t>S03</t>
        </is>
      </c>
      <c r="E134" s="7" t="inlineStr">
        <is>
          <t>ISO/IEC 38507</t>
        </is>
      </c>
      <c r="F134" s="7" t="inlineStr">
        <is>
          <t>ISO/IEC 38507</t>
        </is>
      </c>
      <c r="G134" s="7" t="inlineStr">
        <is>
          <t>6.5 Culture and values</t>
        </is>
      </c>
      <c r="H134" s="7" t="inlineStr">
        <is>
          <t>candidate - unverified</t>
        </is>
      </c>
      <c r="I134" s="7" t="inlineStr">
        <is>
          <t>Corroborating</t>
        </is>
      </c>
      <c r="J134" s="10" t="inlineStr">
        <is>
          <t>C</t>
        </is>
      </c>
      <c r="K134" s="7" t="inlineStr">
        <is>
          <t>Current</t>
        </is>
      </c>
      <c r="L134" s="7" t="inlineStr">
        <is>
          <t>Paid</t>
        </is>
      </c>
      <c r="M134" s="11" t="inlineStr"/>
      <c r="N134" s="11" t="inlineStr"/>
      <c r="O134" s="11" t="inlineStr"/>
    </row>
    <row r="135">
      <c r="A135" s="7" t="inlineStr">
        <is>
          <t>D8</t>
        </is>
      </c>
      <c r="B135" s="7" t="inlineStr">
        <is>
          <t>8.2</t>
        </is>
      </c>
      <c r="C135" s="8" t="inlineStr">
        <is>
          <t>AI Skills &amp; Specialist Capability Building</t>
        </is>
      </c>
      <c r="D135" s="7" t="inlineStr">
        <is>
          <t>S12</t>
        </is>
      </c>
      <c r="E135" s="7" t="inlineStr">
        <is>
          <t>AWS CAF-AI</t>
        </is>
      </c>
      <c r="F135" s="7" t="inlineStr">
        <is>
          <t>AWS CAF-AI - People perspective</t>
        </is>
      </c>
      <c r="G135" s="7" t="inlineStr">
        <is>
          <t>People perspective</t>
        </is>
      </c>
      <c r="H135" s="7" t="inlineStr">
        <is>
          <t>stated in our own citation</t>
        </is>
      </c>
      <c r="I135" s="7" t="inlineStr">
        <is>
          <t>Adapted</t>
        </is>
      </c>
      <c r="J135" s="10" t="inlineStr">
        <is>
          <t>C</t>
        </is>
      </c>
      <c r="K135" s="7" t="inlineStr">
        <is>
          <t>Flagged historical by AWS</t>
        </is>
      </c>
      <c r="L135" s="7" t="inlineStr">
        <is>
          <t>Free</t>
        </is>
      </c>
      <c r="M135" s="11" t="inlineStr"/>
      <c r="N135" s="11" t="inlineStr"/>
      <c r="O135" s="11" t="inlineStr"/>
    </row>
    <row r="136">
      <c r="A136" s="7" t="inlineStr">
        <is>
          <t>D8</t>
        </is>
      </c>
      <c r="B136" s="7" t="inlineStr">
        <is>
          <t>8.2</t>
        </is>
      </c>
      <c r="C136" s="8" t="inlineStr">
        <is>
          <t>AI Skills &amp; Specialist Capability Building</t>
        </is>
      </c>
      <c r="D136" s="7" t="inlineStr">
        <is>
          <t>S19</t>
        </is>
      </c>
      <c r="E136" s="7" t="inlineStr">
        <is>
          <t>WEF AI-First Operating System</t>
        </is>
      </c>
      <c r="F136" s="7" t="inlineStr">
        <is>
          <t>WEF AI-First Operating System</t>
        </is>
      </c>
      <c r="G136" s="7" t="inlineStr">
        <is>
          <t>Human-AI teaming</t>
        </is>
      </c>
      <c r="H136" s="7" t="inlineStr">
        <is>
          <t>candidate - unverified</t>
        </is>
      </c>
      <c r="I136" s="7" t="inlineStr">
        <is>
          <t>Corroborating</t>
        </is>
      </c>
      <c r="J136" s="13" t="inlineStr">
        <is>
          <t>B</t>
        </is>
      </c>
      <c r="K136" s="7" t="inlineStr">
        <is>
          <t>Current</t>
        </is>
      </c>
      <c r="L136" s="7" t="inlineStr">
        <is>
          <t>Free</t>
        </is>
      </c>
      <c r="M136" s="11" t="inlineStr"/>
      <c r="N136" s="11" t="inlineStr"/>
      <c r="O136" s="11" t="inlineStr"/>
    </row>
    <row r="137">
      <c r="A137" s="7" t="inlineStr">
        <is>
          <t>D8</t>
        </is>
      </c>
      <c r="B137" s="7" t="inlineStr">
        <is>
          <t>8.2</t>
        </is>
      </c>
      <c r="C137" s="8" t="inlineStr">
        <is>
          <t>AI Skills &amp; Specialist Capability Building</t>
        </is>
      </c>
      <c r="D137" s="7" t="inlineStr">
        <is>
          <t>S14</t>
        </is>
      </c>
      <c r="E137" s="7" t="inlineStr">
        <is>
          <t>Google AI Adoption Framework</t>
        </is>
      </c>
      <c r="F137" s="7" t="inlineStr">
        <is>
          <t>Google AI Adoption Framework</t>
        </is>
      </c>
      <c r="G137" s="7" t="inlineStr">
        <is>
          <t>Learn theme</t>
        </is>
      </c>
      <c r="H137" s="7" t="inlineStr">
        <is>
          <t>candidate - unverified</t>
        </is>
      </c>
      <c r="I137" s="7" t="inlineStr">
        <is>
          <t>Corroborating</t>
        </is>
      </c>
      <c r="J137" s="10" t="inlineStr">
        <is>
          <t>C</t>
        </is>
      </c>
      <c r="K137" s="7" t="inlineStr">
        <is>
          <t>Undated, pre-GenAI</t>
        </is>
      </c>
      <c r="L137" s="7" t="inlineStr">
        <is>
          <t>Free</t>
        </is>
      </c>
      <c r="M137" s="11" t="inlineStr"/>
      <c r="N137" s="11" t="inlineStr"/>
      <c r="O137" s="11" t="inlineStr"/>
    </row>
    <row r="138">
      <c r="A138" s="7" t="inlineStr">
        <is>
          <t>D8</t>
        </is>
      </c>
      <c r="B138" s="7" t="inlineStr">
        <is>
          <t>8.3</t>
        </is>
      </c>
      <c r="C138" s="8" t="inlineStr">
        <is>
          <t>AI Literacy &amp; Awareness</t>
        </is>
      </c>
      <c r="D138" s="7" t="inlineStr">
        <is>
          <t>S01</t>
        </is>
      </c>
      <c r="E138" s="7" t="inlineStr">
        <is>
          <t>ISO/IEC 42001</t>
        </is>
      </c>
      <c r="F138" s="7" t="inlineStr">
        <is>
          <t>ISO/IEC 42001</t>
        </is>
      </c>
      <c r="G138" s="7" t="inlineStr">
        <is>
          <t>A.3 Internal organization</t>
        </is>
      </c>
      <c r="H138" s="7" t="inlineStr">
        <is>
          <t>candidate - unverified</t>
        </is>
      </c>
      <c r="I138" s="7" t="inlineStr">
        <is>
          <t>Adapted</t>
        </is>
      </c>
      <c r="J138" s="10" t="inlineStr">
        <is>
          <t>C</t>
        </is>
      </c>
      <c r="K138" s="7" t="inlineStr">
        <is>
          <t>Current</t>
        </is>
      </c>
      <c r="L138" s="7" t="inlineStr">
        <is>
          <t>Paid — CHF 225; free contents preview</t>
        </is>
      </c>
      <c r="M138" s="11" t="inlineStr"/>
      <c r="N138" s="11" t="inlineStr"/>
      <c r="O138" s="11" t="inlineStr"/>
    </row>
    <row r="139">
      <c r="A139" s="7" t="inlineStr">
        <is>
          <t>D8</t>
        </is>
      </c>
      <c r="B139" s="7" t="inlineStr">
        <is>
          <t>8.3</t>
        </is>
      </c>
      <c r="C139" s="8" t="inlineStr">
        <is>
          <t>AI Literacy &amp; Awareness</t>
        </is>
      </c>
      <c r="D139" s="7" t="inlineStr">
        <is>
          <t>S10</t>
        </is>
      </c>
      <c r="E139" s="7" t="inlineStr">
        <is>
          <t>OECD AI Principles</t>
        </is>
      </c>
      <c r="F139" s="7" t="inlineStr">
        <is>
          <t>OECD AI Principles</t>
        </is>
      </c>
      <c r="G139" s="7" t="inlineStr"/>
      <c r="H139" s="17" t="inlineStr">
        <is>
          <t>NOT PINNED</t>
        </is>
      </c>
      <c r="I139" s="7" t="inlineStr">
        <is>
          <t>Corroborating</t>
        </is>
      </c>
      <c r="J139" s="12" t="inlineStr">
        <is>
          <t>A</t>
        </is>
      </c>
      <c r="K139" s="7" t="inlineStr">
        <is>
          <t>Current</t>
        </is>
      </c>
      <c r="L139" s="7" t="inlineStr">
        <is>
          <t>Free</t>
        </is>
      </c>
      <c r="M139" s="11" t="inlineStr"/>
      <c r="N139" s="11" t="inlineStr"/>
      <c r="O139" s="11" t="inlineStr"/>
    </row>
    <row r="140">
      <c r="A140" s="7" t="inlineStr">
        <is>
          <t>D8</t>
        </is>
      </c>
      <c r="B140" s="7" t="inlineStr">
        <is>
          <t>8.4</t>
        </is>
      </c>
      <c r="C140" s="8" t="inlineStr">
        <is>
          <t>AI Adoption, Enablement &amp; Support</t>
        </is>
      </c>
      <c r="D140" s="7" t="inlineStr">
        <is>
          <t>S14</t>
        </is>
      </c>
      <c r="E140" s="7" t="inlineStr">
        <is>
          <t>Google AI Adoption Framework</t>
        </is>
      </c>
      <c r="F140" s="7" t="inlineStr">
        <is>
          <t>Google AI Adoption Framework</t>
        </is>
      </c>
      <c r="G140" s="7" t="inlineStr">
        <is>
          <t>Learn theme</t>
        </is>
      </c>
      <c r="H140" s="7" t="inlineStr">
        <is>
          <t>candidate - unverified</t>
        </is>
      </c>
      <c r="I140" s="7" t="inlineStr">
        <is>
          <t>Adapted</t>
        </is>
      </c>
      <c r="J140" s="10" t="inlineStr">
        <is>
          <t>C</t>
        </is>
      </c>
      <c r="K140" s="7" t="inlineStr">
        <is>
          <t>Undated, pre-GenAI</t>
        </is>
      </c>
      <c r="L140" s="7" t="inlineStr">
        <is>
          <t>Free</t>
        </is>
      </c>
      <c r="M140" s="11" t="inlineStr"/>
      <c r="N140" s="11" t="inlineStr"/>
      <c r="O140" s="11" t="inlineStr"/>
    </row>
    <row r="141">
      <c r="A141" s="7" t="inlineStr">
        <is>
          <t>D8</t>
        </is>
      </c>
      <c r="B141" s="7" t="inlineStr">
        <is>
          <t>8.4</t>
        </is>
      </c>
      <c r="C141" s="8" t="inlineStr">
        <is>
          <t>AI Adoption, Enablement &amp; Support</t>
        </is>
      </c>
      <c r="D141" s="7" t="inlineStr">
        <is>
          <t>S12</t>
        </is>
      </c>
      <c r="E141" s="7" t="inlineStr">
        <is>
          <t>AWS CAF-AI</t>
        </is>
      </c>
      <c r="F141" s="7" t="inlineStr">
        <is>
          <t>AWS CAF-AI</t>
        </is>
      </c>
      <c r="G141" s="7" t="inlineStr">
        <is>
          <t>People perspective</t>
        </is>
      </c>
      <c r="H141" s="7" t="inlineStr">
        <is>
          <t>candidate - unverified</t>
        </is>
      </c>
      <c r="I141" s="7" t="inlineStr">
        <is>
          <t>Corroborating</t>
        </is>
      </c>
      <c r="J141" s="10" t="inlineStr">
        <is>
          <t>C</t>
        </is>
      </c>
      <c r="K141" s="7" t="inlineStr">
        <is>
          <t>Flagged historical by AWS</t>
        </is>
      </c>
      <c r="L141" s="7" t="inlineStr">
        <is>
          <t>Free</t>
        </is>
      </c>
      <c r="M141" s="11" t="inlineStr"/>
      <c r="N141" s="11" t="inlineStr"/>
      <c r="O141" s="11" t="inlineStr"/>
    </row>
    <row r="142">
      <c r="A142" s="7" t="inlineStr">
        <is>
          <t>D8</t>
        </is>
      </c>
      <c r="B142" s="7" t="inlineStr">
        <is>
          <t>8.4</t>
        </is>
      </c>
      <c r="C142" s="8" t="inlineStr">
        <is>
          <t>AI Adoption, Enablement &amp; Support</t>
        </is>
      </c>
      <c r="D142" s="7" t="inlineStr">
        <is>
          <t>S19</t>
        </is>
      </c>
      <c r="E142" s="7" t="inlineStr">
        <is>
          <t>WEF AI-First Operating System</t>
        </is>
      </c>
      <c r="F142" s="7" t="inlineStr">
        <is>
          <t>WEF AI-First Operating System</t>
        </is>
      </c>
      <c r="G142" s="7" t="inlineStr">
        <is>
          <t>Human-AI teaming</t>
        </is>
      </c>
      <c r="H142" s="7" t="inlineStr">
        <is>
          <t>candidate - unverified</t>
        </is>
      </c>
      <c r="I142" s="7" t="inlineStr">
        <is>
          <t>Corroborating</t>
        </is>
      </c>
      <c r="J142" s="13" t="inlineStr">
        <is>
          <t>B</t>
        </is>
      </c>
      <c r="K142" s="7" t="inlineStr">
        <is>
          <t>Current</t>
        </is>
      </c>
      <c r="L142" s="7" t="inlineStr">
        <is>
          <t>Free</t>
        </is>
      </c>
      <c r="M142" s="11" t="inlineStr"/>
      <c r="N142" s="11" t="inlineStr"/>
      <c r="O142" s="11" t="inlineStr"/>
    </row>
    <row r="143">
      <c r="A143" s="7" t="inlineStr">
        <is>
          <t>D8</t>
        </is>
      </c>
      <c r="B143" s="7" t="inlineStr">
        <is>
          <t>8.5</t>
        </is>
      </c>
      <c r="C143" s="8" t="inlineStr">
        <is>
          <t>AI Change Management &amp; Workforce Transition</t>
        </is>
      </c>
      <c r="D143" s="7" t="inlineStr">
        <is>
          <t>S19</t>
        </is>
      </c>
      <c r="E143" s="7" t="inlineStr">
        <is>
          <t>WEF AI-First Operating System</t>
        </is>
      </c>
      <c r="F143" s="7" t="inlineStr">
        <is>
          <t>WEF AI-First Operating System</t>
        </is>
      </c>
      <c r="G143" s="7" t="inlineStr">
        <is>
          <t>Human-AI teaming</t>
        </is>
      </c>
      <c r="H143" s="7" t="inlineStr">
        <is>
          <t>candidate - unverified</t>
        </is>
      </c>
      <c r="I143" s="7" t="inlineStr">
        <is>
          <t>Adapted</t>
        </is>
      </c>
      <c r="J143" s="13" t="inlineStr">
        <is>
          <t>B</t>
        </is>
      </c>
      <c r="K143" s="7" t="inlineStr">
        <is>
          <t>Current</t>
        </is>
      </c>
      <c r="L143" s="7" t="inlineStr">
        <is>
          <t>Free</t>
        </is>
      </c>
      <c r="M143" s="11" t="inlineStr"/>
      <c r="N143" s="11" t="inlineStr"/>
      <c r="O143" s="11" t="inlineStr"/>
    </row>
    <row r="144">
      <c r="A144" s="7" t="inlineStr">
        <is>
          <t>D8</t>
        </is>
      </c>
      <c r="B144" s="7" t="inlineStr">
        <is>
          <t>8.5</t>
        </is>
      </c>
      <c r="C144" s="8" t="inlineStr">
        <is>
          <t>AI Change Management &amp; Workforce Transition</t>
        </is>
      </c>
      <c r="D144" s="7" t="inlineStr">
        <is>
          <t>S35</t>
        </is>
      </c>
      <c r="E144" s="7" t="inlineStr">
        <is>
          <t>Consultancy transformation patterns</t>
        </is>
      </c>
      <c r="F144" s="7" t="inlineStr">
        <is>
          <t>Consultancy transformation patterns (non-public)</t>
        </is>
      </c>
      <c r="G144" s="7" t="inlineStr"/>
      <c r="H144" s="17" t="inlineStr">
        <is>
          <t>NOT PINNED</t>
        </is>
      </c>
      <c r="I144" s="15" t="inlineStr">
        <is>
          <t>Unsupported</t>
        </is>
      </c>
      <c r="J144" s="16" t="inlineStr">
        <is>
          <t>D</t>
        </is>
      </c>
      <c r="K144" s="7" t="inlineStr">
        <is>
          <t>Not a publication</t>
        </is>
      </c>
      <c r="L144" s="7" t="inlineStr">
        <is>
          <t>Non-public</t>
        </is>
      </c>
      <c r="M144" s="11" t="inlineStr"/>
      <c r="N144" s="11" t="inlineStr"/>
      <c r="O144" s="11" t="inlineStr"/>
    </row>
    <row r="145">
      <c r="A145" s="7" t="inlineStr">
        <is>
          <t>D8</t>
        </is>
      </c>
      <c r="B145" s="7" t="inlineStr">
        <is>
          <t>8.5</t>
        </is>
      </c>
      <c r="C145" s="8" t="inlineStr">
        <is>
          <t>AI Change Management &amp; Workforce Transition</t>
        </is>
      </c>
      <c r="D145" s="7" t="inlineStr">
        <is>
          <t>S10</t>
        </is>
      </c>
      <c r="E145" s="7" t="inlineStr">
        <is>
          <t>OECD AI Principles</t>
        </is>
      </c>
      <c r="F145" s="7" t="inlineStr">
        <is>
          <t>OECD AI Principles</t>
        </is>
      </c>
      <c r="G145" s="7" t="inlineStr"/>
      <c r="H145" s="17" t="inlineStr">
        <is>
          <t>NOT PINNED</t>
        </is>
      </c>
      <c r="I145" s="7" t="inlineStr">
        <is>
          <t>Corroborating</t>
        </is>
      </c>
      <c r="J145" s="12" t="inlineStr">
        <is>
          <t>A</t>
        </is>
      </c>
      <c r="K145" s="7" t="inlineStr">
        <is>
          <t>Current</t>
        </is>
      </c>
      <c r="L145" s="7" t="inlineStr">
        <is>
          <t>Free</t>
        </is>
      </c>
      <c r="M145" s="11" t="inlineStr"/>
      <c r="N145" s="11" t="inlineStr"/>
      <c r="O145" s="11" t="inlineStr"/>
    </row>
    <row r="146">
      <c r="A146" s="7" t="inlineStr">
        <is>
          <t>D8</t>
        </is>
      </c>
      <c r="B146" s="7" t="inlineStr">
        <is>
          <t>8.6</t>
        </is>
      </c>
      <c r="C146" s="8" t="inlineStr">
        <is>
          <t>AI Community &amp; Reuse Culture</t>
        </is>
      </c>
      <c r="D146" s="7" t="inlineStr">
        <is>
          <t>S22</t>
        </is>
      </c>
      <c r="E146" s="7" t="inlineStr">
        <is>
          <t>Open Agile Architecture</t>
        </is>
      </c>
      <c r="F146" s="7" t="inlineStr">
        <is>
          <t>The Open Group Open Agile Architecture</t>
        </is>
      </c>
      <c r="G146" s="7" t="inlineStr">
        <is>
          <t>Part 1 The Agile Way of Thinking</t>
        </is>
      </c>
      <c r="H146" s="7" t="inlineStr">
        <is>
          <t>candidate - unverified</t>
        </is>
      </c>
      <c r="I146" s="7" t="inlineStr">
        <is>
          <t>Adapted</t>
        </is>
      </c>
      <c r="J146" s="13" t="inlineStr">
        <is>
          <t>B</t>
        </is>
      </c>
      <c r="K146" s="7" t="inlineStr">
        <is>
          <t>Current</t>
        </is>
      </c>
      <c r="L146" s="7" t="inlineStr">
        <is>
          <t>Free perpetual non-commercial licence; paid commercial</t>
        </is>
      </c>
      <c r="M146" s="11" t="inlineStr"/>
      <c r="N146" s="11" t="inlineStr"/>
      <c r="O146" s="11" t="inlineStr"/>
    </row>
    <row r="147">
      <c r="A147" s="7" t="inlineStr">
        <is>
          <t>D8</t>
        </is>
      </c>
      <c r="B147" s="7" t="inlineStr">
        <is>
          <t>8.6</t>
        </is>
      </c>
      <c r="C147" s="8" t="inlineStr">
        <is>
          <t>AI Community &amp; Reuse Culture</t>
        </is>
      </c>
      <c r="D147" s="7" t="inlineStr">
        <is>
          <t>S12</t>
        </is>
      </c>
      <c r="E147" s="7" t="inlineStr">
        <is>
          <t>AWS CAF-AI</t>
        </is>
      </c>
      <c r="F147" s="7" t="inlineStr">
        <is>
          <t>AWS CAF-AI</t>
        </is>
      </c>
      <c r="G147" s="7" t="inlineStr">
        <is>
          <t>People perspective</t>
        </is>
      </c>
      <c r="H147" s="7" t="inlineStr">
        <is>
          <t>candidate - unverified</t>
        </is>
      </c>
      <c r="I147" s="7" t="inlineStr">
        <is>
          <t>Corroborating</t>
        </is>
      </c>
      <c r="J147" s="10" t="inlineStr">
        <is>
          <t>C</t>
        </is>
      </c>
      <c r="K147" s="7" t="inlineStr">
        <is>
          <t>Flagged historical by AWS</t>
        </is>
      </c>
      <c r="L147" s="7" t="inlineStr">
        <is>
          <t>Free</t>
        </is>
      </c>
      <c r="M147" s="11" t="inlineStr"/>
      <c r="N147" s="11" t="inlineStr"/>
      <c r="O147" s="11" t="inlineStr"/>
    </row>
    <row r="148">
      <c r="A148" s="7" t="inlineStr">
        <is>
          <t>D8</t>
        </is>
      </c>
      <c r="B148" s="7" t="inlineStr">
        <is>
          <t>8.6</t>
        </is>
      </c>
      <c r="C148" s="8" t="inlineStr">
        <is>
          <t>AI Community &amp; Reuse Culture</t>
        </is>
      </c>
      <c r="D148" s="7" t="inlineStr">
        <is>
          <t>S36</t>
        </is>
      </c>
      <c r="E148" s="7" t="inlineStr">
        <is>
          <t>IDB institutional practice</t>
        </is>
      </c>
      <c r="F148" s="7" t="inlineStr">
        <is>
          <t>Institutional practice</t>
        </is>
      </c>
      <c r="G148" s="7" t="inlineStr"/>
      <c r="H148" s="17" t="inlineStr">
        <is>
          <t>NOT PINNED</t>
        </is>
      </c>
      <c r="I148" s="7" t="inlineStr">
        <is>
          <t>Institutional</t>
        </is>
      </c>
      <c r="J148" s="16" t="inlineStr">
        <is>
          <t>D</t>
        </is>
      </c>
      <c r="K148" s="7" t="inlineStr">
        <is>
          <t>Needs a named internal document</t>
        </is>
      </c>
      <c r="L148" s="7" t="inlineStr">
        <is>
          <t>Internal</t>
        </is>
      </c>
      <c r="M148" s="11" t="inlineStr"/>
      <c r="N148" s="11" t="inlineStr"/>
      <c r="O148" s="11" t="inlineStr"/>
    </row>
  </sheetData>
  <autoFilter ref="A1:O148"/>
  <dataValidations count="2">
    <dataValidation sqref="M2:M148" showDropDown="0" showInputMessage="0" showErrorMessage="0" allowBlank="1" type="list">
      <formula1>"Locus confirmed,Locus corrected,Wrong source - remove,Reclassify as Synthesized,Add a source,Not sure - discuss"</formula1>
    </dataValidation>
    <dataValidation sqref="I2:I148" showDropDown="0" showInputMessage="0" showErrorMessage="0" allowBlank="1" type="list">
      <formula1>"Adopted,Adapted,Corroborating,Synthesized,Institutional,Unsupported"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52" customWidth="1" min="2" max="2"/>
    <col width="16" customWidth="1" min="3" max="3"/>
    <col width="26" customWidth="1" min="4" max="4"/>
    <col width="11" customWidth="1" min="5" max="5"/>
    <col width="86" customWidth="1" min="6" max="6"/>
    <col width="80" customWidth="1" min="7" max="7"/>
    <col width="22" customWidth="1" min="8" max="8"/>
    <col width="44" customWidth="1" min="9" max="9"/>
  </cols>
  <sheetData>
    <row r="1" ht="30" customHeight="1">
      <c r="A1" s="6" t="inlineStr">
        <is>
          <t>ID</t>
        </is>
      </c>
      <c r="B1" s="6" t="inlineStr">
        <is>
          <t>Finding</t>
        </is>
      </c>
      <c r="C1" s="6" t="inlineStr">
        <is>
          <t>Sources</t>
        </is>
      </c>
      <c r="D1" s="6" t="inlineStr">
        <is>
          <t>Capabilities affected</t>
        </is>
      </c>
      <c r="E1" s="6" t="inlineStr">
        <is>
          <t>Severity</t>
        </is>
      </c>
      <c r="F1" s="6" t="inlineStr">
        <is>
          <t>What we found</t>
        </is>
      </c>
      <c r="G1" s="6" t="inlineStr">
        <is>
          <t>Recommended action</t>
        </is>
      </c>
      <c r="H1" s="6" t="inlineStr">
        <is>
          <t>Your decision</t>
        </is>
      </c>
      <c r="I1" s="6" t="inlineStr">
        <is>
          <t>Your notes</t>
        </is>
      </c>
    </row>
    <row r="2">
      <c r="A2" s="7" t="inlineStr">
        <is>
          <t>F01</t>
        </is>
      </c>
      <c r="B2" s="8" t="inlineStr">
        <is>
          <t>EDM Council ADAC is not a publication</t>
        </is>
      </c>
      <c r="C2" s="7" t="inlineStr">
        <is>
          <t>S26</t>
        </is>
      </c>
      <c r="D2" s="7" t="inlineStr">
        <is>
          <t>3.1, 3.3, 3.4, 3.7</t>
        </is>
      </c>
      <c r="E2" s="15" t="inlineStr">
        <is>
          <t>Critical</t>
        </is>
      </c>
      <c r="F2" s="7" t="inlineStr">
        <is>
          <t>ADAC (AI, Data &amp; Analytics Controls) is an EDM Council workgroup, not a framework. It is absent from EDM Council's own Frameworks page; the visible output is webinars and a 2024 SIG deck. It was cited four times as if it were a document.</t>
        </is>
      </c>
      <c r="G2" s="7" t="inlineStr">
        <is>
          <t>Remove ADAC from all four capabilities. If an EDM Council AI/data-controls reference is needed, substitute CDMC, which is openly available for internal use.</t>
        </is>
      </c>
      <c r="H2" s="11" t="inlineStr"/>
      <c r="I2" s="11" t="inlineStr"/>
    </row>
    <row r="3">
      <c r="A3" s="7" t="inlineStr">
        <is>
          <t>F02</t>
        </is>
      </c>
      <c r="B3" s="8" t="inlineStr">
        <is>
          <t>TOGAF capability-based planning was removed from the current edition</t>
        </is>
      </c>
      <c r="C3" s="7" t="inlineStr">
        <is>
          <t>S21</t>
        </is>
      </c>
      <c r="D3" s="7" t="inlineStr">
        <is>
          <t>1.2</t>
        </is>
      </c>
      <c r="E3" s="15" t="inlineStr">
        <is>
          <t>Critical</t>
        </is>
      </c>
      <c r="F3" s="7" t="inlineStr">
        <is>
          <t>Capability-Based Planning was Chapter 28 of TOGAF 9.2. The Open Group deliberately removed it in the 10th Edition because it is incompatible with the Business Capabilities Series Guide. Our citation pointed at a section that no longer exists.</t>
        </is>
      </c>
      <c r="G3" s="7" t="inlineStr">
        <is>
          <t>Re-cite as TOGAF Series Guide G193 (Capability-Based Planning) or G190 (Business Capabilities v2). Already reflected in the register as S21.</t>
        </is>
      </c>
      <c r="H3" s="11" t="inlineStr"/>
      <c r="I3" s="11" t="inlineStr"/>
    </row>
    <row r="4">
      <c r="A4" s="7" t="inlineStr">
        <is>
          <t>F03</t>
        </is>
      </c>
      <c r="B4" s="8" t="inlineStr">
        <is>
          <t>The IIA Three Lines Model we cited has been superseded</t>
        </is>
      </c>
      <c r="C4" s="7" t="inlineStr">
        <is>
          <t>S28</t>
        </is>
      </c>
      <c r="D4" s="7" t="inlineStr">
        <is>
          <t>7.8</t>
        </is>
      </c>
      <c r="E4" s="18" t="inlineStr">
        <is>
          <t>High</t>
        </is>
      </c>
      <c r="F4" s="7" t="inlineStr">
        <is>
          <t>The 2020 position paper was replaced on 8 July 2026 by the Statement of Position 'Assurance and Advice in Support of Effective Governance'. It carries five principles, not six. 'Three Lines of Defense' is doubly retired.</t>
        </is>
      </c>
      <c r="G4" s="7" t="inlineStr">
        <is>
          <t>Cite the 2026 Statement of Position. Check any capability wording that assumed the six-principle structure.</t>
        </is>
      </c>
      <c r="H4" s="11" t="inlineStr"/>
      <c r="I4" s="11" t="inlineStr"/>
    </row>
    <row r="5">
      <c r="A5" s="7" t="inlineStr">
        <is>
          <t>F04</t>
        </is>
      </c>
      <c r="B5" s="8" t="inlineStr">
        <is>
          <t>ISO/IEC 27701:2019 clause references no longer resolve</t>
        </is>
      </c>
      <c r="C5" s="7" t="inlineStr">
        <is>
          <t>S07</t>
        </is>
      </c>
      <c r="D5" s="7" t="inlineStr">
        <is>
          <t>7.5</t>
        </is>
      </c>
      <c r="E5" s="18" t="inlineStr">
        <is>
          <t>High</t>
        </is>
      </c>
      <c r="F5" s="7" t="inlineStr">
        <is>
          <t>The second edition (October 2025) converted 27701 from an extension of 27001/27002 into a standalone management system standard. The old PIMS-specific clause forms do not exist in it.</t>
        </is>
      </c>
      <c r="G5" s="7" t="inlineStr">
        <is>
          <t>Re-pin against the 2025 edition; Annex F carries the correspondence from the 2019 numbering.</t>
        </is>
      </c>
      <c r="H5" s="11" t="inlineStr"/>
      <c r="I5" s="11" t="inlineStr"/>
    </row>
    <row r="6">
      <c r="A6" s="7" t="inlineStr">
        <is>
          <t>F05</t>
        </is>
      </c>
      <c r="B6" s="8" t="inlineStr">
        <is>
          <t>ITIL 4 is no longer the current ITIL</t>
        </is>
      </c>
      <c r="C6" s="7" t="inlineStr">
        <is>
          <t>S24</t>
        </is>
      </c>
      <c r="D6" s="7" t="inlineStr">
        <is>
          <t>6.1, 6.4, 5.3</t>
        </is>
      </c>
      <c r="E6" s="19" t="inlineStr">
        <is>
          <t>Medium</t>
        </is>
      </c>
      <c r="F6" s="7" t="inlineStr">
        <is>
          <t>ITIL Version 5 was announced in January 2026 and is rolling out; ITIL 4 remains valid in parallel through a transition period.</t>
        </is>
      </c>
      <c r="G6" s="7" t="inlineStr">
        <is>
          <t>Keep the ITIL 4 citation but add the qualifier. Do not describe ITIL 4 as current without it.</t>
        </is>
      </c>
      <c r="H6" s="11" t="inlineStr"/>
      <c r="I6" s="11" t="inlineStr"/>
    </row>
    <row r="7">
      <c r="A7" s="7" t="inlineStr">
        <is>
          <t>F06</t>
        </is>
      </c>
      <c r="B7" s="8" t="inlineStr">
        <is>
          <t>AWS flags CAF-AI as historical reference only</t>
        </is>
      </c>
      <c r="C7" s="7" t="inlineStr">
        <is>
          <t>S12</t>
        </is>
      </c>
      <c r="D7" s="7" t="inlineStr">
        <is>
          <t>seven capabilities</t>
        </is>
      </c>
      <c r="E7" s="19" t="inlineStr">
        <is>
          <t>Medium</t>
        </is>
      </c>
      <c r="F7" s="7" t="inlineStr">
        <is>
          <t>AWS displays 'This whitepaper is for historical reference only. Some content might be outdated' on the CAF-AI page. It is our most-used vendor capability source.</t>
        </is>
      </c>
      <c r="G7" s="7" t="inlineStr">
        <is>
          <t>Keep it - it is still the best-structured public AI capability model - but cite it as a February 2024 artifact and disclose the banner rather than let a reviewer find it.</t>
        </is>
      </c>
      <c r="H7" s="11" t="inlineStr"/>
      <c r="I7" s="11" t="inlineStr"/>
    </row>
    <row r="8">
      <c r="A8" s="7" t="inlineStr">
        <is>
          <t>F07</t>
        </is>
      </c>
      <c r="B8" s="8" t="inlineStr">
        <is>
          <t>Our IMDA citation is ambiguous across three documents</t>
        </is>
      </c>
      <c r="C8" s="7" t="inlineStr">
        <is>
          <t>S31</t>
        </is>
      </c>
      <c r="D8" s="7" t="inlineStr">
        <is>
          <t>five capabilities</t>
        </is>
      </c>
      <c r="E8" s="18" t="inlineStr">
        <is>
          <t>High</t>
        </is>
      </c>
      <c r="F8" s="7" t="inlineStr">
        <is>
          <t>Three published frameworks share the name: the original Model AI Governance Framework (2nd ed. 2020), the Generative AI framework (May 2024, nine dimensions) and the Agentic AI framework (v1.0, January 2026, four dimensions). We cited it unqualified.</t>
        </is>
      </c>
      <c r="G8" s="7" t="inlineStr">
        <is>
          <t>Pick one per capability. Agentic capabilities should point at the January 2026 agentic framework (added to the register as S31b).</t>
        </is>
      </c>
      <c r="H8" s="11" t="inlineStr"/>
      <c r="I8" s="11" t="inlineStr"/>
    </row>
    <row r="9">
      <c r="A9" s="7" t="inlineStr">
        <is>
          <t>F08</t>
        </is>
      </c>
      <c r="B9" s="8" t="inlineStr">
        <is>
          <t>MIT CISR is a research centre, not a document</t>
        </is>
      </c>
      <c r="C9" s="7" t="inlineStr">
        <is>
          <t>S30</t>
        </is>
      </c>
      <c r="D9" s="7" t="inlineStr">
        <is>
          <t>1.3</t>
        </is>
      </c>
      <c r="E9" s="18" t="inlineStr">
        <is>
          <t>High</t>
        </is>
      </c>
      <c r="F9" s="7" t="inlineStr">
        <is>
          <t>'MIT CISR' names no artifact. A citation has to name a Research Briefing or Working Paper with its volume and number.</t>
        </is>
      </c>
      <c r="G9" s="7" t="inlineStr">
        <is>
          <t>Substitute the August 2025 Research Briefing 'Grow Enterprise AI Maturity for Bottom-Line Impact' (Vol. XXV, No. 8), already in the register.</t>
        </is>
      </c>
      <c r="H9" s="11" t="inlineStr"/>
      <c r="I9" s="11" t="inlineStr"/>
    </row>
    <row r="10">
      <c r="A10" s="7" t="inlineStr">
        <is>
          <t>F09</t>
        </is>
      </c>
      <c r="B10" s="8" t="inlineStr">
        <is>
          <t>NIST AI RMF locus form</t>
        </is>
      </c>
      <c r="C10" s="7" t="inlineStr">
        <is>
          <t>S08</t>
        </is>
      </c>
      <c r="D10" s="7" t="inlineStr">
        <is>
          <t>all NIST citations</t>
        </is>
      </c>
      <c r="E10" s="19" t="inlineStr">
        <is>
          <t>Medium</t>
        </is>
      </c>
      <c r="F10" s="7" t="inlineStr">
        <is>
          <t>The correct citation form is GOVERN 1.1 - function, space, category.subcategory. The hyphenated GOVERN-1.1 is not valid; that convention belongs to AI 600-1 action identifiers (GV-1.1-001).</t>
        </is>
      </c>
      <c r="G10" s="7" t="inlineStr">
        <is>
          <t>Use the space form throughout. Any hyphenated reference in draft text is wrong.</t>
        </is>
      </c>
      <c r="H10" s="11" t="inlineStr"/>
      <c r="I10" s="11" t="inlineStr"/>
    </row>
    <row r="11">
      <c r="A11" s="7" t="inlineStr">
        <is>
          <t>F10</t>
        </is>
      </c>
      <c r="B11" s="8" t="inlineStr">
        <is>
          <t>OECD principle 1.2 was retitled</t>
        </is>
      </c>
      <c r="C11" s="7" t="inlineStr">
        <is>
          <t>S10</t>
        </is>
      </c>
      <c r="D11" s="7" t="inlineStr">
        <is>
          <t>1.1, 7.2</t>
        </is>
      </c>
      <c r="E11" s="19" t="inlineStr">
        <is>
          <t>Medium</t>
        </is>
      </c>
      <c r="F11" s="7" t="inlineStr">
        <is>
          <t>The Recommendation was amended in November 2023 and May 2024. Principle 1.2, cited widely under its 2019 name 'Human-centred values and fairness', is now 'Respect for the rule of law, human rights and democratic values, including fairness and privacy'.</t>
        </is>
      </c>
      <c r="G11" s="7" t="inlineStr">
        <is>
          <t>Cite the amended text and the current principle titles.</t>
        </is>
      </c>
      <c r="H11" s="11" t="inlineStr"/>
      <c r="I11" s="11" t="inlineStr"/>
    </row>
    <row r="12">
      <c r="A12" s="7" t="inlineStr">
        <is>
          <t>F11</t>
        </is>
      </c>
      <c r="B12" s="8" t="inlineStr">
        <is>
          <t>Non-public sources cannot carry evidence</t>
        </is>
      </c>
      <c r="C12" s="7" t="inlineStr">
        <is>
          <t>S34, S35</t>
        </is>
      </c>
      <c r="D12" s="7" t="inlineStr">
        <is>
          <t>four capabilities</t>
        </is>
      </c>
      <c r="E12" s="15" t="inlineStr">
        <is>
          <t>Critical</t>
        </is>
      </c>
      <c r="F12" s="7" t="inlineStr">
        <is>
          <t>Gartner research is subscription-licensed - usable internally, not quotable in anything that circulates externally, and not openable by a reviewer without a seat. 'Consultancy transformation patterns' names nothing at all.</t>
        </is>
      </c>
      <c r="G12" s="7" t="inlineStr">
        <is>
          <t>Remove both from the published provenance. Where a capability rests only on them, find an open source or reclassify it as Synthesized and say so.</t>
        </is>
      </c>
      <c r="H12" s="11" t="inlineStr"/>
      <c r="I12" s="11" t="inlineStr"/>
    </row>
    <row r="13">
      <c r="A13" s="7" t="inlineStr">
        <is>
          <t>F12</t>
        </is>
      </c>
      <c r="B13" s="8" t="inlineStr">
        <is>
          <t>'Institutional practice' names no document</t>
        </is>
      </c>
      <c r="C13" s="7" t="inlineStr">
        <is>
          <t>S36, S37, S38, S39</t>
        </is>
      </c>
      <c r="D13" s="7" t="inlineStr">
        <is>
          <t>six capabilities</t>
        </is>
      </c>
      <c r="E13" s="18" t="inlineStr">
        <is>
          <t>High</t>
        </is>
      </c>
      <c r="F13" s="7" t="inlineStr">
        <is>
          <t>Institutional origin is legitimate, but 'institutional practice' is not a citation - a reviewer cannot open it, date it, or find its owner.</t>
        </is>
      </c>
      <c r="G13" s="7" t="inlineStr">
        <is>
          <t>Replace each use with a named internal policy, standard or procedure, with an owner and a date. Data Governance, Legal and Internal Audit each own one of these.</t>
        </is>
      </c>
      <c r="H13" s="11" t="inlineStr"/>
      <c r="I13" s="11" t="inlineStr"/>
    </row>
    <row r="14">
      <c r="A14" s="7" t="inlineStr">
        <is>
          <t>F13</t>
        </is>
      </c>
      <c r="B14" s="8" t="inlineStr">
        <is>
          <t>Google's framework is undated and pre-GenAI</t>
        </is>
      </c>
      <c r="C14" s="7" t="inlineStr">
        <is>
          <t>S14</t>
        </is>
      </c>
      <c r="D14" s="7" t="inlineStr">
        <is>
          <t>four capabilities</t>
        </is>
      </c>
      <c r="E14" s="19" t="inlineStr">
        <is>
          <t>Medium</t>
        </is>
      </c>
      <c r="F14" s="7" t="inlineStr">
        <is>
          <t>The whitepaper carries no date or version and addresses neither generative AI nor agents. It is a genuine maturity grid, which is why it is useful.</t>
        </is>
      </c>
      <c r="G14" s="7" t="inlineStr">
        <is>
          <t>Cite as undated, accessed on a stated day, and do not rely on it for anything GenAI-specific.</t>
        </is>
      </c>
      <c r="H14" s="11" t="inlineStr"/>
      <c r="I14" s="11" t="inlineStr"/>
    </row>
    <row r="15">
      <c r="A15" s="7" t="inlineStr">
        <is>
          <t>F14</t>
        </is>
      </c>
      <c r="B15" s="8" t="inlineStr">
        <is>
          <t>NVIDIA: the landing page is marketing, not a design document</t>
        </is>
      </c>
      <c r="C15" s="7" t="inlineStr">
        <is>
          <t>S16</t>
        </is>
      </c>
      <c r="D15" s="7" t="inlineStr">
        <is>
          <t>5.4</t>
        </is>
      </c>
      <c r="E15" s="19" t="inlineStr">
        <is>
          <t>Medium</t>
        </is>
      </c>
      <c r="F15" s="7" t="inlineStr">
        <is>
          <t>nvidia.com/solutions/ai-factories/validated-design is a product landing page. The citable artifact is the Enterprise AI Factory Design Guide on docs.nvidia.com.</t>
        </is>
      </c>
      <c r="G15" s="7" t="inlineStr">
        <is>
          <t>Point the citation at the design guide. Register already does.</t>
        </is>
      </c>
      <c r="H15" s="11" t="inlineStr"/>
      <c r="I15" s="11" t="inlineStr"/>
    </row>
    <row r="16">
      <c r="A16" s="7" t="inlineStr">
        <is>
          <t>F15</t>
        </is>
      </c>
      <c r="B16" s="8" t="inlineStr">
        <is>
          <t>SAP disclaims that its North Star is a specification</t>
        </is>
      </c>
      <c r="C16" s="7" t="inlineStr">
        <is>
          <t>S17</t>
        </is>
      </c>
      <c r="D16" s="7" t="inlineStr">
        <is>
          <t>three capabilities</t>
        </is>
      </c>
      <c r="E16" s="20" t="inlineStr">
        <is>
          <t>Low</t>
        </is>
      </c>
      <c r="F16" s="7" t="inlineStr">
        <is>
          <t>SAP states: 'This is not a specification, roadmap, or promise of delivery. It is a direction of travel.'</t>
        </is>
      </c>
      <c r="G16" s="7" t="inlineStr">
        <is>
          <t>Quote the disclaimer wherever the source is cited, and never present it as a specification.</t>
        </is>
      </c>
      <c r="H16" s="11" t="inlineStr"/>
      <c r="I16" s="11" t="inlineStr"/>
    </row>
    <row r="17">
      <c r="A17" s="7" t="inlineStr">
        <is>
          <t>F16</t>
        </is>
      </c>
      <c r="B17" s="8" t="inlineStr">
        <is>
          <t>The MCP revision we built against has been superseded by a breaking change</t>
        </is>
      </c>
      <c r="C17" s="7" t="inlineStr">
        <is>
          <t>S33</t>
        </is>
      </c>
      <c r="D17" s="7" t="inlineStr">
        <is>
          <t>4.5, 5.5</t>
        </is>
      </c>
      <c r="E17" s="18" t="inlineStr">
        <is>
          <t>High</t>
        </is>
      </c>
      <c r="F17" s="7" t="inlineStr">
        <is>
          <t>Revision 2026-07-28 removes protocol-level sessions and the initialize handshake, adds server/discover, and deprecates Roots, Sampling and Logging. Anything written against 2025-11-25 is out of date.</t>
        </is>
      </c>
      <c r="G17" s="7" t="inlineStr">
        <is>
          <t>Re-read 4.5 and 5.5 and the MCP-related realizations against the 2026-07-28 revision before the assessment is signed.</t>
        </is>
      </c>
      <c r="H17" s="11" t="inlineStr"/>
      <c r="I17" s="11" t="inlineStr"/>
    </row>
    <row r="18">
      <c r="A18" s="7" t="inlineStr">
        <is>
          <t>F17</t>
        </is>
      </c>
      <c r="B18" s="8" t="inlineStr">
        <is>
          <t>Salesforce ADLC has no publication date</t>
        </is>
      </c>
      <c r="C18" s="7" t="inlineStr">
        <is>
          <t>S18</t>
        </is>
      </c>
      <c r="D18" s="7" t="inlineStr">
        <is>
          <t>4.4</t>
        </is>
      </c>
      <c r="E18" s="20" t="inlineStr">
        <is>
          <t>Low</t>
        </is>
      </c>
      <c r="F18" s="7" t="inlineStr">
        <is>
          <t>The guide carries no date or version.</t>
        </is>
      </c>
      <c r="G18" s="7" t="inlineStr">
        <is>
          <t>Cite as undated, accessed 3 September 2026.</t>
        </is>
      </c>
      <c r="H18" s="11" t="inlineStr"/>
      <c r="I18" s="11" t="inlineStr"/>
    </row>
    <row r="19">
      <c r="A19" s="7" t="inlineStr">
        <is>
          <t>F18</t>
        </is>
      </c>
      <c r="B19" s="8" t="inlineStr">
        <is>
          <t>Every candidate locus in this workbook is unverified</t>
        </is>
      </c>
      <c r="C19" s="7" t="inlineStr">
        <is>
          <t>all</t>
        </is>
      </c>
      <c r="D19" s="7" t="inlineStr">
        <is>
          <t>all</t>
        </is>
      </c>
      <c r="E19" s="18" t="inlineStr">
        <is>
          <t>High</t>
        </is>
      </c>
      <c r="F19" s="7" t="inlineStr">
        <is>
          <t>Column H of the mapping sheet is my best reading of which part of each source a capability rests on. None of it has been checked against the source text, and eleven of the sources are paywalled or members-only.</t>
        </is>
      </c>
      <c r="G19" s="7" t="inlineStr">
        <is>
          <t>Confirm or correct each one. A capability whose locus is never pinned should be downgraded to Synthesized rather than left claiming a source it cannot point into.</t>
        </is>
      </c>
      <c r="H19" s="11" t="inlineStr"/>
      <c r="I19" s="11" t="inlineStr"/>
    </row>
  </sheetData>
  <autoFilter ref="A1:I19"/>
  <dataValidations count="1">
    <dataValidation sqref="H2:H19" showDropDown="0" showInputMessage="0" showErrorMessage="0" allowBlank="1" type="list">
      <formula1>"Accept - I will action,Accept - you action,Disagree,Defer,Not sure - discuss"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C23"/>
  <sheetViews>
    <sheetView showGridLines="0" workbookViewId="0">
      <selection activeCell="A1" sqref="A1"/>
    </sheetView>
  </sheetViews>
  <sheetFormatPr baseColWidth="8" defaultRowHeight="15"/>
  <cols>
    <col width="3" customWidth="1" min="1" max="1"/>
    <col width="22" customWidth="1" min="2" max="2"/>
    <col width="108" customWidth="1" min="3" max="3"/>
  </cols>
  <sheetData>
    <row r="1">
      <c r="B1" s="21" t="inlineStr">
        <is>
          <t>Derivation - how a capability relates to a source</t>
        </is>
      </c>
    </row>
    <row r="3" ht="28" customHeight="1">
      <c r="B3" s="2" t="inlineStr">
        <is>
          <t>Adopted</t>
        </is>
      </c>
      <c r="C3" s="3" t="inlineStr">
        <is>
          <t>The source names this capability as a capability, and our wording follows it. Strongest claim - a reviewer can put the two side by side.</t>
        </is>
      </c>
    </row>
    <row r="4" ht="28" customHeight="1">
      <c r="B4" s="2" t="inlineStr">
        <is>
          <t>Adapted</t>
        </is>
      </c>
      <c r="C4" s="3" t="inlineStr">
        <is>
          <t>The source names it, and we narrowed, renamed or re-scoped it for the institution. The commonest honest case.</t>
        </is>
      </c>
    </row>
    <row r="5" ht="28" customHeight="1">
      <c r="B5" s="2" t="inlineStr">
        <is>
          <t>Corroborating</t>
        </is>
      </c>
      <c r="C5" s="3" t="inlineStr">
        <is>
          <t>The source did not originate the capability but independently supports that it belongs in the model. Never the only source on a row.</t>
        </is>
      </c>
    </row>
    <row r="6" ht="28" customHeight="1">
      <c r="B6" s="2" t="inlineStr">
        <is>
          <t>Synthesized</t>
        </is>
      </c>
      <c r="C6" s="3" t="inlineStr">
        <is>
          <t>No single source names it. Assembled from two or more that each cover part of it - or from what the model demonstrably needs and nothing published yet covers.</t>
        </is>
      </c>
    </row>
    <row r="7" ht="14" customHeight="1">
      <c r="B7" s="2" t="inlineStr">
        <is>
          <t>Institutional</t>
        </is>
      </c>
      <c r="C7" s="3" t="inlineStr">
        <is>
          <t>Derived from IDB policy or practice, not from any external source.</t>
        </is>
      </c>
    </row>
    <row r="8" ht="28" customHeight="1">
      <c r="B8" s="2" t="inlineStr">
        <is>
          <t>Unsupported</t>
        </is>
      </c>
      <c r="C8" s="3" t="inlineStr">
        <is>
          <t>The cited source does not substantiate the capability. Must be removed or replaced before the model is published.</t>
        </is>
      </c>
    </row>
    <row r="11">
      <c r="B11" s="21" t="inlineStr">
        <is>
          <t>Evidence grade - whether a reviewer can check it</t>
        </is>
      </c>
    </row>
    <row r="13" ht="28" customHeight="1">
      <c r="B13" s="22" t="inlineStr">
        <is>
          <t>A</t>
        </is>
      </c>
      <c r="C13" s="3" t="inlineStr">
        <is>
          <t>Openly available, dated, versioned, from a standards body or public authority. A reviewer can open it today and find the cited part.</t>
        </is>
      </c>
    </row>
    <row r="14" ht="14" customHeight="1">
      <c r="B14" s="23" t="inlineStr">
        <is>
          <t>B</t>
        </is>
      </c>
      <c r="C14" s="3" t="inlineStr">
        <is>
          <t>Openly available and dated, but vendor-published or non-normative. Verifiable, not authoritative.</t>
        </is>
      </c>
    </row>
    <row r="15" ht="28" customHeight="1">
      <c r="B15" s="24" t="inlineStr">
        <is>
          <t>C</t>
        </is>
      </c>
      <c r="C15" s="3" t="inlineStr">
        <is>
          <t>Available but undated, superseded, flagged historical by its own publisher, or paywalled. A reviewer may not be able to check it.</t>
        </is>
      </c>
    </row>
    <row r="16" ht="14" customHeight="1">
      <c r="B16" s="25" t="inlineStr">
        <is>
          <t>D</t>
        </is>
      </c>
      <c r="C16" s="3" t="inlineStr">
        <is>
          <t>Non-public, or not a publication at all. Cannot serve as evidence in anything that leaves the Bank.</t>
        </is>
      </c>
    </row>
    <row r="19">
      <c r="B19" s="21" t="inlineStr">
        <is>
          <t>Locus status</t>
        </is>
      </c>
    </row>
    <row r="21" ht="28" customHeight="1">
      <c r="B21" s="2" t="inlineStr">
        <is>
          <t>stated in our own citation</t>
        </is>
      </c>
      <c r="C21" s="3" t="inlineStr">
        <is>
          <t>The model already named the part of the source - e.g. "AWS CAF-AI - Business perspective". Still worth confirming, but it was a deliberate choice at the time.</t>
        </is>
      </c>
    </row>
    <row r="22" ht="28" customHeight="1">
      <c r="B22" s="2" t="inlineStr">
        <is>
          <t>candidate - unverified</t>
        </is>
      </c>
      <c r="C22" s="3" t="inlineStr">
        <is>
          <t>I inferred which part of the source the capability rests on, from the source structure verified on 3 September 2026. Not checked against the text. Confirm or correct.</t>
        </is>
      </c>
    </row>
    <row r="23" ht="28" customHeight="1">
      <c r="B23" s="2" t="inlineStr">
        <is>
          <t>NOT PINNED</t>
        </is>
      </c>
      <c r="C23" s="3" t="inlineStr">
        <is>
          <t>No candidate could be offered - usually because the source has no enumerable structure, or is one we cannot open. These need a decision, not a confirmation.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44" customWidth="1" min="2" max="2"/>
    <col width="12" customWidth="1" min="3" max="3"/>
    <col width="11" customWidth="1" min="4" max="4"/>
    <col width="11" customWidth="1" min="5" max="5"/>
    <col width="11" customWidth="1" min="6" max="6"/>
    <col width="11" customWidth="1" min="7" max="7"/>
    <col width="11" customWidth="1" min="8" max="8"/>
    <col width="13" customWidth="1" min="9" max="9"/>
    <col width="15" customWidth="1" min="10" max="10"/>
    <col width="15" customWidth="1" min="11" max="11"/>
  </cols>
  <sheetData>
    <row r="1" ht="30" customHeight="1">
      <c r="A1" s="6" t="inlineStr">
        <is>
          <t>Domain</t>
        </is>
      </c>
      <c r="B1" s="6" t="inlineStr">
        <is>
          <t>Domain name</t>
        </is>
      </c>
      <c r="C1" s="6" t="inlineStr">
        <is>
          <t>Capabilities</t>
        </is>
      </c>
      <c r="D1" s="6" t="inlineStr">
        <is>
          <t>Citations</t>
        </is>
      </c>
      <c r="E1" s="6" t="inlineStr">
        <is>
          <t>Citations on A</t>
        </is>
      </c>
      <c r="F1" s="6" t="inlineStr">
        <is>
          <t>Citations on B</t>
        </is>
      </c>
      <c r="G1" s="6" t="inlineStr">
        <is>
          <t>Citations on C</t>
        </is>
      </c>
      <c r="H1" s="6" t="inlineStr">
        <is>
          <t>Citations on D</t>
        </is>
      </c>
      <c r="I1" s="6" t="inlineStr">
        <is>
          <t>Citations not pinned</t>
        </is>
      </c>
      <c r="J1" s="6" t="inlineStr">
        <is>
          <t>Citations marked Synthesized</t>
        </is>
      </c>
      <c r="K1" s="6" t="inlineStr">
        <is>
          <t>Citations marked Unsupported</t>
        </is>
      </c>
    </row>
    <row r="2">
      <c r="A2" s="8" t="inlineStr">
        <is>
          <t>D1</t>
        </is>
      </c>
      <c r="B2" s="7" t="inlineStr">
        <is>
          <t>AI Strategy &amp; Value Management</t>
        </is>
      </c>
      <c r="C2" s="26" t="n">
        <v>5</v>
      </c>
      <c r="D2" s="26">
        <f>COUNTIF('2. Capability to source'!$A$2:$A$400,$A2)</f>
        <v/>
      </c>
      <c r="E2" s="26">
        <f>COUNTIFS('2. Capability to source'!$A$2:$A$400,$A2,'2. Capability to source'!$J$2:$J$400,"A")</f>
        <v/>
      </c>
      <c r="F2" s="26">
        <f>COUNTIFS('2. Capability to source'!$A$2:$A$400,$A2,'2. Capability to source'!$J$2:$J$400,"B")</f>
        <v/>
      </c>
      <c r="G2" s="26">
        <f>COUNTIFS('2. Capability to source'!$A$2:$A$400,$A2,'2. Capability to source'!$J$2:$J$400,"C")</f>
        <v/>
      </c>
      <c r="H2" s="26">
        <f>COUNTIFS('2. Capability to source'!$A$2:$A$400,$A2,'2. Capability to source'!$J$2:$J$400,"D")</f>
        <v/>
      </c>
      <c r="I2" s="26">
        <f>COUNTIFS('2. Capability to source'!$A$2:$A$400,$A2,'2. Capability to source'!$H$2:$H$400,"NOT PINNED")</f>
        <v/>
      </c>
      <c r="J2" s="26">
        <f>COUNTIFS('2. Capability to source'!$A$2:$A$400,$A2,'2. Capability to source'!$I$2:$I$400,"Synthesized")</f>
        <v/>
      </c>
      <c r="K2" s="26">
        <f>COUNTIFS('2. Capability to source'!$A$2:$A$400,$A2,'2. Capability to source'!$I$2:$I$400,"Unsupported")</f>
        <v/>
      </c>
    </row>
    <row r="3">
      <c r="A3" s="8" t="inlineStr">
        <is>
          <t>D2</t>
        </is>
      </c>
      <c r="B3" s="7" t="inlineStr">
        <is>
          <t>AI Demand &amp; Solution Shaping</t>
        </is>
      </c>
      <c r="C3" s="26" t="n">
        <v>6</v>
      </c>
      <c r="D3" s="26">
        <f>COUNTIF('2. Capability to source'!$A$2:$A$400,$A3)</f>
        <v/>
      </c>
      <c r="E3" s="26">
        <f>COUNTIFS('2. Capability to source'!$A$2:$A$400,$A3,'2. Capability to source'!$J$2:$J$400,"A")</f>
        <v/>
      </c>
      <c r="F3" s="26">
        <f>COUNTIFS('2. Capability to source'!$A$2:$A$400,$A3,'2. Capability to source'!$J$2:$J$400,"B")</f>
        <v/>
      </c>
      <c r="G3" s="26">
        <f>COUNTIFS('2. Capability to source'!$A$2:$A$400,$A3,'2. Capability to source'!$J$2:$J$400,"C")</f>
        <v/>
      </c>
      <c r="H3" s="26">
        <f>COUNTIFS('2. Capability to source'!$A$2:$A$400,$A3,'2. Capability to source'!$J$2:$J$400,"D")</f>
        <v/>
      </c>
      <c r="I3" s="26">
        <f>COUNTIFS('2. Capability to source'!$A$2:$A$400,$A3,'2. Capability to source'!$H$2:$H$400,"NOT PINNED")</f>
        <v/>
      </c>
      <c r="J3" s="26">
        <f>COUNTIFS('2. Capability to source'!$A$2:$A$400,$A3,'2. Capability to source'!$I$2:$I$400,"Synthesized")</f>
        <v/>
      </c>
      <c r="K3" s="26">
        <f>COUNTIFS('2. Capability to source'!$A$2:$A$400,$A3,'2. Capability to source'!$I$2:$I$400,"Unsupported")</f>
        <v/>
      </c>
    </row>
    <row r="4">
      <c r="A4" s="8" t="inlineStr">
        <is>
          <t>D3</t>
        </is>
      </c>
      <c r="B4" s="7" t="inlineStr">
        <is>
          <t>Data &amp; Knowledge Management</t>
        </is>
      </c>
      <c r="C4" s="26" t="n">
        <v>7</v>
      </c>
      <c r="D4" s="26">
        <f>COUNTIF('2. Capability to source'!$A$2:$A$400,$A4)</f>
        <v/>
      </c>
      <c r="E4" s="26">
        <f>COUNTIFS('2. Capability to source'!$A$2:$A$400,$A4,'2. Capability to source'!$J$2:$J$400,"A")</f>
        <v/>
      </c>
      <c r="F4" s="26">
        <f>COUNTIFS('2. Capability to source'!$A$2:$A$400,$A4,'2. Capability to source'!$J$2:$J$400,"B")</f>
        <v/>
      </c>
      <c r="G4" s="26">
        <f>COUNTIFS('2. Capability to source'!$A$2:$A$400,$A4,'2. Capability to source'!$J$2:$J$400,"C")</f>
        <v/>
      </c>
      <c r="H4" s="26">
        <f>COUNTIFS('2. Capability to source'!$A$2:$A$400,$A4,'2. Capability to source'!$J$2:$J$400,"D")</f>
        <v/>
      </c>
      <c r="I4" s="26">
        <f>COUNTIFS('2. Capability to source'!$A$2:$A$400,$A4,'2. Capability to source'!$H$2:$H$400,"NOT PINNED")</f>
        <v/>
      </c>
      <c r="J4" s="26">
        <f>COUNTIFS('2. Capability to source'!$A$2:$A$400,$A4,'2. Capability to source'!$I$2:$I$400,"Synthesized")</f>
        <v/>
      </c>
      <c r="K4" s="26">
        <f>COUNTIFS('2. Capability to source'!$A$2:$A$400,$A4,'2. Capability to source'!$I$2:$I$400,"Unsupported")</f>
        <v/>
      </c>
    </row>
    <row r="5">
      <c r="A5" s="8" t="inlineStr">
        <is>
          <t>D4</t>
        </is>
      </c>
      <c r="B5" s="7" t="inlineStr">
        <is>
          <t>AI Solution Engineering</t>
        </is>
      </c>
      <c r="C5" s="26" t="n">
        <v>7</v>
      </c>
      <c r="D5" s="26">
        <f>COUNTIF('2. Capability to source'!$A$2:$A$400,$A5)</f>
        <v/>
      </c>
      <c r="E5" s="26">
        <f>COUNTIFS('2. Capability to source'!$A$2:$A$400,$A5,'2. Capability to source'!$J$2:$J$400,"A")</f>
        <v/>
      </c>
      <c r="F5" s="26">
        <f>COUNTIFS('2. Capability to source'!$A$2:$A$400,$A5,'2. Capability to source'!$J$2:$J$400,"B")</f>
        <v/>
      </c>
      <c r="G5" s="26">
        <f>COUNTIFS('2. Capability to source'!$A$2:$A$400,$A5,'2. Capability to source'!$J$2:$J$400,"C")</f>
        <v/>
      </c>
      <c r="H5" s="26">
        <f>COUNTIFS('2. Capability to source'!$A$2:$A$400,$A5,'2. Capability to source'!$J$2:$J$400,"D")</f>
        <v/>
      </c>
      <c r="I5" s="26">
        <f>COUNTIFS('2. Capability to source'!$A$2:$A$400,$A5,'2. Capability to source'!$H$2:$H$400,"NOT PINNED")</f>
        <v/>
      </c>
      <c r="J5" s="26">
        <f>COUNTIFS('2. Capability to source'!$A$2:$A$400,$A5,'2. Capability to source'!$I$2:$I$400,"Synthesized")</f>
        <v/>
      </c>
      <c r="K5" s="26">
        <f>COUNTIFS('2. Capability to source'!$A$2:$A$400,$A5,'2. Capability to source'!$I$2:$I$400,"Unsupported")</f>
        <v/>
      </c>
    </row>
    <row r="6">
      <c r="A6" s="8" t="inlineStr">
        <is>
          <t>D5</t>
        </is>
      </c>
      <c r="B6" s="7" t="inlineStr">
        <is>
          <t>AI Platform &amp; Infrastructure</t>
        </is>
      </c>
      <c r="C6" s="26" t="n">
        <v>6</v>
      </c>
      <c r="D6" s="26">
        <f>COUNTIF('2. Capability to source'!$A$2:$A$400,$A6)</f>
        <v/>
      </c>
      <c r="E6" s="26">
        <f>COUNTIFS('2. Capability to source'!$A$2:$A$400,$A6,'2. Capability to source'!$J$2:$J$400,"A")</f>
        <v/>
      </c>
      <c r="F6" s="26">
        <f>COUNTIFS('2. Capability to source'!$A$2:$A$400,$A6,'2. Capability to source'!$J$2:$J$400,"B")</f>
        <v/>
      </c>
      <c r="G6" s="26">
        <f>COUNTIFS('2. Capability to source'!$A$2:$A$400,$A6,'2. Capability to source'!$J$2:$J$400,"C")</f>
        <v/>
      </c>
      <c r="H6" s="26">
        <f>COUNTIFS('2. Capability to source'!$A$2:$A$400,$A6,'2. Capability to source'!$J$2:$J$400,"D")</f>
        <v/>
      </c>
      <c r="I6" s="26">
        <f>COUNTIFS('2. Capability to source'!$A$2:$A$400,$A6,'2. Capability to source'!$H$2:$H$400,"NOT PINNED")</f>
        <v/>
      </c>
      <c r="J6" s="26">
        <f>COUNTIFS('2. Capability to source'!$A$2:$A$400,$A6,'2. Capability to source'!$I$2:$I$400,"Synthesized")</f>
        <v/>
      </c>
      <c r="K6" s="26">
        <f>COUNTIFS('2. Capability to source'!$A$2:$A$400,$A6,'2. Capability to source'!$I$2:$I$400,"Unsupported")</f>
        <v/>
      </c>
    </row>
    <row r="7">
      <c r="A7" s="8" t="inlineStr">
        <is>
          <t>D6</t>
        </is>
      </c>
      <c r="B7" s="7" t="inlineStr">
        <is>
          <t>AI Operations &amp; Reliability</t>
        </is>
      </c>
      <c r="C7" s="26" t="n">
        <v>6</v>
      </c>
      <c r="D7" s="26">
        <f>COUNTIF('2. Capability to source'!$A$2:$A$400,$A7)</f>
        <v/>
      </c>
      <c r="E7" s="26">
        <f>COUNTIFS('2. Capability to source'!$A$2:$A$400,$A7,'2. Capability to source'!$J$2:$J$400,"A")</f>
        <v/>
      </c>
      <c r="F7" s="26">
        <f>COUNTIFS('2. Capability to source'!$A$2:$A$400,$A7,'2. Capability to source'!$J$2:$J$400,"B")</f>
        <v/>
      </c>
      <c r="G7" s="26">
        <f>COUNTIFS('2. Capability to source'!$A$2:$A$400,$A7,'2. Capability to source'!$J$2:$J$400,"C")</f>
        <v/>
      </c>
      <c r="H7" s="26">
        <f>COUNTIFS('2. Capability to source'!$A$2:$A$400,$A7,'2. Capability to source'!$J$2:$J$400,"D")</f>
        <v/>
      </c>
      <c r="I7" s="26">
        <f>COUNTIFS('2. Capability to source'!$A$2:$A$400,$A7,'2. Capability to source'!$H$2:$H$400,"NOT PINNED")</f>
        <v/>
      </c>
      <c r="J7" s="26">
        <f>COUNTIFS('2. Capability to source'!$A$2:$A$400,$A7,'2. Capability to source'!$I$2:$I$400,"Synthesized")</f>
        <v/>
      </c>
      <c r="K7" s="26">
        <f>COUNTIFS('2. Capability to source'!$A$2:$A$400,$A7,'2. Capability to source'!$I$2:$I$400,"Unsupported")</f>
        <v/>
      </c>
    </row>
    <row r="8">
      <c r="A8" s="8" t="inlineStr">
        <is>
          <t>D7</t>
        </is>
      </c>
      <c r="B8" s="7" t="inlineStr">
        <is>
          <t>AI Governance, Risk, Security &amp; Assurance</t>
        </is>
      </c>
      <c r="C8" s="26" t="n">
        <v>9</v>
      </c>
      <c r="D8" s="26">
        <f>COUNTIF('2. Capability to source'!$A$2:$A$400,$A8)</f>
        <v/>
      </c>
      <c r="E8" s="26">
        <f>COUNTIFS('2. Capability to source'!$A$2:$A$400,$A8,'2. Capability to source'!$J$2:$J$400,"A")</f>
        <v/>
      </c>
      <c r="F8" s="26">
        <f>COUNTIFS('2. Capability to source'!$A$2:$A$400,$A8,'2. Capability to source'!$J$2:$J$400,"B")</f>
        <v/>
      </c>
      <c r="G8" s="26">
        <f>COUNTIFS('2. Capability to source'!$A$2:$A$400,$A8,'2. Capability to source'!$J$2:$J$400,"C")</f>
        <v/>
      </c>
      <c r="H8" s="26">
        <f>COUNTIFS('2. Capability to source'!$A$2:$A$400,$A8,'2. Capability to source'!$J$2:$J$400,"D")</f>
        <v/>
      </c>
      <c r="I8" s="26">
        <f>COUNTIFS('2. Capability to source'!$A$2:$A$400,$A8,'2. Capability to source'!$H$2:$H$400,"NOT PINNED")</f>
        <v/>
      </c>
      <c r="J8" s="26">
        <f>COUNTIFS('2. Capability to source'!$A$2:$A$400,$A8,'2. Capability to source'!$I$2:$I$400,"Synthesized")</f>
        <v/>
      </c>
      <c r="K8" s="26">
        <f>COUNTIFS('2. Capability to source'!$A$2:$A$400,$A8,'2. Capability to source'!$I$2:$I$400,"Unsupported")</f>
        <v/>
      </c>
    </row>
    <row r="9">
      <c r="A9" s="8" t="inlineStr">
        <is>
          <t>D8</t>
        </is>
      </c>
      <c r="B9" s="7" t="inlineStr">
        <is>
          <t>AI People, Skills &amp; Adoption</t>
        </is>
      </c>
      <c r="C9" s="26" t="n">
        <v>6</v>
      </c>
      <c r="D9" s="26">
        <f>COUNTIF('2. Capability to source'!$A$2:$A$400,$A9)</f>
        <v/>
      </c>
      <c r="E9" s="26">
        <f>COUNTIFS('2. Capability to source'!$A$2:$A$400,$A9,'2. Capability to source'!$J$2:$J$400,"A")</f>
        <v/>
      </c>
      <c r="F9" s="26">
        <f>COUNTIFS('2. Capability to source'!$A$2:$A$400,$A9,'2. Capability to source'!$J$2:$J$400,"B")</f>
        <v/>
      </c>
      <c r="G9" s="26">
        <f>COUNTIFS('2. Capability to source'!$A$2:$A$400,$A9,'2. Capability to source'!$J$2:$J$400,"C")</f>
        <v/>
      </c>
      <c r="H9" s="26">
        <f>COUNTIFS('2. Capability to source'!$A$2:$A$400,$A9,'2. Capability to source'!$J$2:$J$400,"D")</f>
        <v/>
      </c>
      <c r="I9" s="26">
        <f>COUNTIFS('2. Capability to source'!$A$2:$A$400,$A9,'2. Capability to source'!$H$2:$H$400,"NOT PINNED")</f>
        <v/>
      </c>
      <c r="J9" s="26">
        <f>COUNTIFS('2. Capability to source'!$A$2:$A$400,$A9,'2. Capability to source'!$I$2:$I$400,"Synthesized")</f>
        <v/>
      </c>
      <c r="K9" s="26">
        <f>COUNTIFS('2. Capability to source'!$A$2:$A$400,$A9,'2. Capability to source'!$I$2:$I$400,"Unsupported")</f>
        <v/>
      </c>
    </row>
    <row r="10">
      <c r="A10" s="27" t="n"/>
      <c r="B10" s="28" t="inlineStr">
        <is>
          <t>Total</t>
        </is>
      </c>
      <c r="C10" s="29">
        <f>SUM(C2:C9)</f>
        <v/>
      </c>
      <c r="D10" s="29">
        <f>SUM(D2:D9)</f>
        <v/>
      </c>
      <c r="E10" s="29">
        <f>SUM(E2:E9)</f>
        <v/>
      </c>
      <c r="F10" s="29">
        <f>SUM(F2:F9)</f>
        <v/>
      </c>
      <c r="G10" s="29">
        <f>SUM(G2:G9)</f>
        <v/>
      </c>
      <c r="H10" s="29">
        <f>SUM(H2:H9)</f>
        <v/>
      </c>
      <c r="I10" s="29">
        <f>SUM(I2:I9)</f>
        <v/>
      </c>
      <c r="J10" s="29">
        <f>SUM(J2:J9)</f>
        <v/>
      </c>
      <c r="K10" s="29">
        <f>SUM(K2:K9)</f>
        <v/>
      </c>
    </row>
    <row r="12">
      <c r="B12" s="30" t="inlineStr">
        <is>
          <t>Read the D column and the Unsupported column first. A domain whose evidence sits mostly in C and D is not weakly assessed - it is unassessable by anyone outside the Bank, which is a different and worse problem. D7 is the domain where that matters most, because it is the one Internal Audit will open first.</t>
        </is>
      </c>
    </row>
    <row r="13"/>
    <row r="14"/>
  </sheetData>
  <mergeCells count="1">
    <mergeCell ref="B12:K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2026-09-04T20:59:08Z</dcterms:created>
  <dcterms:modified xsi:type="dcterms:W3CDTF">2026-09-04T20:59:08Z</dcterms:modified>
</cp:coreProperties>
</file>